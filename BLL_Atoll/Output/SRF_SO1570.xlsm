
<file path=[Content_Types].xml><?xml version="1.0" encoding="utf-8"?>
<Types xmlns="http://schemas.openxmlformats.org/package/2006/content-types">
  <Default ContentType="application/vnd.openxmlformats-officedocument.spreadsheetml.printerSettings" Extension="bin"/>
  <Default ContentType="image/png" Extension="png"/>
  <Default ContentType="application/vnd.openxmlformats-package.relationships+xml" Extension="rels"/>
  <Default ContentType="application/xml" Extension="xml"/>
  <Override ContentType="application/vnd.ms-excel.sheet.macroEnabled.main+xml" PartName="/xl/workbook.xml"/>
  <Override ContentType="application/vnd.openxmlformats-officedocument.spreadsheetml.worksheet+xml" PartName="/xl/worksheets/sheet1.xml"/>
  <Override ContentType="application/vnd.openxmlformats-officedocument.spreadsheetml.worksheet+xml" PartName="/xl/worksheets/sheet2.xml"/>
  <Override ContentType="application/vnd.openxmlformats-officedocument.spreadsheetml.worksheet+xml" PartName="/xl/worksheets/sheet3.xml"/>
  <Override ContentType="application/vnd.openxmlformats-officedocument.spreadsheetml.worksheet+xml" PartName="/xl/worksheets/sheet4.xml"/>
  <Override ContentType="application/vnd.openxmlformats-officedocument.spreadsheetml.worksheet+xml" PartName="/xl/worksheets/sheet5.xml"/>
  <Override ContentType="application/vnd.openxmlformats-officedocument.spreadsheetml.worksheet+xml" PartName="/xl/worksheets/sheet6.xml"/>
  <Override ContentType="application/vnd.openxmlformats-officedocument.spreadsheetml.worksheet+xml" PartName="/xl/worksheets/sheet7.xml"/>
  <Override ContentType="application/vnd.openxmlformats-officedocument.spreadsheetml.worksheet+xml" PartName="/xl/worksheets/sheet8.xml"/>
  <Override ContentType="application/vnd.openxmlformats-officedocument.spreadsheetml.worksheet+xml" PartName="/xl/worksheets/sheet9.xml"/>
  <Override ContentType="application/vnd.openxmlformats-officedocument.spreadsheetml.worksheet+xml" PartName="/xl/worksheets/sheet10.xml"/>
  <Override ContentType="application/vnd.openxmlformats-officedocument.spreadsheetml.worksheet+xml" PartName="/xl/worksheets/sheet11.xml"/>
  <Override ContentType="application/vnd.openxmlformats-officedocument.spreadsheetml.worksheet+xml" PartName="/xl/worksheets/sheet12.xml"/>
  <Override ContentType="application/vnd.openxmlformats-officedocument.spreadsheetml.worksheet+xml" PartName="/xl/worksheets/sheet13.xml"/>
  <Override ContentType="application/vnd.openxmlformats-officedocument.theme+xml" PartName="/xl/theme/theme1.xml"/>
  <Override ContentType="application/vnd.openxmlformats-officedocument.spreadsheetml.styles+xml" PartName="/xl/styles.xml"/>
  <Override ContentType="application/vnd.openxmlformats-officedocument.spreadsheetml.worksheet+xml" PartName="/xl/worksheets/sheet31.xml"/>
  <Override ContentType="application/vnd.openxmlformats-officedocument.drawing+xml" PartName="/xl/drawings/drawing1.xml"/>
  <Override ContentType="application/vnd.openxmlformats-officedocument.drawing+xml" PartName="/xl/drawings/drawing2.xml"/>
  <Override ContentType="application/vnd.openxmlformats-officedocument.spreadsheetml.table+xml" PartName="/xl/tables/table1.xml"/>
  <Override ContentType="application/vnd.openxmlformats-officedocument.spreadsheetml.table+xml" PartName="/xl/tables/table2.xml"/>
  <Override ContentType="application/vnd.openxmlformats-officedocument.spreadsheetml.sharedStrings+xml" PartName="/xl/sharedStrings.xml"/>
  <Override ContentType="application/vnd.ms-office.vbaProject" PartName="/xl/vbaProject.bin"/>
  <Override ContentType="application/vnd.openxmlformats-package.core-properties+xml" PartName="/docProps/core.xml"/>
  <Override ContentType="application/vnd.openxmlformats-officedocument.extended-properties+xml" PartName="/docProps/app.xml"/>
  <Override ContentType="application/vnd.openxmlformats-officedocument.custom-properties+xml" PartName="/docProps/custom.xml"/>
  <Override ContentType="application/vnd.openxmlformats-officedocument.spreadsheetml.worksheet+xml" PartName="/xl/worksheets/sheet32.xml"/>
  <Override ContentType="application/vnd.openxmlformats-officedocument.spreadsheetml.worksheet+xml" PartName="/xl/worksheets/sheet33.xml"/>
  <Override ContentType="application/vnd.openxmlformats-officedocument.spreadsheetml.worksheet+xml" PartName="/xl/worksheets/sheet34.xml"/>
</Types>
</file>

<file path=_rels/.rels><?xml version="1.0" encoding="UTF-8" standalone="yes"?>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7A2D7E96-6E34-419A-AE5F-296B3A7E7977}"/>
  <workbookPr codeName="ThisWorkbook"/>
  <mc:AlternateContent xmlns:mc="http://schemas.openxmlformats.org/markup-compatibility/2006">
    <mc:Choice Requires="x15">
      <x15ac:absPath xmlns:x15ac="http://schemas.microsoft.com/office/spreadsheetml/2010/11/ac" url="D:\Projects\SV\Shiva_5G_Atoll\Shiva_5G\BLL_Atoll\Resources\"/>
    </mc:Choice>
  </mc:AlternateContent>
  <bookViews>
    <workbookView xWindow="-120" yWindow="-120" windowWidth="27270" windowHeight="16440" tabRatio="866" activeTab="10"/>
  </bookViews>
  <sheets>
    <sheet name="Common" sheetId="13" r:id="rId1"/>
    <sheet name="Sector 1" sheetId="8" r:id="rId2"/>
    <sheet name="Sector 2" sheetId="11" r:id="rId3"/>
    <sheet name="Sector 3" sheetId="12" r:id="rId4"/>
    <sheet name="Sector 4" sheetId="14" state="hidden" r:id="rId5"/>
    <sheet name="Sector 5" sheetId="24" state="hidden" r:id="rId6"/>
    <sheet name="Sector 6" sheetId="25" state="hidden" r:id="rId7"/>
    <sheet name="Sector 7" sheetId="26" state="hidden" r:id="rId8"/>
    <sheet name="Sector 8" sheetId="27" state="hidden" r:id="rId9"/>
    <sheet name="Sector 9" sheetId="28" state="hidden" r:id="rId10"/>
    <sheet name="Equipment BOM" sheetId="23" r:id="rId11"/>
    <sheet name="Site List" sheetId="29" r:id="rId12"/>
    <sheet name="Antennas Scrap Info" sheetId="30" state="hidden" r:id="rId13"/>
    <sheet name="Antennas" sheetId="31" r:id="rId19" state="hidden"/>
    <sheet name="AntennasPortName" sheetId="32" r:id="rId20" state="hidden"/>
    <sheet name="RRUs" sheetId="33" r:id="rId21" state="hidden"/>
    <sheet name="Combiners" sheetId="34" r:id="rId22" state="hidden"/>
  </sheets>
  <functionGroups builtInGroupCount="18"/>
  <definedNames>
    <definedName name="BSC">#REF!</definedName>
    <definedName name="Candidate">#REF!</definedName>
    <definedName name="GSM_equip_type">#REF!</definedName>
    <definedName name="Install_type">#REF!</definedName>
    <definedName name="revision">#REF!</definedName>
    <definedName name="RNC">#REF!</definedName>
    <definedName name="Structure_type">#REF!</definedName>
    <definedName name="_xlnm._FilterDatabase" localSheetId="1" hidden="1">'Sector 1'!#REF!</definedName>
    <definedName name="BSC" localSheetId="1">#REF!</definedName>
    <definedName name="Candidate" localSheetId="1">#REF!</definedName>
    <definedName name="GSM_equip_type" localSheetId="1">#REF!</definedName>
    <definedName name="Install_type" localSheetId="1">#REF!</definedName>
    <definedName name="revision" localSheetId="1">#REF!</definedName>
    <definedName name="RNC" localSheetId="1">#REF!</definedName>
    <definedName name="Structure_type" localSheetId="1">#REF!</definedName>
    <definedName name="_xlnm._FilterDatabase" localSheetId="2" hidden="1">'Sector 2'!#REF!</definedName>
    <definedName name="BSC" localSheetId="2">#REF!</definedName>
    <definedName name="Candidate" localSheetId="2">#REF!</definedName>
    <definedName name="GSM_equip_type" localSheetId="2">#REF!</definedName>
    <definedName name="Install_type" localSheetId="2">#REF!</definedName>
    <definedName name="revision" localSheetId="2">#REF!</definedName>
    <definedName name="RNC" localSheetId="2">#REF!</definedName>
    <definedName name="Structure_type" localSheetId="2">#REF!</definedName>
    <definedName name="_xlnm._FilterDatabase" localSheetId="3" hidden="1">'Sector 3'!#REF!</definedName>
    <definedName name="BSC" localSheetId="3">#REF!</definedName>
    <definedName name="Candidate" localSheetId="3">#REF!</definedName>
    <definedName name="GSM_equip_type" localSheetId="3">#REF!</definedName>
    <definedName name="Install_type" localSheetId="3">#REF!</definedName>
    <definedName name="revision" localSheetId="3">#REF!</definedName>
    <definedName name="RNC" localSheetId="3">#REF!</definedName>
    <definedName name="Structure_type" localSheetId="3">#REF!</definedName>
    <definedName name="_xlnm._FilterDatabase" localSheetId="4" hidden="1">'Sector 4'!#REF!</definedName>
    <definedName name="BSC" localSheetId="4">#REF!</definedName>
    <definedName name="Candidate" localSheetId="4">#REF!</definedName>
    <definedName name="GSM_equip_type" localSheetId="4">#REF!</definedName>
    <definedName name="Install_type" localSheetId="4">#REF!</definedName>
    <definedName name="revision" localSheetId="4">#REF!</definedName>
    <definedName name="RNC" localSheetId="4">#REF!</definedName>
    <definedName name="Structure_type" localSheetId="4">#REF!</definedName>
    <definedName name="_xlnm._FilterDatabase" localSheetId="10" hidden="1">'Equipment BOM'!$A$1:$D$234</definedName>
  </definedNames>
  <calcPr calcId="152511" fullCalcOnLoad="1"/>
  <extLst>
    <ext xmlns:x15="http://schemas.microsoft.com/office/spreadsheetml/2010/11/main" uri="{140A7094-0E35-4892-8432-C4D2E57EDEB5}">
      <x15:workbookPr chartTrackingRefBase="1"/>
    </ext>
  </extLst>
</workbook>
</file>

<file path=xl/sharedStrings.xml><?xml version="1.0" encoding="utf-8"?>
<sst xmlns="http://schemas.openxmlformats.org/spreadsheetml/2006/main" count="1099" uniqueCount="1099">
  <si>
    <t>Sector 3</t>
  </si>
  <si>
    <t>Antenna #</t>
  </si>
  <si>
    <t>Pole Current</t>
  </si>
  <si>
    <t>Pole New</t>
  </si>
  <si>
    <t>Azimuth Current</t>
  </si>
  <si>
    <t>Azimuth New</t>
  </si>
  <si>
    <t xml:space="preserve">AntennaType Current </t>
  </si>
  <si>
    <t>ASI4518R10v18</t>
  </si>
  <si>
    <t xml:space="preserve">AntennaType New </t>
  </si>
  <si>
    <t>AntennaMount Current</t>
  </si>
  <si>
    <t>STK</t>
  </si>
  <si>
    <t>AntennaMount New</t>
  </si>
  <si>
    <t>AGL Current</t>
  </si>
  <si>
    <t>AGL New</t>
  </si>
  <si>
    <t>ARTL Current</t>
  </si>
  <si>
    <t>ARTL New</t>
  </si>
  <si>
    <t>MechanicalTilt Current</t>
  </si>
  <si>
    <t>MechanicalTilt New</t>
  </si>
  <si>
    <t>Antenna port #</t>
  </si>
  <si>
    <t>1-2</t>
  </si>
  <si>
    <t>3-4</t>
  </si>
  <si>
    <t>5-6</t>
  </si>
  <si>
    <t>7-8</t>
  </si>
  <si>
    <t>9-10</t>
  </si>
  <si>
    <t>11-12</t>
  </si>
  <si>
    <t>PortName Current</t>
  </si>
  <si>
    <t>Lr1</t>
  </si>
  <si>
    <t>Rr2</t>
  </si>
  <si>
    <t>LBy1</t>
  </si>
  <si>
    <t>LTy2</t>
  </si>
  <si>
    <t>RBy3</t>
  </si>
  <si>
    <t>RTy4</t>
  </si>
  <si>
    <t>PortName New</t>
  </si>
  <si>
    <t>BandRange Current</t>
  </si>
  <si>
    <t>690-960</t>
  </si>
  <si>
    <t>1695-2690</t>
  </si>
  <si>
    <t>BandRange New</t>
  </si>
  <si>
    <t>Port occupancy</t>
  </si>
  <si>
    <t>Collocation party</t>
  </si>
  <si>
    <t>Technology Current</t>
  </si>
  <si>
    <t>L G U</t>
  </si>
  <si>
    <t>Free</t>
  </si>
  <si>
    <t>U L DSS</t>
  </si>
  <si>
    <t>Technology New</t>
  </si>
  <si>
    <t>Etilt Current</t>
  </si>
  <si>
    <t>Etilt New</t>
  </si>
  <si>
    <t>RET Current</t>
  </si>
  <si>
    <t>RET New</t>
  </si>
  <si>
    <t>Feeder_Type Current</t>
  </si>
  <si>
    <t>1/2</t>
  </si>
  <si>
    <t>Feeder_Type New</t>
  </si>
  <si>
    <t>Feeder_Length Current</t>
  </si>
  <si>
    <t>Feeder_Length New</t>
  </si>
  <si>
    <t>RRU_Type Current</t>
  </si>
  <si>
    <t>5515t-9</t>
  </si>
  <si>
    <t>3953-21 3953-18</t>
  </si>
  <si>
    <t>RRU_Type New</t>
  </si>
  <si>
    <t>TMA Type Current</t>
  </si>
  <si>
    <t>No</t>
  </si>
  <si>
    <t>Yes</t>
  </si>
  <si>
    <t>TMA Type New</t>
  </si>
  <si>
    <t>Combiner_Splitter Current</t>
  </si>
  <si>
    <t>None</t>
  </si>
  <si>
    <t>78210621</t>
  </si>
  <si>
    <t>Combiner_Splitter New</t>
  </si>
  <si>
    <t>Sec_Combiner_Splitter Current</t>
  </si>
  <si>
    <t>Sec_Combiner_Splitter New</t>
  </si>
  <si>
    <r xmlns="http://schemas.openxmlformats.org/spreadsheetml/2006/main">
      <t>Request</t>
    </r>
    <r xmlns="http://schemas.openxmlformats.org/spreadsheetml/2006/main">
      <rPr>
        <b/>
        <sz val="12"/>
        <color theme="0"/>
        <rFont val="Calibri"/>
        <family val="2"/>
        <charset val="204"/>
        <scheme val="minor"/>
      </rPr>
      <t>_</t>
    </r>
    <r xmlns="http://schemas.openxmlformats.org/spreadsheetml/2006/main">
      <rPr>
        <b/>
        <sz val="12"/>
        <color rgb="FFFF0000"/>
        <rFont val="Calibri"/>
        <family val="2"/>
        <scheme val="minor"/>
      </rPr>
      <t>Remarks</t>
    </r>
  </si>
  <si>
    <t>Sector 1</t>
  </si>
  <si>
    <t>5304-26 3953-21 3953-18</t>
  </si>
  <si>
    <t>78210640</t>
  </si>
  <si>
    <t>Sector 2</t>
  </si>
  <si>
    <t>3953-21 3953-18 5304-26</t>
  </si>
  <si>
    <t>SiteID</t>
  </si>
  <si>
    <t>SO1570</t>
  </si>
  <si>
    <t>Cell#</t>
  </si>
  <si>
    <t>TRX#</t>
  </si>
  <si>
    <t>Candidate</t>
  </si>
  <si>
    <t>A</t>
  </si>
  <si>
    <t>Current</t>
  </si>
  <si>
    <t>New</t>
  </si>
  <si>
    <r xmlns="http://schemas.openxmlformats.org/spreadsheetml/2006/main">
      <t>Document</t>
    </r>
    <r xmlns="http://schemas.openxmlformats.org/spreadsheetml/2006/main">
      <rPr>
        <sz val="16"/>
        <color theme="0"/>
        <rFont val="Arial"/>
        <family val="2"/>
        <charset val="204"/>
      </rPr>
      <t>_</t>
    </r>
    <r xmlns="http://schemas.openxmlformats.org/spreadsheetml/2006/main">
      <rPr>
        <sz val="16"/>
        <rFont val="Arial"/>
        <family val="2"/>
      </rPr>
      <t>Type</t>
    </r>
  </si>
  <si>
    <t>SRF</t>
  </si>
  <si>
    <r xmlns="http://schemas.openxmlformats.org/spreadsheetml/2006/main">
      <t>LTE</t>
    </r>
    <r xmlns="http://schemas.openxmlformats.org/spreadsheetml/2006/main">
      <rPr>
        <sz val="10"/>
        <color theme="0"/>
        <rFont val="Arial"/>
        <family val="2"/>
        <charset val="204"/>
      </rPr>
      <t>_</t>
    </r>
    <r xmlns="http://schemas.openxmlformats.org/spreadsheetml/2006/main">
      <rPr>
        <sz val="10"/>
        <color theme="1"/>
        <rFont val="Arial"/>
        <family val="2"/>
        <charset val="204"/>
      </rPr>
      <t>90</t>
    </r>
    <r xmlns="http://schemas.openxmlformats.org/spreadsheetml/2006/main">
      <rPr>
        <sz val="10"/>
        <rFont val="Arial"/>
        <family val="2"/>
      </rPr>
      <t>0</t>
    </r>
  </si>
  <si>
    <r xmlns="http://schemas.openxmlformats.org/spreadsheetml/2006/main">
      <t>LTE</t>
    </r>
    <r xmlns="http://schemas.openxmlformats.org/spreadsheetml/2006/main">
      <rPr>
        <sz val="10"/>
        <color theme="0"/>
        <rFont val="Arial"/>
        <family val="2"/>
        <charset val="204"/>
      </rPr>
      <t>_</t>
    </r>
    <r xmlns="http://schemas.openxmlformats.org/spreadsheetml/2006/main">
      <rPr>
        <sz val="10"/>
        <color rgb="FFFF0000"/>
        <rFont val="Arial"/>
        <family val="2"/>
        <charset val="204"/>
      </rPr>
      <t>9</t>
    </r>
    <r xmlns="http://schemas.openxmlformats.org/spreadsheetml/2006/main">
      <rPr>
        <sz val="10"/>
        <color rgb="FFFF0000"/>
        <rFont val="Arial"/>
        <family val="2"/>
      </rPr>
      <t>00</t>
    </r>
    <r xmlns="http://schemas.openxmlformats.org/spreadsheetml/2006/main">
      <rPr>
        <sz val="10"/>
        <color theme="0"/>
        <rFont val="Arial"/>
        <family val="2"/>
        <charset val="204"/>
      </rPr>
      <t>N</t>
    </r>
  </si>
  <si>
    <r xmlns="http://schemas.openxmlformats.org/spreadsheetml/2006/main">
      <t>GSM</t>
    </r>
    <r xmlns="http://schemas.openxmlformats.org/spreadsheetml/2006/main">
      <rPr>
        <sz val="10"/>
        <color theme="0"/>
        <rFont val="Arial"/>
        <family val="2"/>
        <charset val="204"/>
      </rPr>
      <t>_</t>
    </r>
    <r xmlns="http://schemas.openxmlformats.org/spreadsheetml/2006/main">
      <rPr>
        <sz val="10"/>
        <rFont val="Arial"/>
        <family val="2"/>
      </rPr>
      <t>900</t>
    </r>
  </si>
  <si>
    <r xmlns="http://schemas.openxmlformats.org/spreadsheetml/2006/main">
      <t>GSM</t>
    </r>
    <r xmlns="http://schemas.openxmlformats.org/spreadsheetml/2006/main">
      <rPr>
        <sz val="10"/>
        <color theme="0"/>
        <rFont val="Arial"/>
        <family val="2"/>
        <charset val="204"/>
      </rPr>
      <t>_</t>
    </r>
    <r xmlns="http://schemas.openxmlformats.org/spreadsheetml/2006/main">
      <rPr>
        <sz val="10"/>
        <color rgb="FFFF0000"/>
        <rFont val="Arial"/>
        <family val="2"/>
      </rPr>
      <t>900</t>
    </r>
    <r xmlns="http://schemas.openxmlformats.org/spreadsheetml/2006/main">
      <rPr>
        <sz val="10"/>
        <color theme="0"/>
        <rFont val="Arial"/>
        <family val="2"/>
        <charset val="204"/>
      </rPr>
      <t>N</t>
    </r>
  </si>
  <si>
    <r xmlns="http://schemas.openxmlformats.org/spreadsheetml/2006/main">
      <t>UMTS</t>
    </r>
    <r xmlns="http://schemas.openxmlformats.org/spreadsheetml/2006/main">
      <rPr>
        <sz val="10"/>
        <color theme="0"/>
        <rFont val="Arial"/>
        <family val="2"/>
        <charset val="204"/>
      </rPr>
      <t>_</t>
    </r>
    <r xmlns="http://schemas.openxmlformats.org/spreadsheetml/2006/main">
      <rPr>
        <sz val="10"/>
        <rFont val="Arial"/>
        <family val="2"/>
      </rPr>
      <t>900</t>
    </r>
  </si>
  <si>
    <r xmlns="http://schemas.openxmlformats.org/spreadsheetml/2006/main">
      <t>UMTS</t>
    </r>
    <r xmlns="http://schemas.openxmlformats.org/spreadsheetml/2006/main">
      <rPr>
        <sz val="10"/>
        <color theme="0"/>
        <rFont val="Arial"/>
        <family val="2"/>
        <charset val="204"/>
      </rPr>
      <t>_</t>
    </r>
    <r xmlns="http://schemas.openxmlformats.org/spreadsheetml/2006/main">
      <rPr>
        <sz val="10"/>
        <color rgb="FFFF0000"/>
        <rFont val="Arial"/>
        <family val="2"/>
      </rPr>
      <t>900</t>
    </r>
    <r xmlns="http://schemas.openxmlformats.org/spreadsheetml/2006/main">
      <rPr>
        <sz val="10"/>
        <color theme="0"/>
        <rFont val="Arial"/>
        <family val="2"/>
        <charset val="204"/>
      </rPr>
      <t>N</t>
    </r>
  </si>
  <si>
    <r xmlns="http://schemas.openxmlformats.org/spreadsheetml/2006/main">
      <t>GSM</t>
    </r>
    <r xmlns="http://schemas.openxmlformats.org/spreadsheetml/2006/main">
      <rPr>
        <sz val="10"/>
        <color theme="0"/>
        <rFont val="Arial"/>
        <family val="2"/>
        <charset val="204"/>
      </rPr>
      <t>_</t>
    </r>
    <r xmlns="http://schemas.openxmlformats.org/spreadsheetml/2006/main">
      <rPr>
        <sz val="10"/>
        <rFont val="Arial"/>
        <family val="2"/>
      </rPr>
      <t>1800</t>
    </r>
  </si>
  <si>
    <r xmlns="http://schemas.openxmlformats.org/spreadsheetml/2006/main">
      <t>GSM</t>
    </r>
    <r xmlns="http://schemas.openxmlformats.org/spreadsheetml/2006/main">
      <rPr>
        <sz val="10"/>
        <color theme="0"/>
        <rFont val="Arial"/>
        <family val="2"/>
        <charset val="204"/>
      </rPr>
      <t>_</t>
    </r>
    <r xmlns="http://schemas.openxmlformats.org/spreadsheetml/2006/main">
      <rPr>
        <sz val="10"/>
        <color rgb="FFFF0000"/>
        <rFont val="Arial"/>
        <family val="2"/>
      </rPr>
      <t>1800</t>
    </r>
    <r xmlns="http://schemas.openxmlformats.org/spreadsheetml/2006/main">
      <rPr>
        <sz val="10"/>
        <color theme="0"/>
        <rFont val="Arial"/>
        <family val="2"/>
        <charset val="204"/>
      </rPr>
      <t>N</t>
    </r>
  </si>
  <si>
    <r xmlns="http://schemas.openxmlformats.org/spreadsheetml/2006/main">
      <t>LTE</t>
    </r>
    <r xmlns="http://schemas.openxmlformats.org/spreadsheetml/2006/main">
      <rPr>
        <sz val="10"/>
        <color theme="0"/>
        <rFont val="Arial"/>
        <family val="2"/>
        <charset val="204"/>
      </rPr>
      <t>_</t>
    </r>
    <r xmlns="http://schemas.openxmlformats.org/spreadsheetml/2006/main">
      <rPr>
        <sz val="10"/>
        <rFont val="Arial"/>
        <family val="2"/>
      </rPr>
      <t>1800</t>
    </r>
  </si>
  <si>
    <r xmlns="http://schemas.openxmlformats.org/spreadsheetml/2006/main">
      <t>LTE</t>
    </r>
    <r xmlns="http://schemas.openxmlformats.org/spreadsheetml/2006/main">
      <rPr>
        <sz val="10"/>
        <color theme="0"/>
        <rFont val="Arial"/>
        <family val="2"/>
        <charset val="204"/>
      </rPr>
      <t>_</t>
    </r>
    <r xmlns="http://schemas.openxmlformats.org/spreadsheetml/2006/main">
      <rPr>
        <sz val="10"/>
        <color rgb="FFFF0000"/>
        <rFont val="Arial"/>
        <family val="2"/>
      </rPr>
      <t>1800</t>
    </r>
    <r xmlns="http://schemas.openxmlformats.org/spreadsheetml/2006/main">
      <rPr>
        <sz val="10"/>
        <color theme="0"/>
        <rFont val="Arial"/>
        <family val="2"/>
        <charset val="204"/>
      </rPr>
      <t>N</t>
    </r>
  </si>
  <si>
    <r xmlns="http://schemas.openxmlformats.org/spreadsheetml/2006/main">
      <t>DSS</t>
    </r>
    <r xmlns="http://schemas.openxmlformats.org/spreadsheetml/2006/main">
      <rPr>
        <sz val="10"/>
        <color theme="0"/>
        <rFont val="Arial"/>
        <family val="2"/>
        <charset val="204"/>
      </rPr>
      <t>_</t>
    </r>
    <r xmlns="http://schemas.openxmlformats.org/spreadsheetml/2006/main">
      <rPr>
        <sz val="10"/>
        <rFont val="Arial"/>
        <family val="2"/>
      </rPr>
      <t>1800</t>
    </r>
  </si>
  <si>
    <r xmlns="http://schemas.openxmlformats.org/spreadsheetml/2006/main">
      <t>DSS</t>
    </r>
    <r xmlns="http://schemas.openxmlformats.org/spreadsheetml/2006/main">
      <rPr>
        <sz val="10"/>
        <color theme="0"/>
        <rFont val="Arial"/>
        <family val="2"/>
        <charset val="204"/>
      </rPr>
      <t>_</t>
    </r>
    <r xmlns="http://schemas.openxmlformats.org/spreadsheetml/2006/main">
      <rPr>
        <sz val="10"/>
        <color rgb="FFFF0000"/>
        <rFont val="Arial"/>
        <family val="2"/>
      </rPr>
      <t>1800</t>
    </r>
    <r xmlns="http://schemas.openxmlformats.org/spreadsheetml/2006/main">
      <rPr>
        <sz val="10"/>
        <color theme="0"/>
        <rFont val="Arial"/>
        <family val="2"/>
        <charset val="204"/>
      </rPr>
      <t>N</t>
    </r>
  </si>
  <si>
    <r xmlns="http://schemas.openxmlformats.org/spreadsheetml/2006/main">
      <t>UMTS</t>
    </r>
    <r xmlns="http://schemas.openxmlformats.org/spreadsheetml/2006/main">
      <rPr>
        <sz val="10"/>
        <color theme="0"/>
        <rFont val="Arial"/>
        <family val="2"/>
        <charset val="204"/>
      </rPr>
      <t>_</t>
    </r>
    <r xmlns="http://schemas.openxmlformats.org/spreadsheetml/2006/main">
      <rPr>
        <sz val="10"/>
        <rFont val="Arial"/>
        <family val="2"/>
      </rPr>
      <t>2100</t>
    </r>
  </si>
  <si>
    <r xmlns="http://schemas.openxmlformats.org/spreadsheetml/2006/main">
      <t>UMTS</t>
    </r>
    <r xmlns="http://schemas.openxmlformats.org/spreadsheetml/2006/main">
      <rPr>
        <sz val="10"/>
        <color theme="0"/>
        <rFont val="Arial"/>
        <family val="2"/>
        <charset val="204"/>
      </rPr>
      <t>_</t>
    </r>
    <r xmlns="http://schemas.openxmlformats.org/spreadsheetml/2006/main">
      <rPr>
        <sz val="10"/>
        <color rgb="FFFF0000"/>
        <rFont val="Arial"/>
        <family val="2"/>
      </rPr>
      <t>2100</t>
    </r>
    <r xmlns="http://schemas.openxmlformats.org/spreadsheetml/2006/main">
      <rPr>
        <sz val="10"/>
        <color theme="0"/>
        <rFont val="Arial"/>
        <family val="2"/>
        <charset val="204"/>
      </rPr>
      <t>N</t>
    </r>
  </si>
  <si>
    <r xmlns="http://schemas.openxmlformats.org/spreadsheetml/2006/main">
      <t>LTE</t>
    </r>
    <r xmlns="http://schemas.openxmlformats.org/spreadsheetml/2006/main">
      <rPr>
        <sz val="10"/>
        <color theme="0"/>
        <rFont val="Arial"/>
        <family val="2"/>
        <charset val="204"/>
      </rPr>
      <t>_</t>
    </r>
    <r xmlns="http://schemas.openxmlformats.org/spreadsheetml/2006/main">
      <rPr>
        <sz val="10"/>
        <rFont val="Arial"/>
        <family val="2"/>
      </rPr>
      <t>2100</t>
    </r>
  </si>
  <si>
    <r xmlns="http://schemas.openxmlformats.org/spreadsheetml/2006/main">
      <t>LTE</t>
    </r>
    <r xmlns="http://schemas.openxmlformats.org/spreadsheetml/2006/main">
      <rPr>
        <sz val="10"/>
        <color theme="0"/>
        <rFont val="Arial"/>
        <family val="2"/>
        <charset val="204"/>
      </rPr>
      <t>_</t>
    </r>
    <r xmlns="http://schemas.openxmlformats.org/spreadsheetml/2006/main">
      <rPr>
        <sz val="10"/>
        <color rgb="FFFF0000"/>
        <rFont val="Arial"/>
        <family val="2"/>
      </rPr>
      <t>2100</t>
    </r>
    <r xmlns="http://schemas.openxmlformats.org/spreadsheetml/2006/main">
      <rPr>
        <sz val="10"/>
        <color theme="0"/>
        <rFont val="Arial"/>
        <family val="2"/>
        <charset val="204"/>
      </rPr>
      <t>N</t>
    </r>
  </si>
  <si>
    <r xmlns="http://schemas.openxmlformats.org/spreadsheetml/2006/main">
      <t>LTE</t>
    </r>
    <r xmlns="http://schemas.openxmlformats.org/spreadsheetml/2006/main">
      <rPr>
        <sz val="10"/>
        <color theme="0"/>
        <rFont val="Arial"/>
        <family val="2"/>
        <charset val="204"/>
      </rPr>
      <t>_</t>
    </r>
    <r xmlns="http://schemas.openxmlformats.org/spreadsheetml/2006/main">
      <rPr>
        <sz val="10"/>
        <color theme="1"/>
        <rFont val="Arial"/>
        <family val="2"/>
        <charset val="204"/>
      </rPr>
      <t>260</t>
    </r>
    <r xmlns="http://schemas.openxmlformats.org/spreadsheetml/2006/main">
      <rPr>
        <sz val="10"/>
        <rFont val="Arial"/>
        <family val="2"/>
      </rPr>
      <t>0</t>
    </r>
  </si>
  <si>
    <r xmlns="http://schemas.openxmlformats.org/spreadsheetml/2006/main">
      <t>LTE</t>
    </r>
    <r xmlns="http://schemas.openxmlformats.org/spreadsheetml/2006/main">
      <rPr>
        <sz val="10"/>
        <color theme="0"/>
        <rFont val="Arial"/>
        <family val="2"/>
        <charset val="204"/>
      </rPr>
      <t>_</t>
    </r>
    <r xmlns="http://schemas.openxmlformats.org/spreadsheetml/2006/main">
      <rPr>
        <sz val="10"/>
        <color rgb="FFFF0000"/>
        <rFont val="Arial"/>
        <family val="2"/>
        <charset val="204"/>
      </rPr>
      <t>26</t>
    </r>
    <r xmlns="http://schemas.openxmlformats.org/spreadsheetml/2006/main">
      <rPr>
        <sz val="10"/>
        <color rgb="FFFF0000"/>
        <rFont val="Arial"/>
        <family val="2"/>
      </rPr>
      <t>00</t>
    </r>
    <r xmlns="http://schemas.openxmlformats.org/spreadsheetml/2006/main">
      <rPr>
        <sz val="10"/>
        <color theme="0"/>
        <rFont val="Arial"/>
        <family val="2"/>
        <charset val="204"/>
      </rPr>
      <t>N</t>
    </r>
  </si>
  <si>
    <t>NR-TDD 3600</t>
  </si>
  <si>
    <t>NR-TDD 3600N</t>
  </si>
  <si>
    <t>SRF №</t>
  </si>
  <si>
    <t>DateTime</t>
  </si>
  <si>
    <t>2023-10-16</t>
  </si>
  <si>
    <t>Revision</t>
  </si>
  <si>
    <t>SiteName</t>
  </si>
  <si>
    <t>Chamkoria</t>
  </si>
  <si>
    <t>Sector 4</t>
  </si>
  <si>
    <t>SiteAddress</t>
  </si>
  <si>
    <t>SamokovHotel Festa Chamkoria</t>
  </si>
  <si>
    <t>Sector 5</t>
  </si>
  <si>
    <t>SiteOwner</t>
  </si>
  <si>
    <t>GLOBUL</t>
  </si>
  <si>
    <t>Sector 6</t>
  </si>
  <si>
    <t>ColocationType</t>
  </si>
  <si>
    <t>AFS/Telenor</t>
  </si>
  <si>
    <t>Sector 7</t>
  </si>
  <si>
    <t>Latitude</t>
  </si>
  <si>
    <t>Sector 8</t>
  </si>
  <si>
    <t>Longitude</t>
  </si>
  <si>
    <t>Sector 9</t>
  </si>
  <si>
    <t>StructureType</t>
  </si>
  <si>
    <t>RT</t>
  </si>
  <si>
    <t>StructureHeight</t>
  </si>
  <si>
    <t>BSC</t>
  </si>
  <si>
    <t>BSC1</t>
  </si>
  <si>
    <t>RNC</t>
  </si>
  <si>
    <t>RNC1</t>
  </si>
  <si>
    <t>CabinetType</t>
  </si>
  <si>
    <t>TRF</t>
  </si>
  <si>
    <t>Project</t>
  </si>
  <si>
    <t>Process</t>
  </si>
  <si>
    <t>RF_Engineer</t>
  </si>
  <si>
    <t>krasimir.naydenov</t>
  </si>
  <si>
    <t>Mobile</t>
  </si>
  <si>
    <t>+359878500413</t>
  </si>
  <si>
    <t>Email</t>
  </si>
  <si>
    <t>krasimir.naydenov@vivacom.bg</t>
  </si>
  <si>
    <t xml:space="preserve"> BOM Code</t>
  </si>
  <si>
    <t>SAP Number</t>
  </si>
  <si>
    <t>Type</t>
  </si>
  <si>
    <t>Module</t>
  </si>
  <si>
    <t>Reuse/replace</t>
  </si>
  <si>
    <t>Action</t>
  </si>
  <si>
    <t>De-installation Week</t>
  </si>
  <si>
    <t>Expected Quantity</t>
  </si>
  <si>
    <t>Actual Quantity</t>
  </si>
  <si>
    <t>Remark</t>
  </si>
  <si>
    <t>02311APA</t>
  </si>
  <si>
    <t>RF 1800M</t>
  </si>
  <si>
    <t>RRU3953</t>
  </si>
  <si>
    <t>Reuse</t>
  </si>
  <si>
    <t>dismantled must be returned to SH03 in Schenker against rezervation No.</t>
  </si>
  <si>
    <t>Including 3 PCS bracket and power connector</t>
  </si>
  <si>
    <t>02311PRD</t>
  </si>
  <si>
    <t>RRU5905</t>
  </si>
  <si>
    <t>02311BBK</t>
  </si>
  <si>
    <t>RRU3953w</t>
  </si>
  <si>
    <t>02311UWH</t>
  </si>
  <si>
    <t>RRU5904</t>
  </si>
  <si>
    <t>02311QFY</t>
  </si>
  <si>
    <t>RF 2100M</t>
  </si>
  <si>
    <t>02312CME</t>
  </si>
  <si>
    <t>RF 2600M</t>
  </si>
  <si>
    <t>RRU5304</t>
  </si>
  <si>
    <t>02311HEF</t>
  </si>
  <si>
    <t>RRU3281</t>
  </si>
  <si>
    <t>02311KVB</t>
  </si>
  <si>
    <t>RRU3268</t>
  </si>
  <si>
    <t>02312CHP</t>
  </si>
  <si>
    <t>RF 3500M</t>
  </si>
  <si>
    <t>AAU5613</t>
  </si>
  <si>
    <t>02312DWE</t>
  </si>
  <si>
    <t>AAU5313</t>
  </si>
  <si>
    <t>02311HVE</t>
  </si>
  <si>
    <t>RF 900M</t>
  </si>
  <si>
    <t>02310MNS</t>
  </si>
  <si>
    <t>RRU3936</t>
  </si>
  <si>
    <t>02312BCY</t>
  </si>
  <si>
    <t>02311DYP</t>
  </si>
  <si>
    <t>RF 1800+2100M</t>
  </si>
  <si>
    <t>AAU3940</t>
  </si>
  <si>
    <t>(1) Plastic cap</t>
  </si>
  <si>
    <t>03058542</t>
  </si>
  <si>
    <t>BBP/MPT</t>
  </si>
  <si>
    <t>UMPTg2</t>
  </si>
  <si>
    <t>(2) Standard M10 nut</t>
  </si>
  <si>
    <t>03022HEJ</t>
  </si>
  <si>
    <t>UBBPd3</t>
  </si>
  <si>
    <t>(3) Spring washer</t>
  </si>
  <si>
    <t>03022HEL</t>
  </si>
  <si>
    <t>UBBPd5</t>
  </si>
  <si>
    <t>(4) Thick flat washer</t>
  </si>
  <si>
    <t>03022HEM</t>
  </si>
  <si>
    <t>UBBPd6</t>
  </si>
  <si>
    <t>(5) Square-neck bolt</t>
  </si>
  <si>
    <t>03058707</t>
  </si>
  <si>
    <t>UBBPg2a</t>
  </si>
  <si>
    <t>(6) Hoist clamp on the main bracket</t>
  </si>
  <si>
    <t>02310WYG</t>
  </si>
  <si>
    <t>BBU</t>
  </si>
  <si>
    <t>BBU3910</t>
  </si>
  <si>
    <t>including 1 UPEUd，1 PCS power cable</t>
  </si>
  <si>
    <t>(7) Main bracket</t>
  </si>
  <si>
    <t>no SAP No</t>
  </si>
  <si>
    <t xml:space="preserve">dismantled to be decomposed </t>
  </si>
  <si>
    <t>including 2 UPEUd，2 PCS power cable- to be decomposed</t>
  </si>
  <si>
    <t>(8) Inner hexagon screw</t>
  </si>
  <si>
    <t>02311VBK</t>
  </si>
  <si>
    <t>BBU5900</t>
  </si>
  <si>
    <t>including 1 UPEUe，1 PCS power cable</t>
  </si>
  <si>
    <t>(9) Pole installation bracket</t>
  </si>
  <si>
    <t>including 2 UPEUe，2 PCS power cable- to be decomposed</t>
  </si>
  <si>
    <t>(10) Auxiliary bracket</t>
  </si>
  <si>
    <t>02310SFM</t>
  </si>
  <si>
    <t>UPEUd</t>
  </si>
  <si>
    <t xml:space="preserve">return of  second UPEUd and 1pcs power cable</t>
  </si>
  <si>
    <t>02310MNR</t>
  </si>
  <si>
    <t>02310UPA</t>
  </si>
  <si>
    <t>RRU3826</t>
  </si>
  <si>
    <t>02319897</t>
  </si>
  <si>
    <t>UPEUc</t>
  </si>
  <si>
    <t>02310KKQ</t>
  </si>
  <si>
    <t>02316791</t>
  </si>
  <si>
    <t>RRU3804</t>
  </si>
  <si>
    <t>02310UNY</t>
  </si>
  <si>
    <t>RRU3824</t>
  </si>
  <si>
    <t>02310HFW</t>
  </si>
  <si>
    <t>RRU3926</t>
  </si>
  <si>
    <t>03054885</t>
  </si>
  <si>
    <t>MPT</t>
  </si>
  <si>
    <t>UMPTb1</t>
  </si>
  <si>
    <t>03054886</t>
  </si>
  <si>
    <t>UMPTb2</t>
  </si>
  <si>
    <t>03022ACJ</t>
  </si>
  <si>
    <t>BBP</t>
  </si>
  <si>
    <t>UBRIb</t>
  </si>
  <si>
    <t>03020KWP</t>
  </si>
  <si>
    <t>WBBPb3</t>
  </si>
  <si>
    <t>03020PSS</t>
  </si>
  <si>
    <t>03021HPR</t>
  </si>
  <si>
    <t>WBBPf4</t>
  </si>
  <si>
    <t>02112722</t>
  </si>
  <si>
    <t>BBU3900</t>
  </si>
  <si>
    <t>PDU</t>
  </si>
  <si>
    <t>antenna</t>
  </si>
  <si>
    <t>Scrap</t>
  </si>
  <si>
    <t>YES</t>
  </si>
  <si>
    <t>NO</t>
  </si>
  <si>
    <t>2CPX208R-V3</t>
  </si>
  <si>
    <t>2H-33A-R2</t>
  </si>
  <si>
    <t>5LPX1106F</t>
  </si>
  <si>
    <t>742192V01</t>
  </si>
  <si>
    <t>742222V01</t>
  </si>
  <si>
    <t>742264V02</t>
  </si>
  <si>
    <t>742265V02</t>
  </si>
  <si>
    <t>742266V00</t>
  </si>
  <si>
    <t>742266V01</t>
  </si>
  <si>
    <t>742266v02</t>
  </si>
  <si>
    <t>742270v03</t>
  </si>
  <si>
    <t>80010123v03</t>
  </si>
  <si>
    <t>80010291V01</t>
  </si>
  <si>
    <t>80010292V01</t>
  </si>
  <si>
    <t>80010292V02</t>
  </si>
  <si>
    <t>80010292V03</t>
  </si>
  <si>
    <t>80010303V02</t>
  </si>
  <si>
    <t>80010306v02</t>
  </si>
  <si>
    <t>80010307V01</t>
  </si>
  <si>
    <t>80010456V02</t>
  </si>
  <si>
    <t>80010517V01</t>
  </si>
  <si>
    <t>80010634V01</t>
  </si>
  <si>
    <t>80010666V01</t>
  </si>
  <si>
    <t>80010691V01</t>
  </si>
  <si>
    <t>80010692V01</t>
  </si>
  <si>
    <t>80010892V01</t>
  </si>
  <si>
    <t>A094519R2v06</t>
  </si>
  <si>
    <t>A094519R3v06</t>
  </si>
  <si>
    <t>A19452101</t>
  </si>
  <si>
    <t>AAU5339W</t>
  </si>
  <si>
    <t>AAU5639</t>
  </si>
  <si>
    <t>AAU5639W</t>
  </si>
  <si>
    <t>ADU451602v01</t>
  </si>
  <si>
    <t>ADU4517R6v06</t>
  </si>
  <si>
    <t>ADU4518R7v06</t>
  </si>
  <si>
    <t>ADU4518R8v06</t>
  </si>
  <si>
    <t>ADU4521R0v06</t>
  </si>
  <si>
    <t>AMB4519R13v06</t>
  </si>
  <si>
    <t>AOC4518R0v06</t>
  </si>
  <si>
    <t>APE4516R1v06</t>
  </si>
  <si>
    <t>AQU4518R24v06</t>
  </si>
  <si>
    <t>AQU4518R24v18</t>
  </si>
  <si>
    <t>AQU4518R25</t>
  </si>
  <si>
    <t>AQU4518R25v06</t>
  </si>
  <si>
    <t>AQU4518R25v18</t>
  </si>
  <si>
    <t>AQU4518R4v06</t>
  </si>
  <si>
    <t>AQU4518R9v06</t>
  </si>
  <si>
    <t>ASI4517R3v06</t>
  </si>
  <si>
    <t>ASI4517R3v18</t>
  </si>
  <si>
    <t>ASI4518R10v06</t>
  </si>
  <si>
    <t>ASI4518R20v06</t>
  </si>
  <si>
    <t>ASI4518R32v06</t>
  </si>
  <si>
    <t>ASI4518R33v06</t>
  </si>
  <si>
    <t>ASI4518R36v06</t>
  </si>
  <si>
    <t>ASI4518R39v06</t>
  </si>
  <si>
    <t>ASPJ 810 Yagi</t>
  </si>
  <si>
    <t>ATR4518R11v06</t>
  </si>
  <si>
    <t>ATR4518R13v06</t>
  </si>
  <si>
    <t>ATR4518R6</t>
  </si>
  <si>
    <t>ATR4518R6v06</t>
  </si>
  <si>
    <t>B08_0868</t>
  </si>
  <si>
    <t>BTS3911E</t>
  </si>
  <si>
    <t>CELLMAX-D-CPUSE-O</t>
  </si>
  <si>
    <t>CMA_3324</t>
  </si>
  <si>
    <t>CMA_BDHH_6521_E0-6</t>
  </si>
  <si>
    <t>CMA_BTHH_3324_E0-6</t>
  </si>
  <si>
    <t>CMA_BTLBHH_6517</t>
  </si>
  <si>
    <t>CMA_UBDHH_6521_E1-10</t>
  </si>
  <si>
    <t>CMA_UBTLBHH_6517_21_21</t>
  </si>
  <si>
    <t>CMAB_3324_E0-6</t>
  </si>
  <si>
    <t>CMAB_6519</t>
  </si>
  <si>
    <t>CMAB_6520</t>
  </si>
  <si>
    <t>CMAB_6521</t>
  </si>
  <si>
    <t>CMA-TRI6515_correct</t>
  </si>
  <si>
    <t>CMA-UBTLBHH_6516_21_21</t>
  </si>
  <si>
    <t>CMMG-7-60-NJ</t>
  </si>
  <si>
    <t>DAS</t>
  </si>
  <si>
    <t>DB842H35E-SY</t>
  </si>
  <si>
    <t>DBXLH-6565C-VTM</t>
  </si>
  <si>
    <t>ECOMS291</t>
  </si>
  <si>
    <t>ECOMS692V01</t>
  </si>
  <si>
    <t>ECOMS892</t>
  </si>
  <si>
    <t>ECOPB892</t>
  </si>
  <si>
    <t>ECOTB292V03</t>
  </si>
  <si>
    <t>ECOTB692V01</t>
  </si>
  <si>
    <t>ECOUB644V01</t>
  </si>
  <si>
    <t>GL_A79451700v02</t>
  </si>
  <si>
    <t>GL_ADU451807v01</t>
  </si>
  <si>
    <t>GL_ATR451602v06</t>
  </si>
  <si>
    <t>GL_ATR451704v01</t>
  </si>
  <si>
    <t>GL_ATR451704v06</t>
  </si>
  <si>
    <t>LBX-6516DS-VMT</t>
  </si>
  <si>
    <t>MCIN</t>
  </si>
  <si>
    <t>NANO</t>
  </si>
  <si>
    <t>Pico3911B</t>
  </si>
  <si>
    <t>PW6517</t>
  </si>
  <si>
    <t>PW7465</t>
  </si>
  <si>
    <t>PW7782</t>
  </si>
  <si>
    <t>PW7785</t>
  </si>
  <si>
    <t>RRV4-65D-R6</t>
  </si>
  <si>
    <t>RRZZHHTT-65A-R6-BM</t>
  </si>
  <si>
    <t>RRZZHHTT-65B-R6H4</t>
  </si>
  <si>
    <t>RRZZHHTT-65D-R6</t>
  </si>
  <si>
    <t>RVV2NPX310.211R</t>
  </si>
  <si>
    <t>SSC-760244562</t>
  </si>
  <si>
    <t>SSC-760245803</t>
  </si>
  <si>
    <t>TBXLHA-6565C</t>
  </si>
  <si>
    <t>TDQ-809017</t>
  </si>
  <si>
    <t>TNA660A10</t>
  </si>
  <si>
    <t>TNA670A10</t>
  </si>
  <si>
    <t>TNA990A10Rx</t>
  </si>
  <si>
    <t>TTB-Q9017</t>
  </si>
  <si>
    <t>V360QS-C3-3XR</t>
  </si>
  <si>
    <t>V65S-C3-1XR</t>
  </si>
  <si>
    <t>W360-17-x</t>
  </si>
  <si>
    <t>790-960</t>
  </si>
  <si>
    <t>1695-2400</t>
  </si>
  <si>
    <t>3X-V65S-C3-3XR</t>
  </si>
  <si>
    <t>5863903</t>
  </si>
  <si>
    <t>880-960</t>
  </si>
  <si>
    <t>1710-2170</t>
  </si>
  <si>
    <t>5880903</t>
  </si>
  <si>
    <t>5961300</t>
  </si>
  <si>
    <t>698-960</t>
  </si>
  <si>
    <t>5961400</t>
  </si>
  <si>
    <t>1427-2690</t>
  </si>
  <si>
    <t>5970300</t>
  </si>
  <si>
    <t>5980300</t>
  </si>
  <si>
    <t>1995-2690</t>
  </si>
  <si>
    <t>1710-2690</t>
  </si>
  <si>
    <t>5NPX1006F</t>
  </si>
  <si>
    <t>1710-2180</t>
  </si>
  <si>
    <t>732267</t>
  </si>
  <si>
    <t>736347</t>
  </si>
  <si>
    <t>870-960</t>
  </si>
  <si>
    <t>736349</t>
  </si>
  <si>
    <t>736350</t>
  </si>
  <si>
    <t>736854</t>
  </si>
  <si>
    <t>872-960</t>
  </si>
  <si>
    <t>737190</t>
  </si>
  <si>
    <t>1710-1880</t>
  </si>
  <si>
    <t>738187</t>
  </si>
  <si>
    <t>738445</t>
  </si>
  <si>
    <t>824-960/1710-2170</t>
  </si>
  <si>
    <t>738446</t>
  </si>
  <si>
    <t>738447</t>
  </si>
  <si>
    <t>694-960/1710-2690</t>
  </si>
  <si>
    <t>738448</t>
  </si>
  <si>
    <t>738449</t>
  </si>
  <si>
    <t>870-960/1710-1880</t>
  </si>
  <si>
    <t>738454</t>
  </si>
  <si>
    <t>1710-2200</t>
  </si>
  <si>
    <t>739489</t>
  </si>
  <si>
    <t>739495</t>
  </si>
  <si>
    <t>1700-1990</t>
  </si>
  <si>
    <t>739496</t>
  </si>
  <si>
    <t>1710-1990</t>
  </si>
  <si>
    <t>739620</t>
  </si>
  <si>
    <t>806-960</t>
  </si>
  <si>
    <t>739622</t>
  </si>
  <si>
    <t>739623</t>
  </si>
  <si>
    <t>739624</t>
  </si>
  <si>
    <t>739630</t>
  </si>
  <si>
    <t>739632</t>
  </si>
  <si>
    <t>739636</t>
  </si>
  <si>
    <t>739637</t>
  </si>
  <si>
    <t>739638</t>
  </si>
  <si>
    <t>824-960</t>
  </si>
  <si>
    <t>739640</t>
  </si>
  <si>
    <t>739649</t>
  </si>
  <si>
    <t>739650</t>
  </si>
  <si>
    <t>739685</t>
  </si>
  <si>
    <t>739686</t>
  </si>
  <si>
    <t>739695</t>
  </si>
  <si>
    <t>741322</t>
  </si>
  <si>
    <t>741717</t>
  </si>
  <si>
    <t>741718</t>
  </si>
  <si>
    <t>741785</t>
  </si>
  <si>
    <t>741794</t>
  </si>
  <si>
    <t>742047</t>
  </si>
  <si>
    <t>742149</t>
  </si>
  <si>
    <t>742192</t>
  </si>
  <si>
    <t>806-2170</t>
  </si>
  <si>
    <t>790-2690</t>
  </si>
  <si>
    <t>742192V02</t>
  </si>
  <si>
    <t>690-2690</t>
  </si>
  <si>
    <t>742210</t>
  </si>
  <si>
    <t>742210V01</t>
  </si>
  <si>
    <t>742211</t>
  </si>
  <si>
    <t>742215</t>
  </si>
  <si>
    <t>790-960/1710-2170</t>
  </si>
  <si>
    <t>742224</t>
  </si>
  <si>
    <t>824-960/1710-2180</t>
  </si>
  <si>
    <t>742225</t>
  </si>
  <si>
    <t>742241</t>
  </si>
  <si>
    <t>742265</t>
  </si>
  <si>
    <t>742266</t>
  </si>
  <si>
    <t>742270</t>
  </si>
  <si>
    <t>1920-2170</t>
  </si>
  <si>
    <t>742271</t>
  </si>
  <si>
    <t>742271V03</t>
  </si>
  <si>
    <t>742272</t>
  </si>
  <si>
    <t>742290</t>
  </si>
  <si>
    <t>80010123</t>
  </si>
  <si>
    <t>80010125</t>
  </si>
  <si>
    <t>80010173</t>
  </si>
  <si>
    <t>876-960/1710-2500</t>
  </si>
  <si>
    <t>80010204</t>
  </si>
  <si>
    <t>80010248</t>
  </si>
  <si>
    <t>806-960/1710-2500</t>
  </si>
  <si>
    <t>80010249</t>
  </si>
  <si>
    <t>790-960/1425-3800/5150-6000</t>
  </si>
  <si>
    <t>80010274</t>
  </si>
  <si>
    <t>80010292</t>
  </si>
  <si>
    <t>80010302</t>
  </si>
  <si>
    <t>80010303</t>
  </si>
  <si>
    <t>80010307</t>
  </si>
  <si>
    <t>80010360</t>
  </si>
  <si>
    <t>80010368</t>
  </si>
  <si>
    <t>80010375</t>
  </si>
  <si>
    <t>80010454</t>
  </si>
  <si>
    <t>806-960/1710-2180</t>
  </si>
  <si>
    <t>80010456</t>
  </si>
  <si>
    <t>80010465</t>
  </si>
  <si>
    <t>790-960/1710-2700</t>
  </si>
  <si>
    <t>80010492</t>
  </si>
  <si>
    <t>80010516</t>
  </si>
  <si>
    <t>80010517</t>
  </si>
  <si>
    <t>80010622</t>
  </si>
  <si>
    <t>80010656</t>
  </si>
  <si>
    <t>80010658</t>
  </si>
  <si>
    <t>870-960/1710-2170</t>
  </si>
  <si>
    <t>80010665</t>
  </si>
  <si>
    <t>80010665V01</t>
  </si>
  <si>
    <t>80010677</t>
  </si>
  <si>
    <t>80010681</t>
  </si>
  <si>
    <t>80010682</t>
  </si>
  <si>
    <t>80010691</t>
  </si>
  <si>
    <t>80010692</t>
  </si>
  <si>
    <t>80010710</t>
  </si>
  <si>
    <t>80010748</t>
  </si>
  <si>
    <t>876-960/1710-2700</t>
  </si>
  <si>
    <t>80010761</t>
  </si>
  <si>
    <t>80010776</t>
  </si>
  <si>
    <t>80010825</t>
  </si>
  <si>
    <t>80010826</t>
  </si>
  <si>
    <t>80010828</t>
  </si>
  <si>
    <t>80010828V01</t>
  </si>
  <si>
    <t>80010864</t>
  </si>
  <si>
    <t>689-960</t>
  </si>
  <si>
    <t>80010865</t>
  </si>
  <si>
    <t>80010899</t>
  </si>
  <si>
    <t>698-862</t>
  </si>
  <si>
    <t>80010902</t>
  </si>
  <si>
    <t>80010965</t>
  </si>
  <si>
    <t>694-960</t>
  </si>
  <si>
    <t>80010991</t>
  </si>
  <si>
    <t>80010992</t>
  </si>
  <si>
    <t>80020872</t>
  </si>
  <si>
    <t>80020892</t>
  </si>
  <si>
    <t>80020899</t>
  </si>
  <si>
    <t>1698-2690</t>
  </si>
  <si>
    <t>800372965</t>
  </si>
  <si>
    <t>800372966</t>
  </si>
  <si>
    <t>800372991</t>
  </si>
  <si>
    <t>800372992</t>
  </si>
  <si>
    <t>3300-3800</t>
  </si>
  <si>
    <t>A104521R0v06</t>
  </si>
  <si>
    <t>2300-3800</t>
  </si>
  <si>
    <t>A104521R0v06_NR</t>
  </si>
  <si>
    <t>A26451800v06</t>
  </si>
  <si>
    <t>A704517R0v06</t>
  </si>
  <si>
    <t>A704521R0v06</t>
  </si>
  <si>
    <t>1710-1880/1920-2170</t>
  </si>
  <si>
    <t>3400-3800</t>
  </si>
  <si>
    <t>3400-3600/3600-3800</t>
  </si>
  <si>
    <t>3500-3800</t>
  </si>
  <si>
    <t>ADU451200v06</t>
  </si>
  <si>
    <t>690-862</t>
  </si>
  <si>
    <t>AOC4518R6v06</t>
  </si>
  <si>
    <t>AQU4518R23v18</t>
  </si>
  <si>
    <t>790-862</t>
  </si>
  <si>
    <t>AQU4518R61v06</t>
  </si>
  <si>
    <t>590-960</t>
  </si>
  <si>
    <t>1695-2200</t>
  </si>
  <si>
    <t>2490-2690</t>
  </si>
  <si>
    <t>ASI4518R37v06</t>
  </si>
  <si>
    <t>ATD4516R8v07</t>
  </si>
  <si>
    <t>ATR451806</t>
  </si>
  <si>
    <t>ATR4521R0v06</t>
  </si>
  <si>
    <t>NOVAL</t>
  </si>
  <si>
    <t>BTS3911E_2600</t>
  </si>
  <si>
    <t>698-960/1710-2700</t>
  </si>
  <si>
    <t>CMA_UBDHHH_6521_E1-10</t>
  </si>
  <si>
    <t>CMAB_6521_E0-6</t>
  </si>
  <si>
    <t>CMABDHH_6519_E0-8</t>
  </si>
  <si>
    <t>CMA-TRI6515</t>
  </si>
  <si>
    <t>CMA-UBTLBHH_6517_21_21_OLD</t>
  </si>
  <si>
    <t>698-960/1710-6000</t>
  </si>
  <si>
    <t>CVV2NPX308.208R</t>
  </si>
  <si>
    <t>1695-2180</t>
  </si>
  <si>
    <t>1710-2160</t>
  </si>
  <si>
    <t>ECOMS290</t>
  </si>
  <si>
    <t xml:space="preserve">1695-2690 </t>
  </si>
  <si>
    <t>ECOTB291V02</t>
  </si>
  <si>
    <t>GL_A26451800v01</t>
  </si>
  <si>
    <t>GL_ADU451712</t>
  </si>
  <si>
    <t>GL_ATR451607</t>
  </si>
  <si>
    <t>Jaybeam_5363603</t>
  </si>
  <si>
    <t>Jaybeam_5363802</t>
  </si>
  <si>
    <t>Jaybeam_5363803</t>
  </si>
  <si>
    <t>K741336</t>
  </si>
  <si>
    <t>KRE1012338</t>
  </si>
  <si>
    <t>Pico3911B_2600</t>
  </si>
  <si>
    <t>1710-2170/2300-2690</t>
  </si>
  <si>
    <t>PW7755</t>
  </si>
  <si>
    <t>R3V6-65B-R9</t>
  </si>
  <si>
    <t>SSC-760255412</t>
  </si>
  <si>
    <t>TNA970A10Rx</t>
  </si>
  <si>
    <t>Tong 8</t>
  </si>
  <si>
    <t>VV-65B-R1B</t>
  </si>
  <si>
    <t>FOR DISMANTLING</t>
  </si>
  <si>
    <t>SAP</t>
  </si>
  <si>
    <t>Order from Stock</t>
  </si>
  <si>
    <t>quantity</t>
  </si>
  <si>
    <t>Cabinet</t>
  </si>
  <si>
    <t>BTS3900C OMB CABINET220V AC</t>
  </si>
  <si>
    <t>INSTALL.KIT OMB CAB verC AC</t>
  </si>
  <si>
    <t>BTS3900C OMB CABINET-48V DC</t>
  </si>
  <si>
    <t>INSTALL MATER BTS3900C DC CAB</t>
  </si>
  <si>
    <t>INDOOR MINI BOX 3U</t>
  </si>
  <si>
    <t>PS (2 per BBU)</t>
  </si>
  <si>
    <t>DCDU</t>
  </si>
  <si>
    <t>PS (1*AC-&gt;1*DC)</t>
  </si>
  <si>
    <t>OPM15M AC POWER MODULE</t>
  </si>
  <si>
    <t>PS (1*AC-&gt;4*DC)</t>
  </si>
  <si>
    <t>BL ACDC PWRMODULE OPM50M 3000W</t>
  </si>
  <si>
    <t>BBU3910A3</t>
  </si>
  <si>
    <t>BBU3910A3 (DC -48V)</t>
  </si>
  <si>
    <t>BBU3910A TRUNK CABLE 4E1 20M</t>
  </si>
  <si>
    <t>BBU3910A GE OPT TRANS MAT</t>
  </si>
  <si>
    <t>BBU (w 1*UPEUd)</t>
  </si>
  <si>
    <t>BBU (w/o UPEU)</t>
  </si>
  <si>
    <t>DBS5900 INSTALLATION KIT</t>
  </si>
  <si>
    <t>DBS5900 INST KIT EXPANSION&amp;MOD</t>
  </si>
  <si>
    <t>Installation set for DBS3900</t>
  </si>
  <si>
    <t>TRUNK CABLE 75OHM,4E1,10M</t>
  </si>
  <si>
    <t>ETHERNET CABLE</t>
  </si>
  <si>
    <t>GROUNDING UNIT</t>
  </si>
  <si>
    <t>BBU Control board</t>
  </si>
  <si>
    <t>UMPTB1</t>
  </si>
  <si>
    <t>BBU Control board (TxN over Satelite)</t>
  </si>
  <si>
    <t>BBU Control board (C-band)</t>
  </si>
  <si>
    <t>UMPTga2</t>
  </si>
  <si>
    <t>BBU BB Board</t>
  </si>
  <si>
    <t xml:space="preserve">UBRIb </t>
  </si>
  <si>
    <t>UBBPg1a</t>
  </si>
  <si>
    <t>UBBPg2</t>
  </si>
  <si>
    <t>GPS Antenna</t>
  </si>
  <si>
    <t>GPS ANTENNA/FEEDER PACKAGE</t>
  </si>
  <si>
    <t>AAU</t>
  </si>
  <si>
    <t>AAU3940 1800/2100MHz 2x40W WD7MAAU39400</t>
  </si>
  <si>
    <t>AAU5613 3400/3600MHz</t>
  </si>
  <si>
    <t>RU CABLE PACKAGE for AC AAU LT1PRUCPAC00</t>
  </si>
  <si>
    <t>CPRI OP TR.MATERIAL 9.8G SM LT1PCOTMDC00</t>
  </si>
  <si>
    <t>EJECTOR INSTALL.KIT 235/236 A000EJEKIT00</t>
  </si>
  <si>
    <t>PIGTAIL SM G.652D 3mm 1m OP-FC/PC-1</t>
  </si>
  <si>
    <t>ODM04A BOX WD5E1ODM04</t>
  </si>
  <si>
    <t>RRU</t>
  </si>
  <si>
    <t>RRU5519et</t>
  </si>
  <si>
    <t>RRU5515t</t>
  </si>
  <si>
    <t>RRU3926 (1*80W) 900MHz</t>
  </si>
  <si>
    <t>RRU3936 (1*80W) 900MHz</t>
  </si>
  <si>
    <t>RRU3953 (2*80W) 900MHz</t>
  </si>
  <si>
    <t>RRU5905 (2*80W) 900MHz</t>
  </si>
  <si>
    <t>RRU3936 (1*80W) 1800MHz</t>
  </si>
  <si>
    <t>RRU3953 (2*80W) 1800MHz</t>
  </si>
  <si>
    <t>RRU5905 (2*80W) 1800MHz</t>
  </si>
  <si>
    <t>RRU5505 (2*120W) MM 1800~2100MHz</t>
  </si>
  <si>
    <t>RRU5513</t>
  </si>
  <si>
    <t>RRU (RRU3826_UPA)</t>
  </si>
  <si>
    <t>RRU3826 for WCDMA 2100MHz (80W)</t>
  </si>
  <si>
    <t>RRU (RRU3826_KKQ)</t>
  </si>
  <si>
    <t>RRU3826 for WCDMA 2100 MHz</t>
  </si>
  <si>
    <t>RRU3953 (2*80W) 2100MHz</t>
  </si>
  <si>
    <t>RRU5905 (2*80W) 2100MHz</t>
  </si>
  <si>
    <t>RRU5909</t>
  </si>
  <si>
    <t>RRU5304 (4*60W) 2600MHz</t>
  </si>
  <si>
    <t>RRU5258 (8*30W) 3500MHz</t>
  </si>
  <si>
    <t>RxDiv Cable</t>
  </si>
  <si>
    <t>SINGLE CABLE EXT CONN 2M</t>
  </si>
  <si>
    <t>Chain FO cable</t>
  </si>
  <si>
    <t>OPT.CABLE MM DLC/PC,DLC/PC 2M</t>
  </si>
  <si>
    <t>Chain FO SFP</t>
  </si>
  <si>
    <t>SFP+ 850NM 6.144G LC MMF 0.12KM</t>
  </si>
  <si>
    <t>ESFP,850NM,4.25G MR,-9~0DBM,LC,MM 0.3KM</t>
  </si>
  <si>
    <t>RRU FO 2m</t>
  </si>
  <si>
    <t>OPT.CABLE RRU MM DLC/PC,DLC/PC 2M,7.0MM</t>
  </si>
  <si>
    <t>RRU Cable Package DC GND</t>
  </si>
  <si>
    <t>RRU Cable Package 160W RRU DC GND</t>
  </si>
  <si>
    <t>CPRI OP TR.MAT 4.9G MM 2m OP 2SFP CLMP</t>
  </si>
  <si>
    <t>CPRI OP TR.MAT 4.9G MM OP 2SFP CLMP</t>
  </si>
  <si>
    <r xmlns="http://schemas.openxmlformats.org/spreadsheetml/2006/main">
      <t xml:space="preserve">CPRI OP TR.MAT 4.9G </t>
    </r>
    <r xmlns="http://schemas.openxmlformats.org/spreadsheetml/2006/main">
      <rPr>
        <b/>
        <sz val="9"/>
        <color rgb="FFFF0000"/>
        <rFont val="Calibri"/>
        <family val="2"/>
        <charset val="204"/>
        <scheme val="minor"/>
      </rPr>
      <t>SM</t>
    </r>
    <r xmlns="http://schemas.openxmlformats.org/spreadsheetml/2006/main">
      <rPr>
        <sz val="9"/>
        <rFont val="Calibri"/>
        <family val="2"/>
        <charset val="204"/>
        <scheme val="minor"/>
      </rPr>
      <t xml:space="preserve"> OP 2SFP CLMP</t>
    </r>
  </si>
  <si>
    <t>CPRI OP TR.MAT 9.8G SM OP 2SFP</t>
  </si>
  <si>
    <t>RRU (7-16/7-16)</t>
  </si>
  <si>
    <t>RRU TOP JUMPER FIXED (2pcs set)</t>
  </si>
  <si>
    <t>Jumper CMA (7-16/4.3-10)</t>
  </si>
  <si>
    <t>JUMPER 7-16M/4.3-10М CMA</t>
  </si>
  <si>
    <t>Jumper CMA (4.3-10/4.3-10)</t>
  </si>
  <si>
    <t>JUMPER 4.3-10М/4.3-10М CMA</t>
  </si>
  <si>
    <t>Jumper JMA (7-16/4.3-10)</t>
  </si>
  <si>
    <t>JUMPER 7-16/4.3-10 1/2"FLEXIBLE JMA</t>
  </si>
  <si>
    <t>Jumper JMA (4.3-10/4.3-10)</t>
  </si>
  <si>
    <t>JUMPER 4.3-10/4.3-10 1/2"FLEXIBLE JMA</t>
  </si>
  <si>
    <t>Pico</t>
  </si>
  <si>
    <t>BTS3911B 1800M+2100MHZ WITH ANT</t>
  </si>
  <si>
    <t>02231YYS INSTALLATION MATERIALS BTS3911B</t>
  </si>
  <si>
    <t>PSE MODULE</t>
  </si>
  <si>
    <t>Pico (TxN over Satelite)</t>
  </si>
  <si>
    <t>RGPS MODULE FOR BTS3911B</t>
  </si>
  <si>
    <t>Micro</t>
  </si>
  <si>
    <t>BTS3911E 1800M+2100M with Ant</t>
  </si>
  <si>
    <t>INSTALL.MATs BTS3911E/Book RRU</t>
  </si>
  <si>
    <t>MAST FIXTURE SET BTS3911E 1800M+2100M</t>
  </si>
  <si>
    <t>Micro (external antenna)</t>
  </si>
  <si>
    <t>BTS3911E TOP JUMPER</t>
  </si>
  <si>
    <t>Micro (TxN over Satelite)</t>
  </si>
  <si>
    <t>GPS MODULE FOR BTS3911E</t>
  </si>
  <si>
    <t>Coupler 78210504</t>
  </si>
  <si>
    <t>HYBRID COMBINER 2:1, 698-2690MHz, 7-16 female</t>
  </si>
  <si>
    <t>Coupler 793554</t>
  </si>
  <si>
    <t>3dB Coupler, 800-2200MHz, 7-16 DIN female</t>
  </si>
  <si>
    <t>Coupler 78210525</t>
  </si>
  <si>
    <t xml:space="preserve">3dB COUPLER 698-2690MHz </t>
  </si>
  <si>
    <t xml:space="preserve">Coupler HAT073843500S-03 </t>
  </si>
  <si>
    <t xml:space="preserve">HAT073843500S-03 </t>
  </si>
  <si>
    <t>Mounting 78210526</t>
  </si>
  <si>
    <t>MOUNTING KIT 78210526 for 3DB COUPLER</t>
  </si>
  <si>
    <t>TMA 700/800/900 4.3-10 ATADU2016v06</t>
  </si>
  <si>
    <t>27100137 ATADU2016v06 700-800&amp;900M TMA</t>
  </si>
  <si>
    <t>TMA 880-960MHZ 4.3-10 MI-16331</t>
  </si>
  <si>
    <t>MI-16331</t>
  </si>
  <si>
    <t>TMA 900 78210440</t>
  </si>
  <si>
    <t>Double Unit TMA, 880-915/925-960MHz, 12dB, 7-16 female</t>
  </si>
  <si>
    <t>TMA 900 NSN</t>
  </si>
  <si>
    <t xml:space="preserve">AMP MDGB MHA 900MHz 12dB AISG </t>
  </si>
  <si>
    <t>TMA 900 78210510</t>
  </si>
  <si>
    <t>DTMA-800/900-12-AISG-CWA-78210510</t>
  </si>
  <si>
    <t>TMA 1800/2100 78211106</t>
  </si>
  <si>
    <t>DTMA 1800 UMTS 12-AISG DUPLEX 78211106</t>
  </si>
  <si>
    <t>TMA 1800/2100 78211106v02</t>
  </si>
  <si>
    <t xml:space="preserve">DTMA-1800-UMTS-12-AISG 78211106V02 </t>
  </si>
  <si>
    <t>TMA 1800/2100 78211106v44</t>
  </si>
  <si>
    <t>DTMA-1800-UMTS-12-AISG 78211106V44</t>
  </si>
  <si>
    <t>TMA 1800 78210312</t>
  </si>
  <si>
    <t>Double Unit TMA, 1710-1785/1805-1880MHz, 12dB, 7-16 female</t>
  </si>
  <si>
    <t>TMA 1800-2100MHZ 4.3-10 2ANT MI-12731</t>
  </si>
  <si>
    <t>MI-12731</t>
  </si>
  <si>
    <t>TMA 2600MHZ 4.3-10 MI-12031</t>
  </si>
  <si>
    <t>MI-12031</t>
  </si>
  <si>
    <t>TMA 1800/2100/2600 ATATR2002v06</t>
  </si>
  <si>
    <t>27100134 ATATR2002v06 1800&amp;2100&amp;2600 TMA</t>
  </si>
  <si>
    <t>DB combiner 78210249</t>
  </si>
  <si>
    <t>Double Unit Dual Band Combiner, 806-960/1710-2170MHz, 7-16 female</t>
  </si>
  <si>
    <t>DB combiner 78210681</t>
  </si>
  <si>
    <t>Double Unit Dual Band Combiner, 380-960/1710-2700MHz, 7-16 female</t>
  </si>
  <si>
    <t>DB combiner 78210620</t>
  </si>
  <si>
    <t>Single Unit Dual Band Combiner, 1710-1880/1920-2170MHz, 7-16 female</t>
  </si>
  <si>
    <t>DB combiner 78210621</t>
  </si>
  <si>
    <t>Double Unit Dual Band Combiner, 1710-1880/1920-2170MHz, 7-16 female</t>
  </si>
  <si>
    <t>DB combiner DCB-2-DU-64F-01</t>
  </si>
  <si>
    <t>DUAL COMBINER 1710-1880 1920-2170MHz CMA</t>
  </si>
  <si>
    <t>DB combiner DCB-2BM-64F-02</t>
  </si>
  <si>
    <t>DUAL COMBINER 1710-2180 2300-2700MHz CMA</t>
  </si>
  <si>
    <t>DIPLEXER 1800-2100MHz 4:3-10 MI54642</t>
  </si>
  <si>
    <t>MI54642</t>
  </si>
  <si>
    <t>DB combiner MI20242</t>
  </si>
  <si>
    <t>1710-2180MHz &amp; 2300-2700MHz Diplexer, 4:3-10</t>
  </si>
  <si>
    <t>ACOMT2A07v06</t>
  </si>
  <si>
    <t>27030829 COMBINER ACOMT2A07v06-TC-1800/2100/2600</t>
  </si>
  <si>
    <t>ACOMT2A04v06</t>
  </si>
  <si>
    <t>27030803 COMBINER ACOMT2A04v06 – 900/1800-2100/2600</t>
  </si>
  <si>
    <t>ACOMD2H22v06</t>
  </si>
  <si>
    <t>27030806 COMBINER ACOMD2H22v06 – 900/1800-2600</t>
  </si>
  <si>
    <t>DB combiner ACOMD2L13v06</t>
  </si>
  <si>
    <t>ACOMD2L13v06 DC-1427-2200/2300-2690-10</t>
  </si>
  <si>
    <t>TB combiner 78210630</t>
  </si>
  <si>
    <t>COMBINER TRIPLE 900/1800/2100 S 78210630</t>
  </si>
  <si>
    <t>TB combiner 78210631</t>
  </si>
  <si>
    <t>Double unit triple band combiner, 380-960/1710-1880/1920-2170MHz, 7-16 female (long neck)</t>
  </si>
  <si>
    <t>TRIPLEXER1800/2100/2600 4:3-106P MI21795</t>
  </si>
  <si>
    <t>MI21795</t>
  </si>
  <si>
    <t>4B combiner 78210640</t>
  </si>
  <si>
    <t>COMBINER 4 900/1800/2100/2600 S 78210640</t>
  </si>
  <si>
    <t>4B combiner 78210641</t>
  </si>
  <si>
    <t>COMBINER 4 900/1800/2100/2600 D 78210641</t>
  </si>
  <si>
    <t>Load 78210474 (7/16F)</t>
  </si>
  <si>
    <t xml:space="preserve">LOAD 50 Ohm RF 80W </t>
  </si>
  <si>
    <t>Load 78210473 (4.3-10F)</t>
  </si>
  <si>
    <t>LOAD 50 OHM RF 80W 78210473</t>
  </si>
  <si>
    <t>Load 78410367 (7/16F)</t>
  </si>
  <si>
    <t>LOAD 50Ohm, 1,5W, 7-16 female</t>
  </si>
  <si>
    <t>Load HWL005043100S-SW</t>
  </si>
  <si>
    <t>HWL005043100S-SW</t>
  </si>
  <si>
    <t>Load 75112004V01</t>
  </si>
  <si>
    <t>LOW PIM LOAD 50OHM 200W 75112004V01</t>
  </si>
  <si>
    <t>DC Stop 7/16</t>
  </si>
  <si>
    <t>DC STOP</t>
  </si>
  <si>
    <t>DC Stop ADCSTOP00v06 4.3-10</t>
  </si>
  <si>
    <t>27151012 DC-STOP FOR COMB. ADCSTOP00v06</t>
  </si>
  <si>
    <t>Site Sharing Adaprter (KA)</t>
  </si>
  <si>
    <t>3WAY SITESHARING ADAPTER FLXRET 86010154</t>
  </si>
  <si>
    <t>RET (KA)</t>
  </si>
  <si>
    <t>REMOTE CONTROL UNIT, 86010148V01</t>
  </si>
  <si>
    <t>RET (CMA)</t>
  </si>
  <si>
    <t>RET TILT ADJUSTER, RTAH</t>
  </si>
  <si>
    <t>RET (CMA 3324)</t>
  </si>
  <si>
    <t>RET TILT ADJUSTABLE SLIM CM</t>
  </si>
  <si>
    <t>AISG</t>
  </si>
  <si>
    <t>AISG Cable RRU, 5m</t>
  </si>
  <si>
    <t>AISG chain cable, 0,5m</t>
  </si>
  <si>
    <t>AISG Extension Cable</t>
  </si>
  <si>
    <t>if needed, according to convention</t>
  </si>
  <si>
    <t>Antenna SB 80010456V2</t>
  </si>
  <si>
    <t xml:space="preserve">XPol Panel, 790-960MHz, 2,25M, 30°, 0°-10°T, 20,5 dBi      </t>
  </si>
  <si>
    <t>Antenna SB 80010302</t>
  </si>
  <si>
    <t xml:space="preserve">XPol C-Panel, 806-960MHz, 2,25M, 33°, 0°T, 21 dBi      </t>
  </si>
  <si>
    <t>Antenna SB 80010303V02</t>
  </si>
  <si>
    <t>ANT XPOL PANEL 790–960 80010303v02 CLMP</t>
  </si>
  <si>
    <t>Antenna SB 80010306V02</t>
  </si>
  <si>
    <t>ANT XPOL PANEL 790-960 80010306v2 CLMP</t>
  </si>
  <si>
    <t>Antenna SB 80010307V01</t>
  </si>
  <si>
    <t xml:space="preserve">XPol Panel, 790-960MHz, 2,57M, 65°, 0°-10°T, 18 dBi (clamps)   </t>
  </si>
  <si>
    <t>Antenna SB 80010634V01</t>
  </si>
  <si>
    <t>ANT XPOL PANEL 790–960 80010634v01 CLMP</t>
  </si>
  <si>
    <t>Antenna SB 80010517V01</t>
  </si>
  <si>
    <t>XXpol Panel, 824-960MHz, 2,63M, 65°, 0°-8°T, 17 dBi (clamps)</t>
  </si>
  <si>
    <t>Antenna SB 80010902</t>
  </si>
  <si>
    <t>ANT XPOL 4PORT 698–960 RET 80010902</t>
  </si>
  <si>
    <t>Antenna SB ADU4517R6v06</t>
  </si>
  <si>
    <t>2L</t>
  </si>
  <si>
    <t>Antenna SB CMA-B3324</t>
  </si>
  <si>
    <t>ANT CMA-B/3324/E0 24DBI 1710-2170 W/TILT</t>
  </si>
  <si>
    <t>Antenna SB 80010761</t>
  </si>
  <si>
    <t>ANT XPOL PANEL 1710–2690 80010761 CLMP</t>
  </si>
  <si>
    <t>Antenna SB 80010681</t>
  </si>
  <si>
    <t>ANT XPOL PANEL 1710–2690 80010681 CLMP</t>
  </si>
  <si>
    <t>Antenna SB 742215V01</t>
  </si>
  <si>
    <t>XPol F-Panel, 1710-2200MHz, 1,3M, 65° , 0°-10°T, 18 dBi (clamps)</t>
  </si>
  <si>
    <t>Antenna SB CMA-B6519</t>
  </si>
  <si>
    <t>ANT CMA-B/6519 CELLMAX</t>
  </si>
  <si>
    <t>Antenna SB CMA-B6520</t>
  </si>
  <si>
    <t>ANT CMA-B/6520 CELLMAX</t>
  </si>
  <si>
    <t>Antenna SB CMA-B6521</t>
  </si>
  <si>
    <t>ANT CMA-B/6521/E0-6 21DBI 1710-2170MHZ</t>
  </si>
  <si>
    <t>Antenna SB CMA-BDHH/6521/E0-6</t>
  </si>
  <si>
    <t>ANT CMA-BDHH/6521/E0-6 XXPOL 2x1710-2180</t>
  </si>
  <si>
    <t>Antenna SB CMA-UBDHH/6521/E1-10</t>
  </si>
  <si>
    <t>ANT CMA-UBDHH/6521/E1-10/RET XXPOL</t>
  </si>
  <si>
    <t>Antenna SB 80010682</t>
  </si>
  <si>
    <t>ANT 80010682 4-PORT 2HB 0.9M</t>
  </si>
  <si>
    <t>Antenna SB VV-65B-R1B</t>
  </si>
  <si>
    <t>ANT HB SECTORIZED 4-P x1RET VV-65B-R1B</t>
  </si>
  <si>
    <t>Antenna SB A704521R0v06</t>
  </si>
  <si>
    <t>10033078</t>
  </si>
  <si>
    <t>27011919-002 ANT A704521R0v06 1L 2.6m</t>
  </si>
  <si>
    <t>Antenna SB A704517R0v06</t>
  </si>
  <si>
    <t>10033079</t>
  </si>
  <si>
    <t>27011506-001 ANT A704517R0v06 1L 2.6m</t>
  </si>
  <si>
    <t>Antenna SB ADU4521R0v06</t>
  </si>
  <si>
    <t>ANT 27012476 ADU4521R0v06 2H 4.3</t>
  </si>
  <si>
    <t>Antenna DB 80010123V03</t>
  </si>
  <si>
    <t>ANT XXPOL 790-2180 80010123v03 CLMP</t>
  </si>
  <si>
    <t>Antenna DB 742222V01</t>
  </si>
  <si>
    <t>ANT XXPOL 790–960/1710–2170 (Clamps)</t>
  </si>
  <si>
    <t>Antenna DB 742264V02</t>
  </si>
  <si>
    <t>ANT XXPOL 790/1710-2180 742264v02 CLMP</t>
  </si>
  <si>
    <t>Antenna DB 742265V02</t>
  </si>
  <si>
    <t>ANTXXPOL790-960/1710-2180 742265v02 CLMP</t>
  </si>
  <si>
    <t>Antenna DB 742266</t>
  </si>
  <si>
    <t xml:space="preserve">XXpol A-Panel, 824-960/1710-2180MHz, 2,51M, 65°, 0°-7°T, 17 dBi   </t>
  </si>
  <si>
    <t>Antenna DB 742266V01</t>
  </si>
  <si>
    <t xml:space="preserve">XXpol A-Panel, 790-960/1710-2180MHz, 2,51M, 65°, 0°-7°T, 17 dBi   </t>
  </si>
  <si>
    <t>Antenna DB 742266V02</t>
  </si>
  <si>
    <t xml:space="preserve">XXpol A-Panel, 790-960/1710-2180MHz, 2,51M, 65°, 0°-7°T, 17 dBi (clamps)  </t>
  </si>
  <si>
    <t>Antenna DB 742192V01</t>
  </si>
  <si>
    <t xml:space="preserve">VPol LogPer, 790-2690MHz, 0,78M, 65°, 0°T, 11 dBi  </t>
  </si>
  <si>
    <t>Antenna MB 742270V03</t>
  </si>
  <si>
    <t>ANT XXXPOL 790/1880/2170 742270V03 CLMP</t>
  </si>
  <si>
    <t>Antenna MB 80010292</t>
  </si>
  <si>
    <t xml:space="preserve">XXXpol A-Panel, 806-960/2x1710-2180MHz, 2,6M, 65°, 2°-10°T, 17,5 dBi   </t>
  </si>
  <si>
    <t>Antenna MB 80010292V01</t>
  </si>
  <si>
    <t xml:space="preserve">XXXpol A-Panel, 790-960/2x1710-2180MHz, 2,6M, 65°, 2°-10°T, 17,5 dBi </t>
  </si>
  <si>
    <t>Antenna MB 80010292V02</t>
  </si>
  <si>
    <t>XXXpol A-Panel, 790-960/2x1710-2180MHz, 2,6M, 65°, 2°-10°T, 17,5 dBi (clamps)</t>
  </si>
  <si>
    <t>Antenna MB 80010292V03</t>
  </si>
  <si>
    <t>Antenna MB CMA-BTLBHH/6517/21/21</t>
  </si>
  <si>
    <t>ANT CMA-BTLBHH/6517/21/21 XXPOL HEX-PORT</t>
  </si>
  <si>
    <t>Antenna MB CMA-UBTLBHH/6516/21/21</t>
  </si>
  <si>
    <t>ANT CMA-UBTLBHH/6516/21/21/RET XXXPOL 6P</t>
  </si>
  <si>
    <t>Antenna MB CMA-UBTLBHH/6517/21/21</t>
  </si>
  <si>
    <t>ANT CMA-UBTLBHH/6517/21/21/RET 6-PORT</t>
  </si>
  <si>
    <t>Antenna MB 80010691v01</t>
  </si>
  <si>
    <t>ANT 80010691v01 XXXPOL 698–960/1710–2690 CLAMPS</t>
  </si>
  <si>
    <t>Antenna MB 80010692v01</t>
  </si>
  <si>
    <t>ANT 80010692v01 XXXPOL 698–960/1710–2690 CLAMPS</t>
  </si>
  <si>
    <t>Antenna MB 80010826</t>
  </si>
  <si>
    <t>XXXX POL 790-960/1710-2180</t>
  </si>
  <si>
    <t>Antenna MB 80010864</t>
  </si>
  <si>
    <t>ANT XPOL 698–906 1710-2690 RET 80010864</t>
  </si>
  <si>
    <t>Antenna MB 80010865</t>
  </si>
  <si>
    <t>ANT 6PORT XPOL HPBW RET 80010865</t>
  </si>
  <si>
    <t>Antenna MB 80020872</t>
  </si>
  <si>
    <t>ANT XPOL 8PORT XPOL HPBW RET 80020872</t>
  </si>
  <si>
    <t>Antenna MB 80010666v01</t>
  </si>
  <si>
    <t>ANT XXPOL 698-960/1710-2690 80010666V01</t>
  </si>
  <si>
    <t>Antenna MB 80010992</t>
  </si>
  <si>
    <t>ANT XPOL 12PORT XPOL HPBW RET 80010992</t>
  </si>
  <si>
    <t xml:space="preserve">Antenna MB ADU4518R8v06 </t>
  </si>
  <si>
    <t>1L1H</t>
  </si>
  <si>
    <t>Antenna MB ATR4518R13v06</t>
  </si>
  <si>
    <t>ANT27011805-001 ATR4518R13v06 6P 1L2H4.3 HUAWEI</t>
  </si>
  <si>
    <t>Antenna MB APE4516R1v06</t>
  </si>
  <si>
    <t>ANT 27012334 APE4516R1v06 10P 1L4H 4.3 HUAWEI</t>
  </si>
  <si>
    <t>Antenna MB ASI4518R20v06</t>
  </si>
  <si>
    <t>ANT 27013192 ASI4518R20v06 12P 2L4H 4.3 HUAWEI</t>
  </si>
  <si>
    <t>Antenna MB ASI4517R3v18</t>
  </si>
  <si>
    <t>27012496-003 ANT ASI4517R3v18 2L4H 2m</t>
  </si>
  <si>
    <t>Antenna MB AQU4518R9v06</t>
  </si>
  <si>
    <t>ANT27011264-001 AQU4518R9v06 8P 1L3H4.3 HUAWEI</t>
  </si>
  <si>
    <t>Antenna MB ASI4518R10v18</t>
  </si>
  <si>
    <t>2L4H</t>
  </si>
  <si>
    <t>Antenna MB AQU4518R25v18</t>
  </si>
  <si>
    <t>2L2H</t>
  </si>
  <si>
    <t>Antenna MB AQU4518R61v06</t>
  </si>
  <si>
    <t>27013852 ANT AQU4518R61v06 2L2H mini 2m</t>
  </si>
  <si>
    <t>Antenna MB AQU4518R24v18</t>
  </si>
  <si>
    <t>27011964-005 ANT AQU4518R24v18 2L2H 2m</t>
  </si>
  <si>
    <t>Antenna MB ASI4517R12v06</t>
  </si>
  <si>
    <t>27013703 ANT ASI4517R12v06 2L4H mini 2m</t>
  </si>
  <si>
    <t>Antenna MB A094519R3v06</t>
  </si>
  <si>
    <t>1L4H+C-band 8T8R (one body)</t>
  </si>
  <si>
    <t>Antenna MB A094519R2v06</t>
  </si>
  <si>
    <t>Antenna MB RRV4-65D-R6</t>
  </si>
  <si>
    <t>ANT 12-P x6RET RRV4-65D-R6</t>
  </si>
  <si>
    <t>Antenna IN 80010465</t>
  </si>
  <si>
    <t xml:space="preserve">VVPol Indoor, 806-960/1710-2700MHz, 0,23M, 90°, 0°T, 7 dBi    C</t>
  </si>
  <si>
    <t>Antenna IN 80010677</t>
  </si>
  <si>
    <t>ANT VXPOL 790–960/1710–2700 80010677</t>
  </si>
  <si>
    <t>Antenna IN 80010748</t>
  </si>
  <si>
    <t>ANT OMNI VPOL 876-960/1710-2700 80010748</t>
  </si>
  <si>
    <t>Antenna IN 80010710</t>
  </si>
  <si>
    <t>ANT OMNI VHPOL INDOOR 80010710</t>
  </si>
  <si>
    <t>Antenna IN 80010249</t>
  </si>
  <si>
    <t xml:space="preserve">VPol Indoor, 790-960/1425-3880MHz, 0,26M, 360°, 2 dBi  </t>
  </si>
  <si>
    <t>Antenna IN 738447</t>
  </si>
  <si>
    <t>ANT VPOL BIDIR 694–960/1710–2690 738447</t>
  </si>
  <si>
    <t>Antenna IN 738448</t>
  </si>
  <si>
    <t>ANT VPol BiDir 694–960/1710–2690 738448</t>
  </si>
  <si>
    <t>Antenna IN 738449</t>
  </si>
  <si>
    <t xml:space="preserve">VPol Omni, 870-960/1710-1880MHz, 0,22M, 360°, 0°T, 2 dBi  </t>
  </si>
  <si>
    <t>Antenna IN MIMO</t>
  </si>
  <si>
    <t>MIMO LOW PIM CEILING ANT CMMG-7-60-NJ</t>
  </si>
  <si>
    <t>Antenna Cam 80010776</t>
  </si>
  <si>
    <t>ANT XPOL 12PORT TRiSEC 698/2690</t>
  </si>
  <si>
    <t>Antenna Cam 80010125</t>
  </si>
  <si>
    <t>ANT XPOL TRI-SECTOR SLIMPOLE 80010125</t>
  </si>
  <si>
    <t>Antenna Cam 80010360</t>
  </si>
  <si>
    <t>ANT XPOL TRI-SECTOR PIPE 80010360</t>
  </si>
  <si>
    <t>Antenna Cam CMA-TRI6515</t>
  </si>
  <si>
    <t>ANT CMA-TRI/6515/E2 TUBUS 1710-2180MHZ</t>
  </si>
  <si>
    <t>Antenna Cam ECOMS291</t>
  </si>
  <si>
    <t>TUBUS Xpol A-Panel, 806-960/2x1710-2180MHz, 2,52/0,53M, 65°, 2°-14°T, 16,5 dBi</t>
  </si>
  <si>
    <t>Antenna Cam ECOMS291V02</t>
  </si>
  <si>
    <t>MONOSECTOR ANTENNA ECOMS291V02</t>
  </si>
  <si>
    <t>Antenna Cam ECOMS892</t>
  </si>
  <si>
    <t>ANT ECOMS892 4.3-10 FLEXRET 1xULB 4xUHB</t>
  </si>
  <si>
    <t>Antenna Cam ECOMS692v01</t>
  </si>
  <si>
    <t>ANT ECOMS692v01 1xULB 2xHB</t>
  </si>
  <si>
    <t>Antenna Cam ECOTB292V03</t>
  </si>
  <si>
    <t>TRI-SECTOR PIPE ANTENNA ECOTB292V03</t>
  </si>
  <si>
    <t>Antenna Cam ECOTB692v18</t>
  </si>
  <si>
    <t>ANT ECOTB692v18 1xULB 2xUHB 80010692v01</t>
  </si>
  <si>
    <t>Antenna Cam ECOPB892</t>
  </si>
  <si>
    <t>ANT ECOPB892 7/16F 1хLB,4xHB 80010892</t>
  </si>
  <si>
    <t>ANT ECOPB892V1 7/16F 1хLB,4HB 80010892V1</t>
  </si>
  <si>
    <t>ANT ECOPB892 4.3-10 1хLB,4xHB 80020892</t>
  </si>
  <si>
    <t>Antenna Cam ECOUB644V01</t>
  </si>
  <si>
    <t>ANT ECOUB644V01 ULTRA-BAND TRI-SECTOR</t>
  </si>
  <si>
    <t>Antenna Omni 736349</t>
  </si>
  <si>
    <t>ANTENNA OMNI VPOL 870-960MHz</t>
  </si>
  <si>
    <t>Antenna Omni 738187</t>
  </si>
  <si>
    <t xml:space="preserve">VPol Omni, 1710-1880MHz, 1,56M, 360°, 0°T, 11 dBi  </t>
  </si>
  <si>
    <t>Antenna Omni 737190</t>
  </si>
  <si>
    <t xml:space="preserve">VPol Omni, 1710-1880MHz, 1,56M, 360°, 6°T, 11 dBi  </t>
  </si>
  <si>
    <t>Antenna Omni 738192</t>
  </si>
  <si>
    <t>ANT OMNI VPOL 806–894 738192</t>
  </si>
  <si>
    <t>Antenna Omni 80010274</t>
  </si>
  <si>
    <t>ANT OMNI VPOL 870-960/1920-2170 80010274</t>
  </si>
  <si>
    <t>Antenna Omni 80010745</t>
  </si>
  <si>
    <t>ANT OMNI 698–960/1695–2690 80010745</t>
  </si>
  <si>
    <t>Sectorization Antenna LB</t>
  </si>
  <si>
    <t>ANT LB SECTORED 4-P W/ x2RET 2CPX208R-V3</t>
  </si>
  <si>
    <t>Sectorization Antenna HB</t>
  </si>
  <si>
    <t>ANT HB SECTORIZED 4-P 2H-33A-R2</t>
  </si>
  <si>
    <t>ANT XPOL HB BTHH/3324/E0-6/RET 1710-2180</t>
  </si>
  <si>
    <t>ANT 80010656 4-PORT DUAL-BEAM 2HB 1.3M</t>
  </si>
  <si>
    <t>Sectorization Antenna MB</t>
  </si>
  <si>
    <t>ANT HB SECTORIZED 10-P RVV2NPX310.211R</t>
  </si>
  <si>
    <t>ANT HB SECTORIZED 10-P CVV2NPX308.208R</t>
  </si>
  <si>
    <t>Dismantled equipment to be returned to warehouse</t>
  </si>
  <si>
    <t>R1 +27deg</t>
  </si>
  <si>
    <t>R2 -27deg</t>
  </si>
  <si>
    <t>Y2 +27deg</t>
  </si>
  <si>
    <t>Y1 -27deg</t>
  </si>
  <si>
    <t>Y2</t>
  </si>
  <si>
    <t>R2</t>
  </si>
  <si>
    <t>Y1</t>
  </si>
  <si>
    <t>R1</t>
  </si>
  <si>
    <t>Y3</t>
  </si>
  <si>
    <t>Y4</t>
  </si>
  <si>
    <t>+30deg</t>
  </si>
  <si>
    <t>+15deg</t>
  </si>
  <si>
    <t>0deg</t>
  </si>
  <si>
    <t>-15deg</t>
  </si>
  <si>
    <t>-30deg</t>
  </si>
  <si>
    <t>B2</t>
  </si>
  <si>
    <t>B1</t>
  </si>
  <si>
    <t>r1</t>
  </si>
  <si>
    <t>y1</t>
  </si>
  <si>
    <t>y2</t>
  </si>
  <si>
    <t>y3</t>
  </si>
  <si>
    <t>y4</t>
  </si>
  <si>
    <t>p1</t>
  </si>
  <si>
    <t>Ly1</t>
  </si>
  <si>
    <t>CLy2</t>
  </si>
  <si>
    <t>CRy3</t>
  </si>
  <si>
    <t>Ry4</t>
  </si>
  <si>
    <t>r</t>
  </si>
  <si>
    <t>y</t>
  </si>
  <si>
    <t>Ry2</t>
  </si>
  <si>
    <t>r2</t>
  </si>
  <si>
    <t>Lr2</t>
  </si>
  <si>
    <t>Cy3</t>
  </si>
  <si>
    <t>RBy4</t>
  </si>
  <si>
    <t>Rr3</t>
  </si>
  <si>
    <t>RTy5</t>
  </si>
  <si>
    <t>LBy3</t>
  </si>
  <si>
    <t>CTy4</t>
  </si>
  <si>
    <t>RBy5</t>
  </si>
  <si>
    <t>LTy6</t>
  </si>
  <si>
    <t>RTy3</t>
  </si>
  <si>
    <t>rr</t>
  </si>
  <si>
    <t>yL</t>
  </si>
  <si>
    <t>yyR</t>
  </si>
  <si>
    <t>Rby3</t>
  </si>
  <si>
    <t>RTy2</t>
  </si>
  <si>
    <t>b1</t>
  </si>
  <si>
    <t>Cy2</t>
  </si>
  <si>
    <t>Ry3</t>
  </si>
  <si>
    <t>Rrr2</t>
  </si>
  <si>
    <t>p1R</t>
  </si>
  <si>
    <t>p1CR</t>
  </si>
  <si>
    <t>p1CL</t>
  </si>
  <si>
    <t>p1L</t>
  </si>
  <si>
    <t>Ant2</t>
  </si>
  <si>
    <t>Ant0</t>
  </si>
  <si>
    <t>Ant1</t>
  </si>
  <si>
    <t>ANT2</t>
  </si>
  <si>
    <t>ANT0</t>
  </si>
  <si>
    <t>ANT1</t>
  </si>
  <si>
    <t>B1(+30deg)</t>
  </si>
  <si>
    <t>B2(-30deg)</t>
  </si>
  <si>
    <t>Top</t>
  </si>
  <si>
    <t>Bottom</t>
  </si>
  <si>
    <t>R3</t>
  </si>
  <si>
    <t>Y5</t>
  </si>
  <si>
    <t>Y6</t>
  </si>
  <si>
    <t>Y1 BL</t>
  </si>
  <si>
    <t>Y2 TL</t>
  </si>
  <si>
    <t>Y3 BR</t>
  </si>
  <si>
    <t>Y4 TR</t>
  </si>
  <si>
    <t>3936-9</t>
  </si>
  <si>
    <t>2x3936-9</t>
  </si>
  <si>
    <t>3826</t>
  </si>
  <si>
    <t>2x3826</t>
  </si>
  <si>
    <t>3953-9</t>
  </si>
  <si>
    <t>3953-18</t>
  </si>
  <si>
    <t>3953-21</t>
  </si>
  <si>
    <t>5258</t>
  </si>
  <si>
    <t>5905-9</t>
  </si>
  <si>
    <t>5905-18</t>
  </si>
  <si>
    <t>5905-21</t>
  </si>
  <si>
    <t>5909-21</t>
  </si>
  <si>
    <t>3953-18 3953-21</t>
  </si>
  <si>
    <t>5905-18 5905-21</t>
  </si>
  <si>
    <t>3953-18 5905-21</t>
  </si>
  <si>
    <t>5905-18 3953-21</t>
  </si>
  <si>
    <t>5304AC</t>
  </si>
  <si>
    <t>5304DB</t>
  </si>
  <si>
    <t>5513AC</t>
  </si>
  <si>
    <t>5513DB</t>
  </si>
  <si>
    <t>5519etAB</t>
  </si>
  <si>
    <t>5519etCD</t>
  </si>
  <si>
    <t>5515t</t>
  </si>
  <si>
    <t>5513AC 5304AC</t>
  </si>
  <si>
    <t>5513DB 5304DB</t>
  </si>
  <si>
    <t>3953-18 3953-21 5304AC</t>
  </si>
  <si>
    <t>3953-18 3953-21 5304DB</t>
  </si>
  <si>
    <t>737304</t>
  </si>
  <si>
    <t>737306</t>
  </si>
  <si>
    <t>792542</t>
  </si>
  <si>
    <t>793006</t>
  </si>
  <si>
    <t>793525</t>
  </si>
  <si>
    <t>793533</t>
  </si>
  <si>
    <t>793554</t>
  </si>
  <si>
    <t>6320627</t>
  </si>
  <si>
    <t>7141775</t>
  </si>
  <si>
    <t>78210246</t>
  </si>
  <si>
    <t>78210249</t>
  </si>
  <si>
    <t>78210500</t>
  </si>
  <si>
    <t>78210504</t>
  </si>
  <si>
    <t>78210525</t>
  </si>
  <si>
    <t>78210526</t>
  </si>
  <si>
    <t>78210532</t>
  </si>
  <si>
    <t>78210534</t>
  </si>
  <si>
    <t>78210620</t>
  </si>
  <si>
    <t>78210623</t>
  </si>
  <si>
    <t>78210631</t>
  </si>
  <si>
    <t>78210641</t>
  </si>
  <si>
    <t>78210681</t>
  </si>
  <si>
    <t>78210805</t>
  </si>
  <si>
    <t>78211110</t>
  </si>
  <si>
    <t>86010017</t>
  </si>
  <si>
    <t>86010018</t>
  </si>
  <si>
    <t>86010019</t>
  </si>
  <si>
    <t>86010101</t>
  </si>
  <si>
    <t>86010103</t>
  </si>
  <si>
    <t>86010105</t>
  </si>
  <si>
    <t>86010136</t>
  </si>
  <si>
    <t>ACOMD2A06v06</t>
  </si>
  <si>
    <t>ACOMD2L13v06</t>
  </si>
  <si>
    <t>DCB-2-04-64F-01</t>
  </si>
  <si>
    <t>DCB-2BM-64F-02</t>
  </si>
  <si>
    <t>HAT073843500S-03</t>
  </si>
  <si>
    <t>MI20242</t>
  </si>
  <si>
    <t>MI50542</t>
  </si>
  <si>
    <t>Unknown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</si>
</sst>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1">
    <numFmt numFmtId="164" formatCode="0;;;@"/>
  </numFmts>
  <fonts count="43">
    <font>
      <sz val="10"/>
      <name val="Arial"/>
      <family val="2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0"/>
      <name val="Arial"/>
      <family val="2"/>
    </font>
    <font>
      <sz val="10"/>
      <name val="Arial"/>
      <family val="2"/>
    </font>
    <font>
      <sz val="10"/>
      <color rgb="FFFF0000"/>
      <name val="Arial"/>
      <family val="2"/>
    </font>
    <font>
      <sz val="12"/>
      <name val="宋体"/>
    </font>
    <font>
      <sz val="12"/>
      <name val="Times New Roman"/>
      <family val="1"/>
    </font>
    <font>
      <sz val="16"/>
      <name val="Arial"/>
      <family val="2"/>
    </font>
    <font>
      <b/>
      <sz val="11"/>
      <color theme="1"/>
      <name val="Calibri"/>
      <family val="2"/>
      <scheme val="minor"/>
    </font>
    <font>
      <b/>
      <sz val="11"/>
      <color theme="0"/>
      <name val="Calibri"/>
      <family val="2"/>
      <scheme val="minor"/>
    </font>
    <font>
      <b/>
      <sz val="16"/>
      <name val="Arial"/>
      <family val="2"/>
    </font>
    <font>
      <b/>
      <sz val="12"/>
      <color rgb="FFFF0000"/>
      <name val="Calibri"/>
      <family val="2"/>
      <scheme val="minor"/>
    </font>
    <font>
      <sz val="12"/>
      <name val="Arial"/>
      <family val="2"/>
    </font>
    <font>
      <sz val="12"/>
      <color rgb="FFFF0000"/>
      <name val="Arial"/>
      <family val="2"/>
    </font>
    <font>
      <sz val="12"/>
      <color theme="1"/>
      <name val="Arial"/>
      <family val="2"/>
    </font>
    <font>
      <sz val="14"/>
      <name val="Arial"/>
      <family val="2"/>
    </font>
    <font>
      <b/>
      <sz val="20"/>
      <name val="Arial"/>
      <family val="2"/>
    </font>
    <font>
      <sz val="20"/>
      <name val="Arial"/>
      <family val="2"/>
      <charset val="204"/>
    </font>
    <font>
      <b/>
      <sz val="14"/>
      <name val="Arial"/>
      <family val="2"/>
    </font>
    <font>
      <sz val="14"/>
      <color rgb="FFFF0000"/>
      <name val="Arial"/>
      <family val="2"/>
    </font>
    <font>
      <sz val="14"/>
      <color theme="1"/>
      <name val="Arial"/>
      <family val="2"/>
    </font>
    <font>
      <b/>
      <sz val="11"/>
      <color rgb="FFFF0000"/>
      <name val="Calibri"/>
      <family val="2"/>
      <scheme val="minor"/>
    </font>
    <font>
      <sz val="10"/>
      <color theme="1"/>
      <name val="Arial"/>
      <family val="2"/>
    </font>
    <font>
      <sz val="10"/>
      <color rgb="FFFF0000"/>
      <name val="Arial"/>
      <family val="2"/>
      <charset val="204"/>
    </font>
    <font>
      <sz val="11"/>
      <color theme="1"/>
      <name val="Calibri"/>
      <family val="2"/>
      <charset val="204"/>
      <scheme val="minor"/>
    </font>
    <font>
      <sz val="20"/>
      <color theme="1"/>
      <name val="Arial"/>
      <family val="2"/>
    </font>
    <font>
      <sz val="10"/>
      <name val="Arial"/>
      <family val="2"/>
      <charset val="204"/>
    </font>
    <font>
      <b/>
      <sz val="11"/>
      <color theme="1"/>
      <name val="Calibri"/>
      <family val="2"/>
      <charset val="204"/>
      <scheme val="minor"/>
    </font>
    <font>
      <b/>
      <sz val="10"/>
      <color theme="1"/>
      <name val="Calibri"/>
      <family val="2"/>
      <charset val="204"/>
      <scheme val="minor"/>
    </font>
    <font>
      <b/>
      <sz val="9"/>
      <name val="Calibri"/>
      <family val="2"/>
      <charset val="204"/>
      <scheme val="minor"/>
    </font>
    <font>
      <sz val="10"/>
      <color theme="1"/>
      <name val="Calibri"/>
      <family val="2"/>
      <charset val="204"/>
      <scheme val="minor"/>
    </font>
    <font>
      <sz val="9"/>
      <name val="Calibri"/>
      <family val="2"/>
      <charset val="204"/>
      <scheme val="minor"/>
    </font>
    <font>
      <b/>
      <sz val="14"/>
      <color theme="1"/>
      <name val="Arial"/>
      <family val="2"/>
      <charset val="204"/>
    </font>
    <font>
      <b/>
      <sz val="11"/>
      <color rgb="FFFF0000"/>
      <name val="Calibri"/>
      <family val="2"/>
      <charset val="204"/>
      <scheme val="minor"/>
    </font>
    <font>
      <b/>
      <sz val="11"/>
      <color theme="1"/>
      <name val="Calibri"/>
      <family val="3"/>
      <charset val="134"/>
      <scheme val="minor"/>
    </font>
    <font>
      <sz val="11"/>
      <color rgb="FF000000"/>
      <name val="Arial Narrow"/>
      <family val="2"/>
    </font>
    <font>
      <sz val="11"/>
      <color theme="1"/>
      <name val="Calibri"/>
      <family val="2"/>
      <charset val="134"/>
      <scheme val="minor"/>
    </font>
    <font>
      <sz val="11"/>
      <name val="Calibri"/>
      <family val="2"/>
      <charset val="134"/>
      <scheme val="minor"/>
    </font>
    <font>
      <sz val="11"/>
      <name val="Calibri"/>
      <family val="2"/>
      <scheme val="minor"/>
    </font>
    <font>
      <sz val="11"/>
      <name val="Arial Narrow"/>
      <family val="2"/>
    </font>
  </fonts>
  <fills count="7">
    <fill>
      <patternFill patternType="none"/>
    </fill>
    <fill>
      <patternFill patternType="gray125"/>
    </fill>
    <fill>
      <patternFill patternType="solid">
        <fgColor rgb="FFCCFFFF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6" tint="0.39997558519241921"/>
        <bgColor indexed="64"/>
      </patternFill>
    </fill>
    <fill>
      <patternFill patternType="solid">
        <fgColor theme="3" tint="0.39997558519241921"/>
        <bgColor indexed="64"/>
      </patternFill>
    </fill>
    <fill>
      <patternFill patternType="solid">
        <fgColor rgb="FF92D050"/>
        <bgColor indexed="64"/>
      </patternFill>
    </fill>
  </fills>
  <borders count="88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/>
      <diagonal/>
    </border>
    <border>
      <left/>
      <right style="thin">
        <color indexed="64"/>
      </right>
      <top/>
      <bottom/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/>
      <right/>
      <top style="thin">
        <color indexed="64"/>
      </top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/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/>
      <top/>
      <bottom style="medium">
        <color indexed="64"/>
      </bottom>
      <diagonal/>
    </border>
    <border>
      <left style="medium">
        <color indexed="64"/>
      </left>
      <right/>
      <top style="thin">
        <color indexed="64"/>
      </top>
      <bottom style="thin">
        <color indexed="64"/>
      </bottom>
      <diagonal/>
    </border>
    <border>
      <left style="medium">
        <color indexed="64"/>
      </left>
      <right/>
      <top style="thin">
        <color indexed="64"/>
      </top>
      <bottom style="medium">
        <color indexed="64"/>
      </bottom>
      <diagonal/>
    </border>
    <border>
      <left style="medium">
        <color indexed="64"/>
      </left>
      <right/>
      <top style="thin">
        <color indexed="64"/>
      </top>
      <bottom/>
      <diagonal/>
    </border>
    <border>
      <left style="medium">
        <color indexed="64"/>
      </left>
      <right/>
      <top/>
      <bottom/>
      <diagonal/>
    </border>
    <border>
      <left/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medium">
        <color indexed="64"/>
      </right>
      <top/>
      <bottom/>
      <diagonal/>
    </border>
    <border>
      <left/>
      <right style="medium">
        <color indexed="64"/>
      </right>
      <top/>
      <bottom/>
      <diagonal/>
    </border>
    <border>
      <left/>
      <right/>
      <top style="medium">
        <color indexed="64"/>
      </top>
      <bottom/>
      <diagonal/>
    </border>
    <border>
      <left style="medium">
        <color indexed="64"/>
      </left>
      <right/>
      <top style="medium">
        <color indexed="64"/>
      </top>
      <bottom style="thin">
        <color indexed="64"/>
      </bottom>
      <diagonal/>
    </border>
    <border>
      <left/>
      <right/>
      <top style="medium">
        <color indexed="64"/>
      </top>
      <bottom style="thin">
        <color indexed="64"/>
      </bottom>
      <diagonal/>
    </border>
    <border>
      <left/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/>
      <top/>
      <bottom/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/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/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/>
      <diagonal/>
    </border>
    <border>
      <left style="thin">
        <color theme="1"/>
      </left>
      <right style="thin">
        <color theme="1"/>
      </right>
      <top style="thin">
        <color theme="1"/>
      </top>
      <bottom style="thin">
        <color theme="1"/>
      </bottom>
      <diagonal/>
    </border>
    <border>
      <left style="thin">
        <color theme="1"/>
      </left>
      <right/>
      <top style="thin">
        <color theme="1"/>
      </top>
      <bottom style="thin">
        <color theme="1"/>
      </bottom>
      <diagonal/>
    </border>
    <border>
      <left style="medium">
        <color theme="1"/>
      </left>
      <right style="medium">
        <color theme="1"/>
      </right>
      <top style="thin">
        <color theme="1"/>
      </top>
      <bottom/>
      <diagonal/>
    </border>
    <border>
      <left style="thin">
        <color theme="1"/>
      </left>
      <right style="medium">
        <color theme="1"/>
      </right>
      <top style="thin">
        <color theme="1"/>
      </top>
      <bottom/>
      <diagonal/>
    </border>
    <border>
      <left style="medium">
        <color theme="1"/>
      </left>
      <right/>
      <top style="thin">
        <color theme="1"/>
      </top>
      <bottom/>
      <diagonal/>
    </border>
    <border>
      <left style="medium">
        <color auto="1"/>
      </left>
      <right style="thin">
        <color auto="1"/>
      </right>
      <top style="medium">
        <color auto="1"/>
      </top>
      <bottom style="medium">
        <color auto="1"/>
      </bottom>
      <diagonal/>
    </border>
    <border>
      <left style="thin">
        <color auto="1"/>
      </left>
      <right style="thin">
        <color auto="1"/>
      </right>
      <top style="medium">
        <color auto="1"/>
      </top>
      <bottom style="medium">
        <color auto="1"/>
      </bottom>
      <diagonal/>
    </border>
    <border>
      <left style="thin">
        <color auto="1"/>
      </left>
      <right style="medium">
        <color auto="1"/>
      </right>
      <top style="medium">
        <color auto="1"/>
      </top>
      <bottom style="medium">
        <color auto="1"/>
      </bottom>
      <diagonal/>
    </border>
    <border>
      <left style="medium">
        <color auto="1"/>
      </left>
      <right style="thin">
        <color auto="1"/>
      </right>
      <top style="medium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 style="medium">
        <color auto="1"/>
      </top>
      <bottom style="thin">
        <color auto="1"/>
      </bottom>
      <diagonal/>
    </border>
    <border>
      <left style="thin">
        <color auto="1"/>
      </left>
      <right style="medium">
        <color auto="1"/>
      </right>
      <top style="medium">
        <color auto="1"/>
      </top>
      <bottom style="thin">
        <color auto="1"/>
      </bottom>
      <diagonal/>
    </border>
    <border>
      <left style="medium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medium">
        <color auto="1"/>
      </right>
      <top style="thin">
        <color auto="1"/>
      </top>
      <bottom style="thin">
        <color auto="1"/>
      </bottom>
      <diagonal/>
    </border>
    <border>
      <left style="medium">
        <color auto="1"/>
      </left>
      <right style="thin">
        <color auto="1"/>
      </right>
      <top style="thin">
        <color auto="1"/>
      </top>
      <bottom style="medium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medium">
        <color auto="1"/>
      </bottom>
      <diagonal/>
    </border>
    <border>
      <left style="thin">
        <color auto="1"/>
      </left>
      <right style="medium">
        <color auto="1"/>
      </right>
      <top style="thin">
        <color auto="1"/>
      </top>
      <bottom style="medium">
        <color auto="1"/>
      </bottom>
      <diagonal/>
    </border>
    <border>
      <left style="medium">
        <color auto="1"/>
      </left>
      <right style="thin">
        <color auto="1"/>
      </right>
      <top/>
      <bottom/>
      <diagonal/>
    </border>
    <border>
      <left style="thin">
        <color auto="1"/>
      </left>
      <right style="thin">
        <color auto="1"/>
      </right>
      <top/>
      <bottom/>
      <diagonal/>
    </border>
    <border>
      <left style="thin">
        <color auto="1"/>
      </left>
      <right style="medium">
        <color auto="1"/>
      </right>
      <top/>
      <bottom/>
      <diagonal/>
    </border>
    <border>
      <left style="medium">
        <color auto="1"/>
      </left>
      <right style="thin">
        <color auto="1"/>
      </right>
      <top style="thin">
        <color auto="1"/>
      </top>
      <bottom/>
      <diagonal/>
    </border>
    <border>
      <left style="thin">
        <color auto="1"/>
      </left>
      <right style="thin">
        <color auto="1"/>
      </right>
      <top style="thin">
        <color auto="1"/>
      </top>
      <bottom/>
      <diagonal/>
    </border>
    <border>
      <left style="thin">
        <color auto="1"/>
      </left>
      <right style="medium">
        <color auto="1"/>
      </right>
      <top style="thin">
        <color auto="1"/>
      </top>
      <bottom/>
      <diagonal/>
    </border>
    <border>
      <left style="medium">
        <color auto="1"/>
      </left>
      <right style="thin">
        <color auto="1"/>
      </right>
      <top/>
      <bottom style="thin">
        <color auto="1"/>
      </bottom>
      <diagonal/>
    </border>
    <border>
      <left style="thin">
        <color auto="1"/>
      </left>
      <right style="thin">
        <color auto="1"/>
      </right>
      <top/>
      <bottom style="thin">
        <color auto="1"/>
      </bottom>
      <diagonal/>
    </border>
    <border>
      <left style="thin">
        <color auto="1"/>
      </left>
      <right style="medium">
        <color auto="1"/>
      </right>
      <top/>
      <bottom style="thin">
        <color auto="1"/>
      </bottom>
      <diagonal/>
    </border>
    <border>
      <left style="medium">
        <color auto="1"/>
      </left>
      <right style="thin">
        <color auto="1"/>
      </right>
      <top style="medium">
        <color auto="1"/>
      </top>
      <bottom/>
      <diagonal/>
    </border>
    <border>
      <left style="thin">
        <color auto="1"/>
      </left>
      <right style="thin">
        <color auto="1"/>
      </right>
      <top style="medium">
        <color auto="1"/>
      </top>
      <bottom/>
      <diagonal/>
    </border>
    <border>
      <left style="thin">
        <color auto="1"/>
      </left>
      <right style="medium">
        <color auto="1"/>
      </right>
      <top style="medium">
        <color auto="1"/>
      </top>
      <bottom/>
      <diagonal/>
    </border>
    <border>
      <left style="thin">
        <color theme="1"/>
      </left>
      <right style="thin">
        <color theme="1"/>
      </right>
      <top style="thin">
        <color theme="1"/>
      </top>
      <bottom/>
      <diagonal/>
    </border>
    <border>
      <left style="thin">
        <color theme="1"/>
      </left>
      <right style="thin">
        <color theme="1"/>
      </right>
      <top/>
      <bottom style="thin">
        <color theme="1"/>
      </bottom>
      <diagonal/>
    </border>
    <border>
      <left style="medium">
        <color indexed="64"/>
      </left>
      <right style="thin">
        <color auto="1"/>
      </right>
      <top/>
      <bottom style="medium">
        <color indexed="64"/>
      </bottom>
      <diagonal/>
    </border>
    <border>
      <left style="thin">
        <color auto="1"/>
      </left>
      <right style="thin">
        <color auto="1"/>
      </right>
      <top/>
      <bottom style="medium">
        <color indexed="64"/>
      </bottom>
      <diagonal/>
    </border>
    <border>
      <left/>
      <right style="medium">
        <color indexed="64"/>
      </right>
      <top/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/>
      <right/>
      <top style="thin">
        <color indexed="64"/>
      </top>
      <bottom/>
      <diagonal/>
    </border>
    <border>
      <left style="medium">
        <color indexed="64"/>
      </left>
      <right/>
      <top/>
      <bottom style="thin">
        <color indexed="64"/>
      </bottom>
      <diagonal/>
    </border>
    <border>
      <left/>
      <right style="medium">
        <color indexed="64"/>
      </right>
      <top style="thin">
        <color indexed="64"/>
      </top>
      <bottom/>
      <diagonal/>
    </border>
    <border>
      <left style="thin">
        <color indexed="64"/>
      </left>
      <right/>
      <top/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rgb="FF000000"/>
      </left>
      <right style="thin">
        <color rgb="FF000000"/>
      </right>
      <top style="thin">
        <color rgb="FF000000"/>
      </top>
      <bottom style="thin">
        <color rgb="FF000000"/>
      </bottom>
      <diagonal/>
    </border>
    <border>
      <left/>
      <right style="thin">
        <color auto="1"/>
      </right>
      <top/>
      <bottom style="thin">
        <color auto="1"/>
      </bottom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 style="thin">
        <color auto="1"/>
      </right>
      <top style="thin">
        <color auto="1"/>
      </top>
      <bottom/>
      <diagonal/>
    </border>
    <border>
      <left style="thin">
        <color indexed="64"/>
      </left>
      <right/>
      <top style="thin">
        <color indexed="64"/>
      </top>
      <bottom/>
      <diagonal/>
    </border>
    <border>
      <left style="thin">
        <color rgb="FF000000"/>
      </left>
      <right style="thin">
        <color rgb="FF000000"/>
      </right>
      <top style="thin">
        <color rgb="FF000000"/>
      </top>
      <bottom/>
      <diagonal/>
    </border>
  </borders>
  <cellStyleXfs count="28">
    <xf numFmtId="0" fontId="0" fillId="0" borderId="0"/>
    <xf numFmtId="0" fontId="9" fillId="0" borderId="0"/>
    <xf numFmtId="0" fontId="6" fillId="0" borderId="0"/>
    <xf numFmtId="0" fontId="5" fillId="0" borderId="0"/>
    <xf numFmtId="0" fontId="29" fillId="0" borderId="0"/>
    <xf numFmtId="0" fontId="29" fillId="0" borderId="0"/>
    <xf numFmtId="0" fontId="6" fillId="0" borderId="0"/>
    <xf numFmtId="0" fontId="5" fillId="0" borderId="0"/>
    <xf numFmtId="0" fontId="29" fillId="0" borderId="0"/>
    <xf numFmtId="0" fontId="6" fillId="0" borderId="0"/>
    <xf numFmtId="0" fontId="5" fillId="0" borderId="0"/>
    <xf numFmtId="0" fontId="2" fillId="0" borderId="0"/>
    <xf numFmtId="0" fontId="1" fillId="0" borderId="0"/>
    <xf numFmtId="0" fontId="4" fillId="0" borderId="0"/>
    <xf numFmtId="0" fontId="3" fillId="0" borderId="0"/>
    <xf numFmtId="0" fontId="1" fillId="0" borderId="0"/>
    <xf numFmtId="0" fontId="27" fillId="0" borderId="0"/>
    <xf numFmtId="0" fontId="27" fillId="0" borderId="0"/>
    <xf numFmtId="0" fontId="1" fillId="0" borderId="0"/>
    <xf numFmtId="0" fontId="5" fillId="0" borderId="0"/>
    <xf numFmtId="0" fontId="4" fillId="0" borderId="0"/>
    <xf numFmtId="0" fontId="3" fillId="0" borderId="0"/>
    <xf numFmtId="0" fontId="1" fillId="0" borderId="0"/>
    <xf numFmtId="0" fontId="1" fillId="0" borderId="0"/>
    <xf numFmtId="0" fontId="27" fillId="0" borderId="0"/>
    <xf numFmtId="0" fontId="27" fillId="0" borderId="0"/>
    <xf numFmtId="0" fontId="39" fillId="0" borderId="0"/>
    <xf numFmtId="0" fontId="8" fillId="0" borderId="0"/>
  </cellStyleXfs>
  <cellXfs count="28">
    <xf numFmtId="0" applyNumberFormat="1" fontId="0" applyFont="1" fillId="0" applyFill="1" borderId="0" applyBorder="1" xfId="0" applyProtection="1"/>
    <xf numFmtId="0" applyNumberFormat="1" fontId="0" applyFont="1" fillId="0" applyFill="1" borderId="1" applyBorder="1" xfId="0" applyProtection="1"/>
    <xf numFmtId="0" applyNumberFormat="1" fontId="0" applyFont="1" fillId="0" applyFill="1" borderId="0" applyBorder="1" xfId="0" applyProtection="1"/>
    <xf numFmtId="0" applyNumberFormat="1" fontId="10" applyFont="1" fillId="0" applyFill="1" borderId="1" applyBorder="1" xfId="0" applyProtection="1"/>
    <xf numFmtId="0" applyNumberFormat="1" fontId="0" applyFont="1" fillId="0" applyFill="1" borderId="1" applyBorder="1" xfId="0" applyProtection="1" applyAlignment="1">
      <alignment horizontal="center" vertical="center" wrapText="1"/>
    </xf>
    <xf numFmtId="0" applyNumberFormat="1" fontId="7" applyFont="1" fillId="0" applyFill="1" borderId="0" applyBorder="1" xfId="0" applyProtection="1"/>
    <xf numFmtId="0" applyNumberFormat="1" fontId="0" applyFont="1" fillId="0" applyFill="1" borderId="0" applyBorder="1" xfId="0" applyProtection="1" applyAlignment="1">
      <alignment horizontal="center" vertical="center"/>
    </xf>
    <xf numFmtId="0" applyNumberFormat="1" fontId="0" applyFont="1" fillId="0" applyFill="1" borderId="0" applyBorder="1" xfId="0" applyProtection="1" applyAlignment="1">
      <alignment horizontal="right"/>
    </xf>
    <xf numFmtId="0" applyNumberFormat="1" fontId="18" applyFont="1" fillId="2" applyFill="1" borderId="22" applyBorder="1" xfId="19" applyProtection="1" applyAlignment="1">
      <alignment horizontal="right" vertical="center"/>
    </xf>
    <xf numFmtId="0" applyNumberFormat="1" fontId="22" applyFont="1" fillId="2" applyFill="1" borderId="6" applyBorder="1" xfId="19" applyProtection="1" applyAlignment="1">
      <alignment horizontal="right" vertical="center"/>
    </xf>
    <xf numFmtId="0" applyNumberFormat="1" fontId="22" applyFont="1" fillId="2" applyFill="1" borderId="5" applyBorder="1" xfId="19" applyProtection="1" applyAlignment="1">
      <alignment horizontal="right" vertical="center"/>
    </xf>
    <xf numFmtId="0" applyNumberFormat="1" fontId="18" applyFont="1" fillId="2" applyFill="1" borderId="30" applyBorder="1" xfId="19" applyProtection="1" applyAlignment="1">
      <alignment horizontal="right" vertical="center"/>
    </xf>
    <xf numFmtId="0" applyNumberFormat="1" fontId="18" applyFont="1" fillId="2" applyFill="1" borderId="20" applyBorder="1" xfId="19" applyProtection="1" applyAlignment="1">
      <alignment horizontal="right" vertical="center"/>
    </xf>
    <xf numFmtId="0" applyNumberFormat="1" fontId="18" applyFont="1" fillId="2" applyFill="1" borderId="15" applyBorder="1" xfId="19" applyProtection="1" applyAlignment="1">
      <alignment horizontal="right" vertical="center"/>
    </xf>
    <xf numFmtId="0" applyNumberFormat="1" fontId="18" applyFont="1" fillId="2" applyFill="1" borderId="25" applyBorder="1" xfId="19" applyProtection="1" applyAlignment="1">
      <alignment horizontal="right"/>
    </xf>
    <xf numFmtId="0" applyNumberFormat="1" fontId="0" applyFont="1" fillId="0" applyFill="1" borderId="31" applyBorder="1" xfId="0" applyProtection="1"/>
    <xf numFmtId="0" applyNumberFormat="1" fontId="15" applyFont="1" fillId="0" applyFill="1" borderId="32" applyBorder="1" xfId="0" applyProtection="1"/>
    <xf numFmtId="0" applyNumberFormat="1" fontId="25" applyFont="1" fillId="0" applyFill="1" borderId="0" applyBorder="1" xfId="0" applyProtection="1"/>
    <xf numFmtId="0" applyNumberFormat="1" fontId="22" applyFont="1" fillId="2" applyFill="1" borderId="36" applyBorder="1" xfId="19" applyProtection="1" applyAlignment="1">
      <alignment horizontal="right" vertical="center" wrapText="1"/>
    </xf>
    <xf numFmtId="0" applyNumberFormat="1" fontId="7" applyFont="1" fillId="0" applyFill="1" borderId="0" applyBorder="1" xfId="0" applyProtection="1" applyAlignment="1">
      <alignment horizontal="center" vertical="center"/>
    </xf>
    <xf numFmtId="0" applyNumberFormat="1" fontId="0" applyFont="1" fillId="0" applyFill="1" borderId="0" applyBorder="1" xfId="0" applyProtection="1" applyAlignment="1">
      <alignment vertical="center"/>
    </xf>
    <xf numFmtId="0" applyNumberFormat="1" fontId="0" applyFont="1" fillId="0" applyFill="1" borderId="0" applyBorder="1" xfId="0" applyProtection="1"/>
    <xf numFmtId="0" applyNumberFormat="1" fontId="7" applyFont="1" fillId="0" applyFill="1" borderId="0" applyBorder="1" xfId="0" applyProtection="1"/>
    <xf numFmtId="49" applyNumberFormat="1" fontId="0" applyFont="1" fillId="0" applyFill="1" borderId="1" applyBorder="1" xfId="0" applyProtection="1" applyAlignment="1">
      <alignment horizontal="center" vertical="center" wrapText="1"/>
    </xf>
    <xf numFmtId="0" applyNumberFormat="1" fontId="17" applyFont="1" fillId="0" applyFill="1" borderId="30" applyBorder="1" xfId="19" applyProtection="1" applyAlignment="1">
      <alignment horizontal="center" vertical="center" wrapText="1"/>
    </xf>
    <xf numFmtId="0" applyNumberFormat="1" fontId="17" applyFont="1" fillId="0" applyFill="1" borderId="39" applyBorder="1" xfId="19" applyProtection="1" applyAlignment="1">
      <alignment horizontal="center" vertical="center" wrapText="1"/>
    </xf>
    <xf numFmtId="0" applyNumberFormat="1" fontId="17" applyFont="1" fillId="0" applyFill="1" borderId="18" applyBorder="1" xfId="19" applyProtection="1" applyAlignment="1">
      <alignment horizontal="center" vertical="center" wrapText="1"/>
    </xf>
    <xf numFmtId="0" applyNumberFormat="1" fontId="18" applyFont="1" fillId="2" applyFill="1" borderId="21" applyBorder="1" xfId="19" applyProtection="1" applyAlignment="1">
      <alignment horizontal="right" vertical="center"/>
    </xf>
    <xf numFmtId="0" applyNumberFormat="1" fontId="22" applyFont="1" fillId="2" applyFill="1" borderId="12" applyBorder="1" xfId="19" applyProtection="1" applyAlignment="1">
      <alignment horizontal="right" vertical="center"/>
    </xf>
    <xf numFmtId="0" applyNumberFormat="1" fontId="22" applyFont="1" fillId="2" applyFill="1" borderId="11" applyBorder="1" xfId="19" applyProtection="1" applyAlignment="1">
      <alignment horizontal="right" vertical="center"/>
    </xf>
    <xf numFmtId="0" applyNumberFormat="1" fontId="22" applyFont="1" fillId="2" applyFill="1" borderId="13" applyBorder="1" xfId="19" applyProtection="1" applyAlignment="1">
      <alignment horizontal="right" vertical="center"/>
    </xf>
    <xf numFmtId="0" applyNumberFormat="1" fontId="22" applyFont="1" fillId="2" applyFill="1" borderId="9" applyBorder="1" xfId="19" applyProtection="1" applyAlignment="1">
      <alignment horizontal="right" vertical="center"/>
    </xf>
    <xf numFmtId="0" applyNumberFormat="1" fontId="22" applyFont="1" fillId="2" applyFill="1" borderId="24" applyBorder="1" xfId="19" applyProtection="1" applyAlignment="1">
      <alignment horizontal="right" vertical="center"/>
    </xf>
    <xf numFmtId="0" applyNumberFormat="1" fontId="18" applyFont="1" fillId="0" applyFill="1" borderId="18" applyBorder="1" xfId="0" applyProtection="1" applyAlignment="1">
      <alignment horizontal="center" vertical="center"/>
    </xf>
    <xf numFmtId="0" applyNumberFormat="1" fontId="0" applyFont="1" fillId="0" applyFill="1" borderId="0" applyBorder="1" xfId="0" applyProtection="1"/>
    <xf numFmtId="0" applyNumberFormat="1" fontId="7" applyFont="1" fillId="0" applyFill="1" borderId="41" applyBorder="1" xfId="0" applyProtection="1" applyAlignment="1">
      <alignment horizontal="center" vertical="center"/>
    </xf>
    <xf numFmtId="0" applyNumberFormat="1" fontId="0" applyFont="1" fillId="0" applyFill="1" borderId="41" applyBorder="1" xfId="0" applyProtection="1"/>
    <xf numFmtId="0" applyNumberFormat="1" fontId="0" applyFont="1" fillId="0" applyFill="1" borderId="41" applyBorder="1" xfId="0" applyProtection="1" applyAlignment="1">
      <alignment horizontal="center" vertical="center"/>
    </xf>
    <xf numFmtId="0" applyNumberFormat="1" fontId="0" applyFont="1" fillId="0" applyFill="1" borderId="41" applyBorder="1" xfId="0" applyProtection="1" applyAlignment="1">
      <alignment horizontal="left" vertical="center"/>
    </xf>
    <xf numFmtId="0" applyNumberFormat="1" fontId="7" applyFont="1" fillId="0" applyFill="1" borderId="41" applyBorder="1" xfId="0" applyProtection="1" applyAlignment="1">
      <alignment horizontal="left" vertical="center"/>
    </xf>
    <xf numFmtId="0" applyNumberFormat="1" fontId="25" applyFont="1" fillId="0" applyFill="1" borderId="41" applyBorder="1" xfId="0" applyProtection="1" applyAlignment="1">
      <alignment horizontal="center" vertical="center"/>
    </xf>
    <xf numFmtId="164" applyNumberFormat="1" fontId="25" applyFont="1" fillId="0" applyFill="1" borderId="41" applyBorder="1" xfId="0" applyProtection="1" applyAlignment="1">
      <alignment horizontal="center" vertical="center"/>
    </xf>
    <xf numFmtId="0" applyNumberFormat="1" fontId="17" applyFont="1" fillId="0" applyFill="1" borderId="38" applyBorder="1" xfId="19" quotePrefix="1" applyProtection="1" applyAlignment="1">
      <alignment horizontal="center" vertical="center" wrapText="1"/>
    </xf>
    <xf numFmtId="0" applyNumberFormat="1" fontId="17" applyFont="1" fillId="0" applyFill="1" borderId="37" applyBorder="1" xfId="19" quotePrefix="1" applyProtection="1" applyAlignment="1">
      <alignment horizontal="center" vertical="center" wrapText="1"/>
    </xf>
    <xf numFmtId="0" applyNumberFormat="1" fontId="17" applyFont="1" fillId="0" applyFill="1" borderId="33" applyBorder="1" xfId="19" quotePrefix="1" applyProtection="1" applyAlignment="1">
      <alignment horizontal="center" vertical="center" wrapText="1"/>
    </xf>
    <xf numFmtId="0" applyNumberFormat="1" fontId="17" applyFont="1" fillId="0" applyFill="1" borderId="10" applyBorder="1" xfId="19" quotePrefix="1" applyProtection="1" applyAlignment="1">
      <alignment horizontal="center" vertical="center" wrapText="1"/>
    </xf>
    <xf numFmtId="1" applyNumberFormat="1" fontId="17" applyFont="1" fillId="0" applyFill="1" borderId="36" applyBorder="1" xfId="19" quotePrefix="1" applyProtection="1" applyAlignment="1">
      <alignment horizontal="center" vertical="center" wrapText="1" shrinkToFit="1"/>
    </xf>
    <xf numFmtId="1" applyNumberFormat="1" fontId="17" applyFont="1" fillId="0" applyFill="1" borderId="36" applyBorder="1" xfId="19" applyProtection="1" applyAlignment="1">
      <alignment horizontal="center" vertical="center" wrapText="1" shrinkToFit="1"/>
    </xf>
    <xf numFmtId="1" applyNumberFormat="1" fontId="17" applyFont="1" fillId="0" applyFill="1" borderId="14" applyBorder="1" xfId="19" applyProtection="1" applyAlignment="1">
      <alignment horizontal="center" vertical="center" wrapText="1" shrinkToFit="1"/>
    </xf>
    <xf numFmtId="1" applyNumberFormat="1" fontId="17" applyFont="1" fillId="0" applyFill="1" borderId="11" applyBorder="1" xfId="19" applyProtection="1" applyAlignment="1">
      <alignment horizontal="center" vertical="center" wrapText="1" shrinkToFit="1"/>
    </xf>
    <xf numFmtId="1" applyNumberFormat="1" fontId="17" applyFont="1" fillId="0" applyFill="1" borderId="8" applyBorder="1" xfId="19" applyProtection="1" applyAlignment="1">
      <alignment horizontal="center" vertical="center" wrapText="1" shrinkToFit="1"/>
    </xf>
    <xf numFmtId="0" applyNumberFormat="1" fontId="17" applyFont="1" fillId="0" applyFill="1" borderId="4" applyBorder="1" xfId="19" applyProtection="1" applyAlignment="1">
      <alignment horizontal="center" vertical="center" wrapText="1"/>
    </xf>
    <xf numFmtId="0" applyNumberFormat="1" fontId="17" applyFont="1" fillId="0" applyFill="1" borderId="40" applyBorder="1" xfId="19" applyProtection="1" applyAlignment="1">
      <alignment horizontal="center" vertical="center" wrapText="1"/>
    </xf>
    <xf numFmtId="49" applyNumberFormat="1" fontId="17" applyFont="1" fillId="0" applyFill="1" borderId="4" applyBorder="1" xfId="19" applyProtection="1" applyAlignment="1">
      <alignment horizontal="center" vertical="center" wrapText="1"/>
    </xf>
    <xf numFmtId="0" applyNumberFormat="1" fontId="0" applyFont="1" fillId="0" applyFill="1" borderId="41" applyBorder="1" xfId="0" applyProtection="1" applyAlignment="1">
      <alignment horizontal="center" vertical="center"/>
    </xf>
    <xf numFmtId="0" applyNumberFormat="1" fontId="29" applyFont="1" fillId="0" applyFill="1" borderId="41" applyBorder="1" xfId="0" applyProtection="1" applyAlignment="1">
      <alignment horizontal="left" vertical="center"/>
    </xf>
    <xf numFmtId="0" applyNumberFormat="1" fontId="0" applyFont="1" fillId="0" applyFill="1" borderId="41" applyBorder="1" xfId="0" applyProtection="1" applyAlignment="1">
      <alignment horizontal="center" vertical="center"/>
    </xf>
    <xf numFmtId="0" applyNumberFormat="1" fontId="0" applyFont="1" fillId="0" applyFill="1" borderId="42" applyBorder="1" xfId="0" applyProtection="1" applyAlignment="1">
      <alignment horizontal="left" vertical="center"/>
    </xf>
    <xf numFmtId="0" applyNumberFormat="1" fontId="7" applyFont="1" fillId="0" applyFill="1" borderId="70" applyBorder="1" xfId="0" applyProtection="1" applyAlignment="1">
      <alignment horizontal="center" vertical="center"/>
    </xf>
    <xf numFmtId="164" applyNumberFormat="1" fontId="25" applyFont="1" fillId="0" applyFill="1" borderId="71" applyBorder="1" xfId="0" applyProtection="1" applyAlignment="1">
      <alignment horizontal="center" vertical="center"/>
    </xf>
    <xf numFmtId="0" applyNumberFormat="1" fontId="7" applyFont="1" fillId="0" applyFill="1" borderId="53" applyBorder="1" xfId="0" applyProtection="1" applyAlignment="1">
      <alignment horizontal="left" vertical="center"/>
    </xf>
    <xf numFmtId="16" applyNumberFormat="1" fontId="17" applyFont="1" fillId="0" applyFill="1" borderId="39" applyBorder="1" xfId="19" quotePrefix="1" applyProtection="1" applyAlignment="1">
      <alignment horizontal="center" vertical="center" wrapText="1"/>
    </xf>
    <xf numFmtId="16" applyNumberFormat="1" fontId="17" applyFont="1" fillId="0" applyFill="1" borderId="39" applyBorder="1" xfId="19" applyProtection="1" applyAlignment="1">
      <alignment horizontal="center" vertical="center" wrapText="1"/>
    </xf>
    <xf numFmtId="16" applyNumberFormat="1" fontId="23" applyFont="1" fillId="2" applyFill="1" borderId="53" applyBorder="1" xfId="19" quotePrefix="1" applyProtection="1" applyAlignment="1">
      <alignment horizontal="center" vertical="center"/>
    </xf>
    <xf numFmtId="0" applyNumberFormat="1" fontId="23" applyFont="1" fillId="2" applyFill="1" borderId="53" applyBorder="1" xfId="19" quotePrefix="1" applyProtection="1" applyAlignment="1">
      <alignment horizontal="center" vertical="center"/>
    </xf>
    <xf numFmtId="49" applyNumberFormat="1" fontId="23" applyFont="1" fillId="2" applyFill="1" borderId="53" applyBorder="1" xfId="19" quotePrefix="1" applyProtection="1" applyAlignment="1">
      <alignment horizontal="center" vertical="center"/>
    </xf>
    <xf numFmtId="16" applyNumberFormat="1" fontId="17" applyFont="1" fillId="0" applyFill="1" borderId="74" applyBorder="1" xfId="19" applyProtection="1" applyAlignment="1">
      <alignment horizontal="center" vertical="center" wrapText="1"/>
    </xf>
    <xf numFmtId="16" applyNumberFormat="1" fontId="17" applyFont="1" fillId="0" applyFill="1" borderId="75" applyBorder="1" xfId="19" applyProtection="1" applyAlignment="1">
      <alignment horizontal="center" vertical="center" wrapText="1"/>
    </xf>
    <xf numFmtId="0" applyNumberFormat="1" fontId="22" applyFont="1" fillId="2" applyFill="1" borderId="76" applyBorder="1" xfId="19" applyProtection="1" applyAlignment="1">
      <alignment horizontal="right" vertical="center"/>
    </xf>
    <xf numFmtId="0" applyNumberFormat="1" fontId="18" applyFont="1" fillId="2" applyFill="1" borderId="77" applyBorder="1" xfId="19" applyProtection="1" applyAlignment="1">
      <alignment horizontal="right" vertical="center"/>
    </xf>
    <xf numFmtId="0" applyNumberFormat="1" fontId="18" applyFont="1" fillId="2" applyFill="1" borderId="53" applyBorder="1" xfId="19" applyProtection="1" applyAlignment="1">
      <alignment horizontal="right" vertical="center"/>
    </xf>
    <xf numFmtId="0" applyNumberFormat="1" fontId="22" applyFont="1" fillId="2" applyFill="1" borderId="53" applyBorder="1" xfId="19" applyProtection="1" applyAlignment="1">
      <alignment horizontal="right" vertical="center"/>
    </xf>
    <xf numFmtId="0" applyNumberFormat="1" fontId="35" applyFont="1" fillId="2" applyFill="1" borderId="25" applyBorder="1" xfId="19" applyProtection="1" applyAlignment="1">
      <alignment horizontal="center" vertical="top" wrapText="1"/>
    </xf>
    <xf numFmtId="0" applyNumberFormat="1" fontId="11" applyFont="1" fillId="0" applyFill="1" borderId="51" applyBorder="1" xfId="19" applyProtection="1" applyAlignment="1">
      <alignment vertical="top" wrapText="1"/>
    </xf>
    <xf numFmtId="0" applyNumberFormat="1" fontId="24" applyFont="1" fillId="0" applyFill="1" borderId="63" applyBorder="1" xfId="19" applyProtection="1" applyAlignment="1">
      <alignment vertical="top" wrapText="1"/>
    </xf>
    <xf numFmtId="0" applyNumberFormat="1" fontId="24" applyFont="1" fillId="0" applyFill="1" borderId="54" applyBorder="1" xfId="19" applyProtection="1" applyAlignment="1">
      <alignment vertical="top" wrapText="1"/>
    </xf>
    <xf numFmtId="49" applyNumberFormat="1" fontId="23" applyFont="1" fillId="2" applyFill="1" borderId="66" applyBorder="1" xfId="19" quotePrefix="1" applyProtection="1" applyAlignment="1">
      <alignment horizontal="center" vertical="center"/>
    </xf>
    <xf numFmtId="49" applyNumberFormat="1" fontId="23" applyFont="1" fillId="2" applyFill="1" borderId="54" applyBorder="1" xfId="19" quotePrefix="1" applyProtection="1" applyAlignment="1">
      <alignment horizontal="center" vertical="center"/>
    </xf>
    <xf numFmtId="0" applyNumberFormat="1" fontId="17" applyFont="1" fillId="0" applyFill="1" borderId="36" applyBorder="1" xfId="19" applyProtection="1" applyAlignment="1">
      <alignment horizontal="center" vertical="center" wrapText="1"/>
    </xf>
    <xf numFmtId="49" applyNumberFormat="1" fontId="17" applyFont="1" fillId="0" applyFill="1" borderId="36" applyBorder="1" xfId="19" applyProtection="1" applyAlignment="1">
      <alignment horizontal="center" vertical="center" wrapText="1"/>
    </xf>
    <xf numFmtId="0" applyNumberFormat="1" fontId="12" applyFont="1" fillId="0" applyFill="1" borderId="66" applyBorder="1" xfId="19" applyProtection="1" applyAlignment="1">
      <alignment vertical="top" wrapText="1"/>
    </xf>
    <xf numFmtId="0" applyNumberFormat="1" fontId="24" applyFont="1" fillId="0" applyFill="1" borderId="57" applyBorder="1" xfId="19" applyProtection="1" applyAlignment="1">
      <alignment vertical="top" wrapText="1"/>
    </xf>
    <xf numFmtId="0" applyNumberFormat="1" fontId="18" applyFont="1" fillId="2" applyFill="1" borderId="17" applyBorder="1" xfId="19" applyProtection="1" applyAlignment="1">
      <alignment horizontal="right" vertical="center"/>
    </xf>
    <xf numFmtId="0" applyNumberFormat="1" fontId="22" applyFont="1" fillId="2" applyFill="1" borderId="7" applyBorder="1" xfId="19" applyProtection="1" applyAlignment="1">
      <alignment horizontal="right" vertical="center"/>
    </xf>
    <xf numFmtId="0" applyNumberFormat="1" fontId="18" applyFont="1" fillId="2" applyFill="1" borderId="81" applyBorder="1" xfId="19" applyProtection="1" applyAlignment="1">
      <alignment horizontal="right" vertical="center"/>
    </xf>
    <xf numFmtId="0" applyNumberFormat="1" fontId="22" applyFont="1" fillId="2" applyFill="1" borderId="81" applyBorder="1" xfId="19" applyProtection="1" applyAlignment="1">
      <alignment horizontal="right" vertical="center"/>
    </xf>
    <xf numFmtId="0" applyNumberFormat="1" fontId="18" applyFont="1" fillId="2" applyFill="1" borderId="75" applyBorder="1" xfId="19" applyProtection="1" applyAlignment="1">
      <alignment horizontal="right" vertical="center"/>
    </xf>
    <xf numFmtId="0" applyNumberFormat="1" fontId="22" applyFont="1" fillId="2" applyFill="1" borderId="8" applyBorder="1" xfId="19" applyProtection="1" applyAlignment="1">
      <alignment horizontal="right" vertical="center" wrapText="1"/>
    </xf>
    <xf numFmtId="0" applyNumberFormat="1" fontId="18" applyFont="1" fillId="2" applyFill="1" borderId="23" applyBorder="1" xfId="19" applyProtection="1" applyAlignment="1">
      <alignment horizontal="right" vertical="center"/>
    </xf>
    <xf numFmtId="0" applyNumberFormat="1" fontId="22" applyFont="1" fillId="2" applyFill="1" borderId="0" applyBorder="1" xfId="19" applyProtection="1" applyAlignment="1">
      <alignment horizontal="right" vertical="center"/>
    </xf>
    <xf numFmtId="0" applyNumberFormat="1" fontId="11" applyFont="1" fillId="0" applyFill="1" borderId="30" applyBorder="1" xfId="19" applyProtection="1" applyAlignment="1">
      <alignment vertical="top" wrapText="1"/>
    </xf>
    <xf numFmtId="0" applyNumberFormat="1" fontId="24" applyFont="1" fillId="0" applyFill="1" borderId="40" applyBorder="1" xfId="19" applyProtection="1" applyAlignment="1">
      <alignment vertical="top" wrapText="1"/>
    </xf>
    <xf numFmtId="0" applyNumberFormat="1" fontId="24" applyFont="1" fillId="0" applyFill="1" borderId="36" applyBorder="1" xfId="19" applyProtection="1" applyAlignment="1">
      <alignment vertical="top" wrapText="1"/>
    </xf>
    <xf numFmtId="0" applyNumberFormat="1" fontId="12" applyFont="1" fillId="0" applyFill="1" borderId="39" applyBorder="1" xfId="19" applyProtection="1" applyAlignment="1">
      <alignment vertical="top" wrapText="1"/>
    </xf>
    <xf numFmtId="0" applyNumberFormat="1" fontId="11" applyFont="1" fillId="0" applyFill="1" borderId="23" applyBorder="1" xfId="19" applyProtection="1" applyAlignment="1">
      <alignment vertical="top" wrapText="1"/>
    </xf>
    <xf numFmtId="0" applyNumberFormat="1" fontId="24" applyFont="1" fillId="0" applyFill="1" borderId="78" applyBorder="1" xfId="19" applyProtection="1" applyAlignment="1">
      <alignment vertical="top" wrapText="1"/>
    </xf>
    <xf numFmtId="0" applyNumberFormat="1" fontId="24" applyFont="1" fillId="0" applyFill="1" borderId="8" applyBorder="1" xfId="19" applyProtection="1" applyAlignment="1">
      <alignment vertical="top" wrapText="1"/>
    </xf>
    <xf numFmtId="0" applyNumberFormat="1" fontId="12" applyFont="1" fillId="0" applyFill="1" borderId="74" applyBorder="1" xfId="19" applyProtection="1" applyAlignment="1">
      <alignment vertical="top" wrapText="1"/>
    </xf>
    <xf numFmtId="0" applyNumberFormat="1" fontId="24" applyFont="1" fillId="0" applyFill="1" borderId="38" applyBorder="1" xfId="19" applyProtection="1" applyAlignment="1">
      <alignment vertical="top" wrapText="1"/>
    </xf>
    <xf numFmtId="0" applyNumberFormat="1" fontId="23" applyFont="1" fillId="3" applyFill="1" borderId="53" applyBorder="1" xfId="19" quotePrefix="1" applyProtection="1" applyAlignment="1">
      <alignment horizontal="center" vertical="center"/>
    </xf>
    <xf numFmtId="0" applyNumberFormat="1" fontId="0" applyFont="1" fillId="0" applyFill="1" borderId="41" applyBorder="1" xfId="0" applyProtection="1" applyAlignment="1">
      <alignment horizontal="center" vertical="center"/>
    </xf>
    <xf numFmtId="0" applyNumberFormat="1" fontId="0" applyFont="1" fillId="0" applyFill="1" borderId="42" applyBorder="1" xfId="0" applyProtection="1" applyAlignment="1">
      <alignment horizontal="center" vertical="center"/>
    </xf>
    <xf numFmtId="0" applyNumberFormat="1" fontId="0" applyFont="1" fillId="0" applyFill="1" borderId="41" applyBorder="1" xfId="0" applyProtection="1" applyAlignment="1">
      <alignment horizontal="center" vertical="center"/>
    </xf>
    <xf numFmtId="0" applyNumberFormat="1" fontId="26" applyFont="1" fillId="0" applyFill="1" borderId="41" applyBorder="1" xfId="0" applyProtection="1" applyAlignment="1">
      <alignment horizontal="center" vertical="center"/>
    </xf>
    <xf numFmtId="0" applyNumberFormat="1" fontId="7" applyFont="1" fillId="0" applyFill="1" borderId="53" applyBorder="1" xfId="0" applyProtection="1" applyAlignment="1">
      <alignment horizontal="center" vertical="center"/>
    </xf>
    <xf numFmtId="16" applyNumberFormat="1" fontId="23" applyFont="1" fillId="3" applyFill="1" borderId="53" applyBorder="1" xfId="19" quotePrefix="1" applyProtection="1" applyAlignment="1">
      <alignment horizontal="center" vertical="center"/>
    </xf>
    <xf numFmtId="0" applyNumberFormat="1" fontId="0" applyFont="1" fillId="0" applyFill="1" borderId="13" applyBorder="1" xfId="0" applyProtection="1"/>
    <xf numFmtId="0" applyNumberFormat="1" fontId="1" applyFont="1" fillId="0" applyFill="1" borderId="85" applyBorder="1" xfId="12" applyProtection="1" applyAlignment="1">
      <alignment horizontal="center" vertical="center"/>
    </xf>
    <xf numFmtId="0" applyNumberFormat="1" fontId="1" applyFont="1" fillId="0" applyFill="1" borderId="81" applyBorder="1" xfId="12" quotePrefix="1" applyProtection="1" applyAlignment="1">
      <alignment horizontal="center" vertical="center"/>
    </xf>
    <xf numFmtId="0" applyNumberFormat="1" fontId="41" applyFont="1" fillId="0" applyFill="1" borderId="81" applyBorder="1" xfId="12" applyProtection="1" applyAlignment="1">
      <alignment horizontal="center" vertical="center"/>
    </xf>
    <xf numFmtId="0" applyNumberFormat="1" fontId="40" applyFont="1" fillId="0" applyFill="1" borderId="81" applyBorder="1" xfId="26" applyProtection="1" applyAlignment="1">
      <alignment horizontal="center" vertical="center"/>
    </xf>
    <xf numFmtId="0" applyNumberFormat="1" fontId="39" applyFont="1" fillId="0" applyFill="1" borderId="81" applyBorder="1" xfId="26" applyProtection="1" applyAlignment="1">
      <alignment horizontal="center" vertical="center"/>
    </xf>
    <xf numFmtId="0" applyNumberFormat="1" fontId="1" applyFont="1" fillId="0" applyFill="1" borderId="81" applyBorder="1" xfId="12" applyProtection="1" applyAlignment="1">
      <alignment horizontal="center" vertical="center"/>
    </xf>
    <xf numFmtId="0" applyNumberFormat="1" fontId="37" applyFont="1" fillId="5" applyFill="1" borderId="83" applyBorder="1" xfId="12" applyProtection="1" applyAlignment="1">
      <alignment horizontal="center" vertical="center"/>
    </xf>
    <xf numFmtId="0" applyNumberFormat="1" fontId="0" applyFont="1" fillId="0" applyFill="1" borderId="0" applyBorder="1" xfId="0" applyProtection="1"/>
    <xf numFmtId="0" applyNumberFormat="1" fontId="1" applyFont="1" fillId="0" applyFill="1" borderId="0" applyBorder="1" xfId="12" applyProtection="1"/>
    <xf numFmtId="0" applyNumberFormat="1" fontId="1" applyFont="1" fillId="0" applyFill="1" borderId="0" applyBorder="1" xfId="12" applyProtection="1">
      <alignment wrapText="1"/>
    </xf>
    <xf numFmtId="0" applyNumberFormat="1" fontId="37" applyFont="1" fillId="5" applyFill="1" borderId="65" applyBorder="1" xfId="12" applyProtection="1" applyAlignment="1">
      <alignment horizontal="center" vertical="center"/>
    </xf>
    <xf numFmtId="0" applyNumberFormat="1" fontId="37" applyFont="1" fillId="6" applyFill="1" borderId="65" applyBorder="1" xfId="12" applyProtection="1" applyAlignment="1">
      <alignment horizontal="center" vertical="center"/>
    </xf>
    <xf numFmtId="0" applyNumberFormat="1" fontId="1" applyFont="1" fillId="0" applyFill="1" borderId="53" applyBorder="1" xfId="12" applyProtection="1" applyAlignment="1">
      <alignment horizontal="center" vertical="center"/>
    </xf>
    <xf numFmtId="0" applyNumberFormat="1" fontId="38" applyFont="1" fillId="0" applyFill="1" borderId="82" applyBorder="1" xfId="12" applyProtection="1" applyAlignment="1">
      <alignment horizontal="center" vertical="center" readingOrder="1"/>
    </xf>
    <xf numFmtId="0" applyNumberFormat="1" fontId="39" applyFont="1" fillId="0" applyFill="1" borderId="53" applyBorder="1" xfId="26" applyProtection="1" applyAlignment="1">
      <alignment horizontal="center" vertical="center"/>
    </xf>
    <xf numFmtId="0" applyNumberFormat="1" fontId="40" applyFont="1" fillId="0" applyFill="1" borderId="53" applyBorder="1" xfId="26" applyProtection="1" applyAlignment="1">
      <alignment horizontal="center" vertical="center"/>
    </xf>
    <xf numFmtId="0" applyNumberFormat="1" fontId="41" applyFont="1" fillId="0" applyFill="1" borderId="53" applyBorder="1" xfId="12" applyProtection="1" applyAlignment="1">
      <alignment horizontal="center" vertical="center"/>
    </xf>
    <xf numFmtId="0" applyNumberFormat="1" fontId="42" applyFont="1" fillId="0" applyFill="1" borderId="82" applyBorder="1" xfId="12" applyProtection="1" applyAlignment="1">
      <alignment horizontal="center" vertical="center" readingOrder="1"/>
    </xf>
    <xf numFmtId="0" applyNumberFormat="1" fontId="1" applyFont="1" fillId="0" applyFill="1" borderId="53" applyBorder="1" xfId="12" quotePrefix="1" applyProtection="1" applyAlignment="1">
      <alignment horizontal="center" vertical="center"/>
    </xf>
    <xf numFmtId="0" applyNumberFormat="1" fontId="1" applyFont="1" fillId="0" applyFill="1" borderId="62" applyBorder="1" xfId="12" applyProtection="1" applyAlignment="1">
      <alignment horizontal="center" vertical="center"/>
    </xf>
    <xf numFmtId="0" applyNumberFormat="1" fontId="41" applyFont="1" fillId="0" applyFill="1" borderId="62" applyBorder="1" xfId="12" applyProtection="1" applyAlignment="1">
      <alignment horizontal="center" vertical="center"/>
    </xf>
    <xf numFmtId="0" applyNumberFormat="1" fontId="42" applyFont="1" fillId="0" applyFill="1" borderId="87" applyBorder="1" xfId="12" applyProtection="1" applyAlignment="1">
      <alignment horizontal="center" vertical="center" readingOrder="1"/>
    </xf>
    <xf numFmtId="0" applyNumberFormat="1" fontId="42" applyFont="1" fillId="0" applyFill="1" borderId="53" applyBorder="1" xfId="12" applyProtection="1" applyAlignment="1">
      <alignment horizontal="center" vertical="center" readingOrder="1"/>
    </xf>
    <xf numFmtId="0" applyNumberFormat="1" fontId="37" applyFont="1" fillId="6" applyFill="1" borderId="84" applyBorder="1" xfId="12" applyProtection="1" applyAlignment="1">
      <alignment horizontal="center" vertical="center"/>
    </xf>
    <xf numFmtId="0" applyNumberFormat="1" fontId="1" applyFont="1" fillId="0" applyFill="1" borderId="32" applyBorder="1" xfId="12" applyProtection="1" applyAlignment="1">
      <alignment horizontal="center" vertical="center"/>
    </xf>
    <xf numFmtId="0" applyNumberFormat="1" fontId="1" applyFont="1" fillId="0" applyFill="1" borderId="86" applyBorder="1" xfId="12" applyProtection="1" applyAlignment="1">
      <alignment horizontal="center" vertical="center"/>
    </xf>
    <xf numFmtId="0" applyNumberFormat="1" fontId="27" applyFont="1" fillId="0" applyFill="1" borderId="81" applyBorder="1" xfId="25" applyProtection="1" applyAlignment="1">
      <alignment horizontal="center" vertical="center"/>
    </xf>
    <xf numFmtId="0" applyNumberFormat="1" fontId="27" applyFont="1" fillId="0" applyFill="1" borderId="32" applyBorder="1" xfId="25" applyProtection="1" applyAlignment="1">
      <alignment horizontal="center" vertical="center"/>
    </xf>
    <xf numFmtId="0" applyNumberFormat="1" fontId="27" applyFont="1" fillId="4" applyFill="1" borderId="83" applyBorder="1" xfId="25" applyProtection="1" applyAlignment="1">
      <alignment horizontal="center" vertical="center"/>
    </xf>
    <xf numFmtId="0" applyNumberFormat="1" fontId="27" applyFont="1" fillId="4" applyFill="1" borderId="84" applyBorder="1" xfId="25" applyProtection="1" applyAlignment="1">
      <alignment horizontal="center" vertical="center"/>
    </xf>
    <xf numFmtId="0" applyNumberFormat="1" fontId="27" applyFont="1" fillId="0" applyFill="1" borderId="85" applyBorder="1" xfId="25" applyProtection="1" applyAlignment="1">
      <alignment horizontal="center" vertical="center"/>
    </xf>
    <xf numFmtId="0" applyNumberFormat="1" fontId="27" applyFont="1" fillId="0" applyFill="1" borderId="86" applyBorder="1" xfId="25" applyProtection="1" applyAlignment="1">
      <alignment horizontal="center" vertical="center"/>
    </xf>
    <xf numFmtId="0" applyNumberFormat="1" fontId="27" applyFont="1" fillId="0" applyFill="1" borderId="81" applyBorder="1" xfId="25" applyProtection="1" applyAlignment="1">
      <alignment horizontal="center" vertical="center"/>
    </xf>
    <xf numFmtId="0" applyNumberFormat="1" fontId="27" applyFont="1" fillId="0" applyFill="1" borderId="32" applyBorder="1" xfId="25" applyProtection="1" applyAlignment="1">
      <alignment horizontal="center" vertical="center"/>
    </xf>
    <xf numFmtId="0" applyNumberFormat="1" fontId="27" applyFont="1" fillId="0" applyFill="1" borderId="0" applyBorder="1" xfId="16" applyProtection="1"/>
    <xf numFmtId="0" applyNumberFormat="1" fontId="36" applyFont="1" fillId="0" applyFill="1" borderId="0" applyBorder="1" xfId="17" applyProtection="1"/>
    <xf numFmtId="0" applyNumberFormat="1" fontId="27" applyFont="1" fillId="0" applyFill="1" borderId="0" applyBorder="1" xfId="16" applyProtection="1"/>
    <xf numFmtId="0" applyNumberFormat="1" fontId="30" applyFont="1" fillId="0" applyFill="1" borderId="46" applyBorder="1" xfId="16" applyProtection="1"/>
    <xf numFmtId="49" applyNumberFormat="1" fontId="31" applyFont="1" fillId="0" applyFill="1" borderId="47" applyBorder="1" xfId="16" applyProtection="1" applyAlignment="1">
      <alignment vertical="center"/>
    </xf>
    <xf numFmtId="0" applyNumberFormat="1" fontId="32" applyFont="1" fillId="0" applyFill="1" borderId="47" applyBorder="1" xfId="16" applyProtection="1" applyAlignment="1">
      <alignment horizontal="left" vertical="center"/>
    </xf>
    <xf numFmtId="0" applyNumberFormat="1" fontId="31" applyFont="1" fillId="0" applyFill="1" borderId="48" applyBorder="1" xfId="16" applyProtection="1" applyAlignment="1">
      <alignment horizontal="center"/>
    </xf>
    <xf numFmtId="0" applyNumberFormat="1" fontId="27" applyFont="1" fillId="0" applyFill="1" borderId="49" applyBorder="1" xfId="16" applyProtection="1"/>
    <xf numFmtId="49" applyNumberFormat="1" fontId="33" applyFont="1" fillId="0" applyFill="1" borderId="50" applyBorder="1" xfId="16" applyProtection="1" applyAlignment="1">
      <alignment vertical="center"/>
    </xf>
    <xf numFmtId="0" applyNumberFormat="1" fontId="34" applyFont="1" fillId="0" applyFill="1" borderId="50" applyBorder="1" xfId="16" applyProtection="1" applyAlignment="1">
      <alignment horizontal="left" vertical="center"/>
    </xf>
    <xf numFmtId="0" applyNumberFormat="1" fontId="33" applyFont="1" fillId="0" applyFill="1" borderId="51" applyBorder="1" xfId="16" applyProtection="1" applyAlignment="1">
      <alignment horizontal="center"/>
    </xf>
    <xf numFmtId="0" applyNumberFormat="1" fontId="27" applyFont="1" fillId="0" applyFill="1" borderId="52" applyBorder="1" xfId="16" applyProtection="1"/>
    <xf numFmtId="49" applyNumberFormat="1" fontId="33" applyFont="1" fillId="0" applyFill="1" borderId="53" applyBorder="1" xfId="16" applyProtection="1" applyAlignment="1">
      <alignment vertical="center"/>
    </xf>
    <xf numFmtId="0" applyNumberFormat="1" fontId="34" applyFont="1" fillId="0" applyFill="1" borderId="53" applyBorder="1" xfId="16" applyProtection="1" applyAlignment="1">
      <alignment horizontal="left" vertical="center"/>
    </xf>
    <xf numFmtId="0" applyNumberFormat="1" fontId="33" applyFont="1" fillId="0" applyFill="1" borderId="54" applyBorder="1" xfId="16" applyProtection="1" applyAlignment="1">
      <alignment horizontal="center"/>
    </xf>
    <xf numFmtId="0" applyNumberFormat="1" fontId="27" applyFont="1" fillId="0" applyFill="1" borderId="55" applyBorder="1" xfId="16" applyProtection="1"/>
    <xf numFmtId="49" applyNumberFormat="1" fontId="33" applyFont="1" fillId="0" applyFill="1" borderId="56" applyBorder="1" xfId="16" applyProtection="1" applyAlignment="1">
      <alignment vertical="center"/>
    </xf>
    <xf numFmtId="0" applyNumberFormat="1" fontId="34" applyFont="1" fillId="0" applyFill="1" borderId="56" applyBorder="1" xfId="16" applyProtection="1" applyAlignment="1">
      <alignment horizontal="left" vertical="center"/>
    </xf>
    <xf numFmtId="0" applyNumberFormat="1" fontId="33" applyFont="1" fillId="0" applyFill="1" borderId="57" applyBorder="1" xfId="16" applyProtection="1" applyAlignment="1">
      <alignment horizontal="center"/>
    </xf>
    <xf numFmtId="0" applyNumberFormat="1" fontId="27" applyFont="1" fillId="0" applyFill="1" borderId="53" applyBorder="1" xfId="16" applyProtection="1"/>
    <xf numFmtId="0" applyNumberFormat="1" fontId="27" applyFont="1" fillId="0" applyFill="1" borderId="62" applyBorder="1" xfId="16" applyProtection="1"/>
    <xf numFmtId="49" applyNumberFormat="1" fontId="33" applyFont="1" fillId="0" applyFill="1" borderId="62" applyBorder="1" xfId="16" applyProtection="1" applyAlignment="1">
      <alignment vertical="center"/>
    </xf>
    <xf numFmtId="0" applyNumberFormat="1" fontId="34" applyFont="1" fillId="0" applyFill="1" borderId="62" applyBorder="1" xfId="16" applyProtection="1" applyAlignment="1">
      <alignment horizontal="left" vertical="center"/>
    </xf>
    <xf numFmtId="0" applyNumberFormat="1" fontId="33" applyFont="1" fillId="0" applyFill="1" borderId="63" applyBorder="1" xfId="16" applyProtection="1" applyAlignment="1">
      <alignment horizontal="center"/>
    </xf>
    <xf numFmtId="0" applyNumberFormat="1" fontId="27" applyFont="1" fillId="0" applyFill="1" borderId="46" applyBorder="1" xfId="16" applyProtection="1"/>
    <xf numFmtId="49" applyNumberFormat="1" fontId="33" applyFont="1" fillId="0" applyFill="1" borderId="47" applyBorder="1" xfId="16" applyProtection="1" applyAlignment="1">
      <alignment vertical="center"/>
    </xf>
    <xf numFmtId="0" applyNumberFormat="1" fontId="34" applyFont="1" fillId="0" applyFill="1" borderId="47" applyBorder="1" xfId="16" applyProtection="1" applyAlignment="1">
      <alignment horizontal="left" vertical="center"/>
    </xf>
    <xf numFmtId="0" applyNumberFormat="1" fontId="33" applyFont="1" fillId="0" applyFill="1" borderId="48" applyBorder="1" xfId="16" applyProtection="1" applyAlignment="1">
      <alignment horizontal="center"/>
    </xf>
    <xf numFmtId="0" applyNumberFormat="1" fontId="27" applyFont="1" fillId="0" applyFill="1" borderId="64" applyBorder="1" xfId="16" applyProtection="1"/>
    <xf numFmtId="49" applyNumberFormat="1" fontId="33" applyFont="1" fillId="0" applyFill="1" borderId="65" applyBorder="1" xfId="16" applyProtection="1" applyAlignment="1">
      <alignment vertical="center"/>
    </xf>
    <xf numFmtId="0" applyNumberFormat="1" fontId="34" applyFont="1" fillId="0" applyFill="1" borderId="65" applyBorder="1" xfId="16" applyProtection="1" applyAlignment="1">
      <alignment horizontal="left" vertical="center"/>
    </xf>
    <xf numFmtId="0" applyNumberFormat="1" fontId="33" applyFont="1" fillId="0" applyFill="1" borderId="66" applyBorder="1" xfId="16" applyProtection="1" applyAlignment="1">
      <alignment horizontal="center"/>
    </xf>
    <xf numFmtId="0" applyNumberFormat="1" fontId="34" applyFont="1" fillId="0" applyFill="1" borderId="0" applyBorder="1" xfId="16" applyProtection="1" applyAlignment="1">
      <alignment horizontal="left" vertical="center"/>
    </xf>
    <xf numFmtId="0" applyNumberFormat="1" fontId="27" applyFont="1" fillId="0" applyFill="1" borderId="58" applyBorder="1" xfId="16" applyProtection="1"/>
    <xf numFmtId="49" applyNumberFormat="1" fontId="33" applyFont="1" fillId="0" applyFill="1" borderId="59" applyBorder="1" xfId="16" applyProtection="1" applyAlignment="1">
      <alignment vertical="center"/>
    </xf>
    <xf numFmtId="0" applyNumberFormat="1" fontId="34" applyFont="1" fillId="0" applyFill="1" borderId="59" applyBorder="1" xfId="16" applyProtection="1" applyAlignment="1">
      <alignment horizontal="left" vertical="center"/>
    </xf>
    <xf numFmtId="0" applyNumberFormat="1" fontId="33" applyFont="1" fillId="0" applyFill="1" borderId="60" applyBorder="1" xfId="16" applyProtection="1" applyAlignment="1">
      <alignment horizontal="center"/>
    </xf>
    <xf numFmtId="0" applyNumberFormat="1" fontId="27" applyFont="1" fillId="0" applyFill="1" borderId="61" applyBorder="1" xfId="16" applyProtection="1"/>
    <xf numFmtId="0" applyNumberFormat="1" fontId="27" applyFont="1" fillId="0" applyFill="1" borderId="67" applyBorder="1" xfId="16" applyProtection="1"/>
    <xf numFmtId="49" applyNumberFormat="1" fontId="33" applyFont="1" fillId="0" applyFill="1" borderId="68" applyBorder="1" xfId="16" applyProtection="1" applyAlignment="1">
      <alignment vertical="center"/>
    </xf>
    <xf numFmtId="0" applyNumberFormat="1" fontId="34" applyFont="1" fillId="0" applyFill="1" borderId="68" applyBorder="1" xfId="16" applyProtection="1" applyAlignment="1">
      <alignment horizontal="left" vertical="center"/>
    </xf>
    <xf numFmtId="0" applyNumberFormat="1" fontId="33" applyFont="1" fillId="0" applyFill="1" borderId="69" applyBorder="1" xfId="16" applyProtection="1" applyAlignment="1">
      <alignment horizontal="center"/>
    </xf>
    <xf numFmtId="0" applyNumberFormat="1" fontId="27" applyFont="1" fillId="0" applyFill="1" borderId="72" applyBorder="1" xfId="16" applyProtection="1"/>
    <xf numFmtId="0" applyNumberFormat="1" fontId="34" applyFont="1" fillId="0" applyFill="1" borderId="73" applyBorder="1" xfId="16" applyProtection="1" applyAlignment="1">
      <alignment horizontal="left" vertical="center"/>
    </xf>
    <xf numFmtId="0" applyNumberFormat="1" fontId="27" applyFont="1" fillId="0" applyFill="1" borderId="55" applyBorder="1" xfId="16" applyProtection="1" applyAlignment="1">
      <alignment vertical="center"/>
    </xf>
    <xf numFmtId="0" applyNumberFormat="1" fontId="33" applyFont="1" fillId="0" applyFill="1" borderId="57" applyBorder="1" xfId="16" applyProtection="1" applyAlignment="1">
      <alignment horizontal="center" wrapText="1"/>
    </xf>
    <xf numFmtId="0" applyNumberFormat="1" fontId="36" applyFont="1" fillId="0" applyFill="1" borderId="0" applyBorder="1" xfId="17" applyProtection="1"/>
    <xf numFmtId="0" applyNumberFormat="1" fontId="33" applyFont="1" fillId="0" applyFill="1" borderId="53" applyBorder="1" xfId="16" applyProtection="1" applyAlignment="1">
      <alignment vertical="center"/>
    </xf>
    <xf numFmtId="0" applyNumberFormat="1" fontId="0" applyFont="1" fillId="0" applyFill="1" borderId="41" applyBorder="1" xfId="0" applyProtection="1" applyAlignment="1">
      <alignment horizontal="center" vertical="center"/>
    </xf>
    <xf numFmtId="0" applyNumberFormat="1" fontId="0" applyFont="1" fillId="0" applyFill="1" borderId="42" applyBorder="1" xfId="0" applyProtection="1" applyAlignment="1">
      <alignment horizontal="center" vertical="center"/>
    </xf>
    <xf numFmtId="0" applyNumberFormat="1" fontId="0" applyFont="1" fillId="0" applyFill="1" borderId="44" applyBorder="1" xfId="0" applyProtection="1" applyAlignment="1">
      <alignment horizontal="center" vertical="center"/>
    </xf>
    <xf numFmtId="0" applyNumberFormat="1" fontId="0" applyFont="1" fillId="0" applyFill="1" borderId="43" applyBorder="1" xfId="0" applyProtection="1" applyAlignment="1">
      <alignment horizontal="center" vertical="center"/>
    </xf>
    <xf numFmtId="0" applyNumberFormat="1" fontId="0" applyFont="1" fillId="0" applyFill="1" borderId="45" applyBorder="1" xfId="0" applyProtection="1" applyAlignment="1">
      <alignment horizontal="center" vertical="center"/>
    </xf>
    <xf numFmtId="0" applyNumberFormat="1" fontId="20" applyFont="1" fillId="0" applyFill="1" borderId="80" applyBorder="1" xfId="0" applyProtection="1" applyAlignment="1">
      <alignment horizontal="center" vertical="center" wrapText="1"/>
    </xf>
    <xf numFmtId="0" applyNumberFormat="1" fontId="20" applyFont="1" fillId="0" applyFill="1" borderId="26" applyBorder="1" xfId="0" applyProtection="1" applyAlignment="1">
      <alignment horizontal="center" vertical="center" wrapText="1"/>
    </xf>
    <xf numFmtId="0" applyNumberFormat="1" fontId="20" applyFont="1" fillId="0" applyFill="1" borderId="17" applyBorder="1" xfId="0" applyProtection="1" applyAlignment="1">
      <alignment horizontal="center" vertical="center" wrapText="1"/>
    </xf>
    <xf numFmtId="0" applyNumberFormat="1" fontId="19" applyFont="1" fillId="0" applyFill="1" borderId="16" applyBorder="1" xfId="0" applyProtection="1" applyAlignment="1">
      <alignment horizontal="center" vertical="center" wrapText="1"/>
    </xf>
    <xf numFmtId="0" applyNumberFormat="1" fontId="19" applyFont="1" fillId="0" applyFill="1" borderId="26" applyBorder="1" xfId="0" applyProtection="1" applyAlignment="1">
      <alignment horizontal="center" vertical="center" wrapText="1"/>
    </xf>
    <xf numFmtId="2" applyNumberFormat="1" fontId="23" applyFont="1" fillId="0" applyFill="1" borderId="12" applyBorder="1" xfId="19" applyProtection="1" applyAlignment="1">
      <alignment horizontal="center" vertical="center"/>
    </xf>
    <xf numFmtId="2" applyNumberFormat="1" fontId="23" applyFont="1" fillId="0" applyFill="1" borderId="76" applyBorder="1" xfId="19" applyProtection="1" applyAlignment="1">
      <alignment horizontal="center" vertical="center"/>
    </xf>
    <xf numFmtId="2" applyNumberFormat="1" fontId="23" applyFont="1" fillId="0" applyFill="1" borderId="78" applyBorder="1" xfId="19" applyProtection="1" applyAlignment="1">
      <alignment horizontal="center" vertical="center"/>
    </xf>
    <xf numFmtId="1" applyNumberFormat="1" fontId="23" applyFont="1" fillId="0" applyFill="1" borderId="12" applyBorder="1" xfId="19" applyProtection="1" applyAlignment="1">
      <alignment horizontal="center" vertical="center"/>
    </xf>
    <xf numFmtId="1" applyNumberFormat="1" fontId="23" applyFont="1" fillId="0" applyFill="1" borderId="76" applyBorder="1" xfId="19" applyProtection="1" applyAlignment="1">
      <alignment horizontal="center" vertical="center"/>
    </xf>
    <xf numFmtId="1" applyNumberFormat="1" fontId="23" applyFont="1" fillId="0" applyFill="1" borderId="78" applyBorder="1" xfId="19" applyProtection="1" applyAlignment="1">
      <alignment horizontal="center" vertical="center"/>
    </xf>
    <xf numFmtId="1" applyNumberFormat="1" fontId="23" applyFont="1" fillId="0" applyFill="1" borderId="10" applyBorder="1" xfId="19" applyProtection="1" applyAlignment="1">
      <alignment horizontal="center" vertical="center"/>
    </xf>
    <xf numFmtId="1" applyNumberFormat="1" fontId="23" applyFont="1" fillId="0" applyFill="1" borderId="33" applyBorder="1" xfId="19" applyProtection="1" applyAlignment="1">
      <alignment horizontal="center" vertical="center"/>
    </xf>
    <xf numFmtId="1" applyNumberFormat="1" fontId="23" applyFont="1" fillId="0" applyFill="1" borderId="38" applyBorder="1" xfId="19" applyProtection="1" applyAlignment="1">
      <alignment horizontal="center" vertical="center"/>
    </xf>
    <xf numFmtId="1" applyNumberFormat="1" fontId="23" applyFont="1" fillId="0" applyFill="1" borderId="11" applyBorder="1" xfId="19" applyProtection="1" applyAlignment="1">
      <alignment horizontal="center" vertical="center"/>
    </xf>
    <xf numFmtId="1" applyNumberFormat="1" fontId="23" applyFont="1" fillId="0" applyFill="1" borderId="5" applyBorder="1" xfId="19" applyProtection="1" applyAlignment="1">
      <alignment horizontal="center" vertical="center"/>
    </xf>
    <xf numFmtId="1" applyNumberFormat="1" fontId="23" applyFont="1" fillId="0" applyFill="1" borderId="8" applyBorder="1" xfId="19" applyProtection="1" applyAlignment="1">
      <alignment horizontal="center" vertical="center"/>
    </xf>
    <xf numFmtId="0" applyNumberFormat="1" fontId="23" applyFont="1" fillId="0" applyFill="1" borderId="21" applyBorder="1" xfId="19" applyProtection="1" applyAlignment="1">
      <alignment horizontal="center" vertical="center"/>
    </xf>
    <xf numFmtId="0" applyNumberFormat="1" fontId="23" applyFont="1" fillId="0" applyFill="1" borderId="22" applyBorder="1" xfId="19" applyProtection="1" applyAlignment="1">
      <alignment horizontal="center" vertical="center"/>
    </xf>
    <xf numFmtId="0" applyNumberFormat="1" fontId="23" applyFont="1" fillId="0" applyFill="1" borderId="23" applyBorder="1" xfId="19" applyProtection="1" applyAlignment="1">
      <alignment horizontal="center" vertical="center"/>
    </xf>
    <xf numFmtId="49" applyNumberFormat="1" fontId="23" applyFont="1" fillId="0" applyFill="1" borderId="9" applyBorder="1" xfId="19" applyProtection="1" applyAlignment="1">
      <alignment horizontal="center" vertical="center"/>
    </xf>
    <xf numFmtId="49" applyNumberFormat="1" fontId="23" applyFont="1" fillId="0" applyFill="1" borderId="6" applyBorder="1" xfId="19" applyProtection="1" applyAlignment="1">
      <alignment horizontal="center" vertical="center"/>
    </xf>
    <xf numFmtId="49" applyNumberFormat="1" fontId="23" applyFont="1" fillId="0" applyFill="1" borderId="7" applyBorder="1" xfId="19" applyProtection="1" applyAlignment="1">
      <alignment horizontal="center" vertical="center"/>
    </xf>
    <xf numFmtId="0" applyNumberFormat="1" fontId="21" applyFont="1" fillId="2" applyFill="1" borderId="3" applyBorder="1" xfId="19" applyProtection="1" applyAlignment="1">
      <alignment horizontal="center" vertical="center"/>
    </xf>
    <xf numFmtId="0" applyNumberFormat="1" fontId="21" applyFont="1" fillId="2" applyFill="1" borderId="59" applyBorder="1" xfId="19" applyProtection="1" applyAlignment="1">
      <alignment horizontal="center" vertical="center"/>
    </xf>
    <xf numFmtId="0" applyNumberFormat="1" fontId="21" applyFont="1" fillId="2" applyFill="1" borderId="31" applyBorder="1" xfId="19" applyProtection="1" applyAlignment="1">
      <alignment horizontal="center" vertical="center"/>
    </xf>
    <xf numFmtId="0" applyNumberFormat="1" fontId="21" applyFont="1" fillId="2" applyFill="1" borderId="72" applyBorder="1" xfId="19" applyProtection="1" applyAlignment="1">
      <alignment horizontal="center" vertical="center"/>
    </xf>
    <xf numFmtId="0" applyNumberFormat="1" fontId="21" applyFont="1" fillId="2" applyFill="1" borderId="73" applyBorder="1" xfId="19" applyProtection="1" applyAlignment="1">
      <alignment horizontal="center" vertical="center"/>
    </xf>
    <xf numFmtId="0" applyNumberFormat="1" fontId="21" applyFont="1" fillId="2" applyFill="1" borderId="79" applyBorder="1" xfId="19" applyProtection="1" applyAlignment="1">
      <alignment horizontal="center" vertical="center"/>
    </xf>
    <xf numFmtId="0" applyNumberFormat="1" fontId="14" applyFont="1" fillId="0" applyFill="1" borderId="15" applyBorder="1" xfId="19" applyProtection="1" applyAlignment="1">
      <alignment horizontal="center" vertical="center" wrapText="1"/>
    </xf>
    <xf numFmtId="0" applyNumberFormat="1" fontId="14" applyFont="1" fillId="0" applyFill="1" borderId="18" applyBorder="1" xfId="19" applyProtection="1" applyAlignment="1">
      <alignment horizontal="center" vertical="center" wrapText="1"/>
    </xf>
    <xf numFmtId="0" applyNumberFormat="1" fontId="14" applyFont="1" fillId="0" applyFill="1" borderId="24" applyBorder="1" xfId="19" applyProtection="1" applyAlignment="1">
      <alignment horizontal="center" vertical="center" wrapText="1"/>
    </xf>
    <xf numFmtId="0" applyNumberFormat="1" fontId="23" applyFont="1" fillId="0" applyFill="1" borderId="16" applyBorder="1" xfId="19" applyProtection="1" applyAlignment="1">
      <alignment horizontal="center" vertical="center"/>
    </xf>
    <xf numFmtId="0" applyNumberFormat="1" fontId="23" applyFont="1" fillId="0" applyFill="1" borderId="20" applyBorder="1" xfId="19" applyProtection="1" applyAlignment="1">
      <alignment horizontal="center" vertical="center"/>
    </xf>
    <xf numFmtId="0" applyNumberFormat="1" fontId="23" applyFont="1" fillId="0" applyFill="1" borderId="17" applyBorder="1" xfId="19" applyProtection="1" applyAlignment="1">
      <alignment horizontal="center" vertical="center"/>
    </xf>
    <xf numFmtId="49" applyNumberFormat="1" fontId="23" applyFont="1" fillId="0" applyFill="1" borderId="10" applyBorder="1" xfId="19" applyProtection="1" applyAlignment="1">
      <alignment horizontal="center" vertical="center"/>
    </xf>
    <xf numFmtId="49" applyNumberFormat="1" fontId="23" applyFont="1" fillId="0" applyFill="1" borderId="33" applyBorder="1" xfId="19" applyProtection="1" applyAlignment="1">
      <alignment horizontal="center" vertical="center"/>
    </xf>
    <xf numFmtId="49" applyNumberFormat="1" fontId="23" applyFont="1" fillId="0" applyFill="1" borderId="38" applyBorder="1" xfId="19" applyProtection="1" applyAlignment="1">
      <alignment horizontal="center" vertical="center"/>
    </xf>
    <xf numFmtId="0" applyNumberFormat="1" fontId="16" applyFont="1" fillId="0" applyFill="1" borderId="16" applyBorder="1" xfId="0" applyProtection="1" applyAlignment="1">
      <alignment horizontal="center" vertical="center" wrapText="1"/>
    </xf>
    <xf numFmtId="0" applyNumberFormat="1" fontId="16" applyFont="1" fillId="0" applyFill="1" borderId="20" applyBorder="1" xfId="0" applyProtection="1" applyAlignment="1">
      <alignment horizontal="center" vertical="center" wrapText="1"/>
    </xf>
    <xf numFmtId="0" applyNumberFormat="1" fontId="16" applyFont="1" fillId="0" applyFill="1" borderId="17" applyBorder="1" xfId="0" applyProtection="1" applyAlignment="1">
      <alignment horizontal="center" vertical="center" wrapText="1"/>
    </xf>
    <xf numFmtId="0" applyNumberFormat="1" fontId="16" applyFont="1" fillId="0" applyFill="1" borderId="13" applyBorder="1" xfId="0" applyProtection="1" applyAlignment="1">
      <alignment horizontal="center" vertical="center" wrapText="1"/>
    </xf>
    <xf numFmtId="0" applyNumberFormat="1" fontId="16" applyFont="1" fillId="0" applyFill="1" borderId="0" applyBorder="1" xfId="0" applyProtection="1" applyAlignment="1">
      <alignment horizontal="center" vertical="center" wrapText="1"/>
    </xf>
    <xf numFmtId="0" applyNumberFormat="1" fontId="16" applyFont="1" fillId="0" applyFill="1" borderId="19" applyBorder="1" xfId="0" applyProtection="1" applyAlignment="1">
      <alignment horizontal="center" vertical="center" wrapText="1"/>
    </xf>
    <xf numFmtId="0" applyNumberFormat="1" fontId="16" applyFont="1" fillId="0" applyFill="1" borderId="9" applyBorder="1" xfId="0" applyProtection="1" applyAlignment="1">
      <alignment horizontal="center" vertical="center" wrapText="1"/>
    </xf>
    <xf numFmtId="0" applyNumberFormat="1" fontId="16" applyFont="1" fillId="0" applyFill="1" borderId="6" applyBorder="1" xfId="0" applyProtection="1" applyAlignment="1">
      <alignment horizontal="center" vertical="center" wrapText="1"/>
    </xf>
    <xf numFmtId="0" applyNumberFormat="1" fontId="16" applyFont="1" fillId="0" applyFill="1" borderId="7" applyBorder="1" xfId="0" applyProtection="1" applyAlignment="1">
      <alignment horizontal="center" vertical="center" wrapText="1"/>
    </xf>
    <xf numFmtId="0" applyNumberFormat="1" fontId="18" applyFont="1" fillId="0" applyFill="1" borderId="18" applyBorder="1" xfId="0" applyProtection="1" applyAlignment="1">
      <alignment horizontal="center" vertical="center" wrapText="1"/>
    </xf>
    <xf numFmtId="0" applyNumberFormat="1" fontId="28" applyFont="1" fillId="0" applyFill="1" borderId="12" applyBorder="1" xfId="19" applyProtection="1" applyAlignment="1">
      <alignment horizontal="center" vertical="center"/>
    </xf>
    <xf numFmtId="0" applyNumberFormat="1" fontId="28" applyFont="1" fillId="0" applyFill="1" borderId="76" applyBorder="1" xfId="19" applyProtection="1" applyAlignment="1">
      <alignment horizontal="center" vertical="center"/>
    </xf>
    <xf numFmtId="0" applyNumberFormat="1" fontId="28" applyFont="1" fillId="0" applyFill="1" borderId="78" applyBorder="1" xfId="19" applyProtection="1" applyAlignment="1">
      <alignment horizontal="center" vertical="center"/>
    </xf>
    <xf numFmtId="0" applyNumberFormat="1" fontId="28" applyFont="1" fillId="0" applyFill="1" borderId="21" applyBorder="1" xfId="19" applyProtection="1" applyAlignment="1">
      <alignment horizontal="center" vertical="center"/>
    </xf>
    <xf numFmtId="0" applyNumberFormat="1" fontId="28" applyFont="1" fillId="0" applyFill="1" borderId="22" applyBorder="1" xfId="19" applyProtection="1" applyAlignment="1">
      <alignment horizontal="center" vertical="center"/>
    </xf>
    <xf numFmtId="0" applyNumberFormat="1" fontId="28" applyFont="1" fillId="0" applyFill="1" borderId="23" applyBorder="1" xfId="19" applyProtection="1" applyAlignment="1">
      <alignment horizontal="center" vertical="center"/>
    </xf>
    <xf numFmtId="0" applyNumberFormat="1" fontId="28" applyFont="1" fillId="0" applyFill="1" borderId="11" applyBorder="1" xfId="19" applyProtection="1" applyAlignment="1">
      <alignment horizontal="center" vertical="center"/>
    </xf>
    <xf numFmtId="0" applyNumberFormat="1" fontId="28" applyFont="1" fillId="0" applyFill="1" borderId="5" applyBorder="1" xfId="19" applyProtection="1" applyAlignment="1">
      <alignment horizontal="center" vertical="center"/>
    </xf>
    <xf numFmtId="0" applyNumberFormat="1" fontId="28" applyFont="1" fillId="0" applyFill="1" borderId="8" applyBorder="1" xfId="19" applyProtection="1" applyAlignment="1">
      <alignment horizontal="center" vertical="center"/>
    </xf>
    <xf numFmtId="0" applyNumberFormat="1" fontId="21" applyFont="1" fillId="2" applyFill="1" borderId="2" applyBorder="1" xfId="19" applyProtection="1" applyAlignment="1">
      <alignment horizontal="center" vertical="center"/>
    </xf>
    <xf numFmtId="0" applyNumberFormat="1" fontId="21" applyFont="1" fillId="2" applyFill="1" borderId="35" applyBorder="1" xfId="19" applyProtection="1" applyAlignment="1">
      <alignment horizontal="center" vertical="center"/>
    </xf>
    <xf numFmtId="0" applyNumberFormat="1" fontId="21" applyFont="1" fillId="2" applyFill="1" borderId="29" applyBorder="1" xfId="19" applyProtection="1" applyAlignment="1">
      <alignment horizontal="center" vertical="center"/>
    </xf>
    <xf numFmtId="0" applyNumberFormat="1" fontId="21" applyFont="1" fillId="2" applyFill="1" borderId="34" applyBorder="1" xfId="19" applyProtection="1" applyAlignment="1">
      <alignment horizontal="center" vertical="center"/>
    </xf>
    <xf numFmtId="0" applyNumberFormat="1" fontId="21" applyFont="1" fillId="2" applyFill="1" borderId="28" applyBorder="1" xfId="19" applyProtection="1" applyAlignment="1">
      <alignment horizontal="center" vertical="center"/>
    </xf>
    <xf numFmtId="0" applyNumberFormat="1" fontId="18" applyFont="1" fillId="0" applyFill="1" borderId="13" applyBorder="1" xfId="0" applyProtection="1" applyAlignment="1">
      <alignment horizontal="center" vertical="center" wrapText="1"/>
    </xf>
    <xf numFmtId="0" applyNumberFormat="1" fontId="20" applyFont="1" fillId="0" applyFill="1" borderId="9" applyBorder="1" xfId="0" applyProtection="1" applyAlignment="1">
      <alignment horizontal="center" vertical="center" wrapText="1"/>
    </xf>
    <xf numFmtId="0" applyNumberFormat="1" fontId="20" applyFont="1" fillId="0" applyFill="1" borderId="6" applyBorder="1" xfId="0" applyProtection="1" applyAlignment="1">
      <alignment horizontal="center" vertical="center" wrapText="1"/>
    </xf>
    <xf numFmtId="0" applyNumberFormat="1" fontId="20" applyFont="1" fillId="0" applyFill="1" borderId="7" applyBorder="1" xfId="0" applyProtection="1" applyAlignment="1">
      <alignment horizontal="center" vertical="center" wrapText="1"/>
    </xf>
    <xf numFmtId="0" applyNumberFormat="1" fontId="28" applyFont="1" fillId="0" applyFill="1" borderId="9" applyBorder="1" xfId="19" applyProtection="1" applyAlignment="1">
      <alignment horizontal="center" vertical="center"/>
    </xf>
    <xf numFmtId="0" applyNumberFormat="1" fontId="28" applyFont="1" fillId="0" applyFill="1" borderId="6" applyBorder="1" xfId="19" applyProtection="1" applyAlignment="1">
      <alignment horizontal="center" vertical="center"/>
    </xf>
    <xf numFmtId="0" applyNumberFormat="1" fontId="28" applyFont="1" fillId="0" applyFill="1" borderId="7" applyBorder="1" xfId="19" applyProtection="1" applyAlignment="1">
      <alignment horizontal="center" vertical="center"/>
    </xf>
    <xf numFmtId="0" applyNumberFormat="1" fontId="28" applyFont="1" fillId="0" applyFill="1" borderId="16" applyBorder="1" xfId="19" applyProtection="1" applyAlignment="1">
      <alignment horizontal="center" vertical="center"/>
    </xf>
    <xf numFmtId="0" applyNumberFormat="1" fontId="28" applyFont="1" fillId="0" applyFill="1" borderId="20" applyBorder="1" xfId="19" applyProtection="1" applyAlignment="1">
      <alignment horizontal="center" vertical="center"/>
    </xf>
    <xf numFmtId="0" applyNumberFormat="1" fontId="28" applyFont="1" fillId="0" applyFill="1" borderId="17" applyBorder="1" xfId="19" applyProtection="1" applyAlignment="1">
      <alignment horizontal="center" vertical="center"/>
    </xf>
    <xf numFmtId="0" applyNumberFormat="1" fontId="19" applyFont="1" fillId="0" applyFill="1" borderId="27" applyBorder="1" xfId="0" applyProtection="1" applyAlignment="1">
      <alignment horizontal="center" vertical="center" wrapText="1"/>
    </xf>
    <xf numFmtId="0" applyNumberFormat="1" fontId="28" applyFont="1" fillId="0" applyFill="1" borderId="80" applyBorder="1" xfId="19" applyProtection="1" applyAlignment="1">
      <alignment horizontal="center" vertical="center"/>
    </xf>
    <xf numFmtId="0" applyNumberFormat="1" fontId="28" applyFont="1" fillId="0" applyFill="1" borderId="26" applyBorder="1" xfId="19" applyProtection="1" applyAlignment="1">
      <alignment horizontal="center" vertical="center"/>
    </xf>
    <xf numFmtId="0" applyNumberFormat="1" fontId="28" applyFont="1" fillId="0" applyFill="1" borderId="27" applyBorder="1" xfId="19" applyProtection="1" applyAlignment="1">
      <alignment horizontal="center" vertical="center"/>
    </xf>
    <xf numFmtId="0" applyNumberFormat="1" fontId="28" applyFont="1" fillId="0" applyFill="1" borderId="13" applyBorder="1" xfId="19" applyProtection="1" applyAlignment="1">
      <alignment horizontal="center" vertical="center"/>
    </xf>
    <xf numFmtId="0" applyNumberFormat="1" fontId="28" applyFont="1" fillId="0" applyFill="1" borderId="0" applyBorder="1" xfId="19" applyProtection="1" applyAlignment="1">
      <alignment horizontal="center" vertical="center"/>
    </xf>
    <xf numFmtId="0" applyNumberFormat="1" fontId="28" applyFont="1" fillId="0" applyFill="1" borderId="19" applyBorder="1" xfId="19" applyProtection="1" applyAlignment="1">
      <alignment horizontal="center" vertical="center"/>
    </xf>
    <xf numFmtId="2" applyNumberFormat="1" fontId="23" applyFont="1" fillId="0" applyFill="1" borderId="33" applyBorder="1" xfId="19" applyProtection="1" applyAlignment="1">
      <alignment horizontal="center" vertical="center"/>
    </xf>
    <xf numFmtId="2" applyNumberFormat="1" fontId="23" applyFont="1" fillId="0" applyFill="1" borderId="38" applyBorder="1" xfId="19" applyProtection="1" applyAlignment="1">
      <alignment horizontal="center" vertical="center"/>
    </xf>
    <xf numFmtId="14" applyNumberFormat="1" fontId="13" applyFont="1" fillId="0" applyFill="1" borderId="1" applyBorder="1" xfId="0" applyProtection="1" applyAlignment="1">
      <alignment horizontal="center" vertical="center" wrapText="1"/>
    </xf>
    <xf numFmtId="0" applyNumberFormat="1" fontId="0" applyFont="1" fillId="0" applyFill="1" borderId="1" applyBorder="1" xfId="0" applyProtection="1" applyAlignment="1">
      <alignment horizontal="center" vertical="center" wrapText="1"/>
    </xf>
    <xf numFmtId="0" applyNumberFormat="1" fontId="10" applyFont="1" fillId="0" applyFill="1" borderId="1" applyBorder="1" xfId="0" applyProtection="1" applyAlignment="1">
      <alignment horizontal="center" vertical="center"/>
    </xf>
    <xf numFmtId="0" applyNumberFormat="1" fontId="25" applyFont="1" fillId="0" applyFill="1" borderId="41" applyBorder="1" xfId="0" applyProtection="1" applyAlignment="1">
      <alignment horizontal="center" vertical="center"/>
    </xf>
    <xf numFmtId="164" applyNumberFormat="1" fontId="25" applyFont="1" fillId="0" applyFill="1" borderId="41" applyBorder="1" xfId="0" applyProtection="1" applyAlignment="1">
      <alignment horizontal="center" vertical="center"/>
    </xf>
    <xf numFmtId="0" applyNumberFormat="1" fontId="16" applyFont="1" fillId="0" applyFill="1" borderId="16" applyBorder="1" xfId="0" applyProtection="1" applyAlignment="1">
      <alignment horizontal="center" vertical="center" wrapText="1"/>
    </xf>
  </cellXfs>
  <cellStyles count="28">
    <cellStyle name="0,0_x000d__x000a_NA_x000d__x000a_" xfId="1"/>
    <cellStyle name="Normal" xfId="0" builtinId="0"/>
    <cellStyle name="Normal 12" xfId="2"/>
    <cellStyle name="Normal 12 2" xfId="3"/>
    <cellStyle name="Normal 12 3" xfId="4"/>
    <cellStyle name="Normal 12 4" xfId="5"/>
    <cellStyle name="Normal 2" xfId="6"/>
    <cellStyle name="Normal 2 2" xfId="7"/>
    <cellStyle name="Normal 2 3" xfId="8"/>
    <cellStyle name="Normal 3" xfId="9"/>
    <cellStyle name="Normal 3 2" xfId="10"/>
    <cellStyle name="Normal 3 3" xfId="11"/>
    <cellStyle name="Normal 3 3 2" xfId="12"/>
    <cellStyle name="Normal 4" xfId="13"/>
    <cellStyle name="Normal 4 2" xfId="14"/>
    <cellStyle name="Normal 4 2 2" xfId="15"/>
    <cellStyle name="Normal 4 3" xfId="16"/>
    <cellStyle name="Normal 4 4" xfId="17"/>
    <cellStyle name="Normal 4 5" xfId="18"/>
    <cellStyle name="Normal 5" xfId="19"/>
    <cellStyle name="Normal 6" xfId="20"/>
    <cellStyle name="Normal 6 2" xfId="21"/>
    <cellStyle name="Normal 6 2 2" xfId="22"/>
    <cellStyle name="Normal 6 3" xfId="23"/>
    <cellStyle name="Normal 7" xfId="24"/>
    <cellStyle name="Normal 8" xfId="25"/>
    <cellStyle name="常规 2" xfId="26"/>
    <cellStyle name="常规 6" xfId="27"/>
  </cellStyles>
  <dxfs count="439">
    <dxf>
      <fill>
        <patternFill>
          <bgColor rgb="FFFFFF00"/>
        </patternFill>
      </fill>
    </dxf>
    <dxf>
      <font>
        <color theme="0"/>
      </font>
      <fill>
        <patternFill>
          <fgColor theme="0"/>
        </patternFill>
      </fill>
    </dxf>
    <dxf>
      <font>
        <color theme="0"/>
      </font>
      <fill>
        <patternFill>
          <fgColor theme="0"/>
        </patternFill>
      </fill>
    </dxf>
    <dxf>
      <font>
        <color rgb="FFFF0000"/>
      </font>
      <fill>
        <patternFill>
          <fgColor auto="1"/>
          <bgColor rgb="FFFFFF00"/>
        </patternFill>
      </fill>
    </dxf>
    <dxf>
      <font>
        <color theme="0"/>
      </font>
      <fill>
        <patternFill>
          <fgColor theme="0"/>
        </patternFill>
      </fill>
    </dxf>
    <dxf>
      <font>
        <color theme="0"/>
      </font>
      <fill>
        <patternFill>
          <fgColor theme="0"/>
        </patternFill>
      </fill>
    </dxf>
    <dxf>
      <font>
        <color theme="0"/>
      </font>
      <fill>
        <patternFill>
          <fgColor theme="0"/>
        </patternFill>
      </fill>
    </dxf>
    <dxf>
      <font>
        <color theme="0"/>
      </font>
      <fill>
        <patternFill>
          <fgColor theme="0"/>
        </patternFill>
      </fill>
    </dxf>
    <dxf>
      <font>
        <color theme="0"/>
      </font>
      <fill>
        <patternFill>
          <fgColor theme="0"/>
        </patternFill>
      </fill>
    </dxf>
    <dxf>
      <fill>
        <patternFill>
          <bgColor rgb="FFFFFF00"/>
        </patternFill>
      </fill>
    </dxf>
    <dxf>
      <fill>
        <patternFill>
          <bgColor theme="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ont>
        <color rgb="FFFF0000"/>
      </font>
      <fill>
        <patternFill>
          <fgColor auto="1"/>
          <bgColor rgb="FFFFFF00"/>
        </patternFill>
      </fill>
    </dxf>
    <dxf>
      <font>
        <color theme="0"/>
      </font>
      <fill>
        <patternFill>
          <fgColor theme="0"/>
        </patternFill>
      </fill>
    </dxf>
    <dxf>
      <font>
        <color theme="0"/>
      </font>
      <fill>
        <patternFill>
          <fgColor theme="0"/>
        </patternFill>
      </fill>
    </dxf>
    <dxf>
      <fill>
        <patternFill>
          <bgColor rgb="FFFFFF00"/>
        </patternFill>
      </fill>
    </dxf>
    <dxf>
      <font>
        <color theme="0"/>
      </font>
      <fill>
        <patternFill>
          <fgColor theme="0"/>
        </patternFill>
      </fill>
    </dxf>
    <dxf>
      <fill>
        <patternFill>
          <bgColor theme="0"/>
        </patternFill>
      </fill>
    </dxf>
    <dxf>
      <fill>
        <patternFill>
          <bgColor rgb="FFFFFF00"/>
        </patternFill>
      </fill>
    </dxf>
    <dxf>
      <fill>
        <patternFill>
          <bgColor theme="0"/>
        </patternFill>
      </fill>
    </dxf>
    <dxf>
      <fill>
        <patternFill>
          <bgColor rgb="FFFFFF00"/>
        </patternFill>
      </fill>
    </dxf>
    <dxf>
      <fill>
        <patternFill>
          <bgColor theme="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rgb="FFFFFF00"/>
        </patternFill>
      </fill>
    </dxf>
    <dxf>
      <fill>
        <patternFill>
          <bgColor theme="0"/>
        </patternFill>
      </fill>
    </dxf>
    <dxf>
      <fill>
        <patternFill>
          <bgColor rgb="FFFFFF00"/>
        </patternFill>
      </fill>
    </dxf>
    <dxf>
      <fill>
        <patternFill>
          <bgColor theme="0"/>
        </patternFill>
      </fill>
    </dxf>
    <dxf>
      <fill>
        <patternFill>
          <bgColor rgb="FFFFFF00"/>
        </patternFill>
      </fill>
    </dxf>
    <dxf>
      <fill>
        <patternFill>
          <bgColor theme="0"/>
        </patternFill>
      </fill>
    </dxf>
    <dxf>
      <fill>
        <patternFill>
          <bgColor rgb="FFFFFF00"/>
        </patternFill>
      </fill>
    </dxf>
    <dxf>
      <fill>
        <patternFill>
          <bgColor theme="0"/>
        </patternFill>
      </fill>
    </dxf>
    <dxf>
      <fill>
        <patternFill>
          <bgColor rgb="FFFFFF00"/>
        </patternFill>
      </fill>
    </dxf>
    <dxf>
      <fill>
        <patternFill>
          <bgColor theme="0"/>
        </patternFill>
      </fill>
    </dxf>
    <dxf>
      <fill>
        <patternFill>
          <bgColor rgb="FFFFFF00"/>
        </patternFill>
      </fill>
    </dxf>
    <dxf>
      <font>
        <color rgb="FFFF0000"/>
      </font>
      <fill>
        <patternFill>
          <fgColor auto="1"/>
          <bgColor rgb="FFFFFF00"/>
        </patternFill>
      </fill>
    </dxf>
    <dxf>
      <font>
        <color theme="0"/>
      </font>
      <fill>
        <patternFill>
          <fgColor theme="0"/>
        </patternFill>
      </fill>
    </dxf>
    <dxf>
      <font>
        <color theme="0"/>
      </font>
      <fill>
        <patternFill>
          <fgColor theme="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ont>
        <color rgb="FFFF0000"/>
      </font>
      <fill>
        <patternFill>
          <fgColor auto="1"/>
          <bgColor rgb="FFFFFF00"/>
        </patternFill>
      </fill>
    </dxf>
    <dxf>
      <font>
        <color theme="0"/>
      </font>
      <fill>
        <patternFill>
          <fgColor theme="0"/>
        </patternFill>
      </fill>
    </dxf>
    <dxf>
      <font>
        <color theme="0"/>
      </font>
      <fill>
        <patternFill>
          <fgColor theme="0"/>
        </patternFill>
      </fill>
    </dxf>
    <dxf>
      <font>
        <color theme="0"/>
      </font>
      <fill>
        <patternFill>
          <fgColor theme="0"/>
        </patternFill>
      </fill>
    </dxf>
    <dxf>
      <font>
        <color theme="0"/>
      </font>
      <fill>
        <patternFill>
          <fgColor theme="0"/>
        </patternFill>
      </fill>
    </dxf>
    <dxf>
      <font>
        <color theme="0"/>
      </font>
      <fill>
        <patternFill>
          <fgColor theme="0"/>
        </patternFill>
      </fill>
    </dxf>
    <dxf>
      <font>
        <color theme="0"/>
      </font>
      <fill>
        <patternFill>
          <fgColor theme="0"/>
        </patternFill>
      </fill>
    </dxf>
    <dxf>
      <font>
        <color theme="0"/>
      </font>
      <fill>
        <patternFill>
          <fgColor theme="0"/>
        </patternFill>
      </fill>
    </dxf>
    <dxf>
      <fill>
        <patternFill>
          <bgColor rgb="FFFFFF00"/>
        </patternFill>
      </fill>
    </dxf>
    <dxf>
      <fill>
        <patternFill>
          <bgColor theme="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ont>
        <color rgb="FFFF0000"/>
      </font>
      <fill>
        <patternFill>
          <fgColor auto="1"/>
          <bgColor rgb="FFFFFF00"/>
        </patternFill>
      </fill>
    </dxf>
    <dxf>
      <font>
        <color theme="0"/>
      </font>
      <fill>
        <patternFill>
          <fgColor theme="0"/>
        </patternFill>
      </fill>
    </dxf>
    <dxf>
      <font>
        <color theme="0"/>
      </font>
      <fill>
        <patternFill>
          <fgColor theme="0"/>
        </patternFill>
      </fill>
    </dxf>
    <dxf>
      <fill>
        <patternFill>
          <bgColor rgb="FFFFFF00"/>
        </patternFill>
      </fill>
    </dxf>
    <dxf>
      <font>
        <color theme="0"/>
      </font>
      <fill>
        <patternFill>
          <fgColor theme="0"/>
        </patternFill>
      </fill>
    </dxf>
    <dxf>
      <fill>
        <patternFill>
          <bgColor theme="0"/>
        </patternFill>
      </fill>
    </dxf>
    <dxf>
      <fill>
        <patternFill>
          <bgColor rgb="FFFFFF00"/>
        </patternFill>
      </fill>
    </dxf>
    <dxf>
      <fill>
        <patternFill>
          <bgColor theme="0"/>
        </patternFill>
      </fill>
    </dxf>
    <dxf>
      <fill>
        <patternFill>
          <bgColor rgb="FFFFFF00"/>
        </patternFill>
      </fill>
    </dxf>
    <dxf>
      <fill>
        <patternFill>
          <bgColor theme="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rgb="FFFFFF00"/>
        </patternFill>
      </fill>
    </dxf>
    <dxf>
      <fill>
        <patternFill>
          <bgColor theme="0"/>
        </patternFill>
      </fill>
    </dxf>
    <dxf>
      <fill>
        <patternFill>
          <bgColor rgb="FFFFFF00"/>
        </patternFill>
      </fill>
    </dxf>
    <dxf>
      <fill>
        <patternFill>
          <bgColor theme="0"/>
        </patternFill>
      </fill>
    </dxf>
    <dxf>
      <fill>
        <patternFill>
          <bgColor rgb="FFFFFF00"/>
        </patternFill>
      </fill>
    </dxf>
    <dxf>
      <fill>
        <patternFill>
          <bgColor theme="0"/>
        </patternFill>
      </fill>
    </dxf>
    <dxf>
      <fill>
        <patternFill>
          <bgColor rgb="FFFFFF00"/>
        </patternFill>
      </fill>
    </dxf>
    <dxf>
      <fill>
        <patternFill>
          <bgColor theme="0"/>
        </patternFill>
      </fill>
    </dxf>
    <dxf>
      <fill>
        <patternFill>
          <bgColor rgb="FFFFFF00"/>
        </patternFill>
      </fill>
    </dxf>
    <dxf>
      <fill>
        <patternFill>
          <bgColor theme="0"/>
        </patternFill>
      </fill>
    </dxf>
    <dxf>
      <fill>
        <patternFill>
          <bgColor rgb="FFFFFF00"/>
        </patternFill>
      </fill>
    </dxf>
    <dxf>
      <font>
        <color rgb="FFFF0000"/>
      </font>
      <fill>
        <patternFill>
          <fgColor auto="1"/>
          <bgColor rgb="FFFFFF00"/>
        </patternFill>
      </fill>
    </dxf>
    <dxf>
      <font>
        <color theme="0"/>
      </font>
      <fill>
        <patternFill>
          <fgColor theme="0"/>
        </patternFill>
      </fill>
    </dxf>
    <dxf>
      <font>
        <color theme="0"/>
      </font>
      <fill>
        <patternFill>
          <fgColor theme="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ont>
        <color theme="0"/>
      </font>
      <fill>
        <patternFill>
          <fgColor theme="0"/>
        </patternFill>
      </fill>
    </dxf>
    <dxf>
      <font>
        <color theme="0"/>
      </font>
      <fill>
        <patternFill>
          <fgColor theme="0"/>
        </patternFill>
      </fill>
    </dxf>
    <dxf>
      <font>
        <color theme="0"/>
      </font>
      <fill>
        <patternFill>
          <fgColor theme="0"/>
        </patternFill>
      </fill>
    </dxf>
    <dxf>
      <fill>
        <patternFill>
          <bgColor rgb="FFFFFF00"/>
        </patternFill>
      </fill>
    </dxf>
    <dxf>
      <fill>
        <patternFill>
          <bgColor theme="0"/>
        </patternFill>
      </fill>
    </dxf>
    <dxf>
      <fill>
        <patternFill>
          <bgColor rgb="FFFFFF00"/>
        </patternFill>
      </fill>
    </dxf>
    <dxf>
      <font>
        <color rgb="FFFF0000"/>
      </font>
      <fill>
        <patternFill>
          <fgColor auto="1"/>
          <bgColor rgb="FFFFFF00"/>
        </patternFill>
      </fill>
    </dxf>
    <dxf>
      <font>
        <color theme="0"/>
      </font>
      <fill>
        <patternFill>
          <fgColor theme="0"/>
        </patternFill>
      </fill>
    </dxf>
    <dxf>
      <font>
        <color theme="0"/>
      </font>
      <fill>
        <patternFill>
          <fgColor theme="0"/>
        </patternFill>
      </fill>
    </dxf>
    <dxf>
      <fill>
        <patternFill>
          <bgColor rgb="FFFFFF00"/>
        </patternFill>
      </fill>
    </dxf>
    <dxf>
      <font>
        <color theme="0"/>
      </font>
      <fill>
        <patternFill patternType="solid">
          <fgColor theme="0"/>
        </patternFill>
      </fill>
    </dxf>
    <dxf>
      <font>
        <color theme="0"/>
      </font>
      <fill>
        <patternFill>
          <fgColor theme="0"/>
        </patternFill>
      </fill>
    </dxf>
    <dxf>
      <font>
        <color theme="0"/>
      </font>
      <fill>
        <patternFill patternType="solid">
          <fgColor theme="0"/>
        </patternFill>
      </fill>
    </dxf>
    <dxf>
      <font>
        <color theme="0"/>
      </font>
      <fill>
        <patternFill>
          <fgColor theme="0"/>
        </patternFill>
      </fill>
    </dxf>
    <dxf>
      <font>
        <color rgb="FFFF0000"/>
      </font>
      <fill>
        <patternFill>
          <fgColor auto="1"/>
          <bgColor rgb="FFFFFF00"/>
        </patternFill>
      </fill>
    </dxf>
    <dxf>
      <font>
        <color theme="0"/>
      </font>
      <fill>
        <patternFill>
          <fgColor theme="0"/>
        </patternFill>
      </fill>
    </dxf>
    <dxf>
      <font>
        <color theme="0"/>
      </font>
      <fill>
        <patternFill>
          <fgColor theme="0"/>
        </patternFill>
      </fill>
    </dxf>
    <dxf>
      <fill>
        <patternFill>
          <bgColor rgb="FFFFFF00"/>
        </patternFill>
      </fill>
    </dxf>
    <dxf>
      <font>
        <color theme="0"/>
      </font>
      <fill>
        <patternFill>
          <fgColor theme="0"/>
        </patternFill>
      </fill>
    </dxf>
    <dxf>
      <fill>
        <patternFill>
          <bgColor theme="0"/>
        </patternFill>
      </fill>
    </dxf>
    <dxf>
      <fill>
        <patternFill>
          <bgColor rgb="FFFFFF00"/>
        </patternFill>
      </fill>
    </dxf>
    <dxf>
      <fill>
        <patternFill>
          <bgColor theme="0"/>
        </patternFill>
      </fill>
    </dxf>
    <dxf>
      <fill>
        <patternFill>
          <bgColor rgb="FFFFFF00"/>
        </patternFill>
      </fill>
    </dxf>
    <dxf>
      <fill>
        <patternFill>
          <bgColor theme="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rgb="FFFFFF00"/>
        </patternFill>
      </fill>
    </dxf>
    <dxf>
      <fill>
        <patternFill>
          <bgColor theme="0"/>
        </patternFill>
      </fill>
    </dxf>
    <dxf>
      <fill>
        <patternFill>
          <bgColor rgb="FFFFFF00"/>
        </patternFill>
      </fill>
    </dxf>
    <dxf>
      <fill>
        <patternFill>
          <bgColor theme="0"/>
        </patternFill>
      </fill>
    </dxf>
    <dxf>
      <fill>
        <patternFill>
          <bgColor rgb="FFFFFF00"/>
        </patternFill>
      </fill>
    </dxf>
    <dxf>
      <fill>
        <patternFill>
          <bgColor theme="0"/>
        </patternFill>
      </fill>
    </dxf>
    <dxf>
      <fill>
        <patternFill>
          <bgColor rgb="FFFFFF00"/>
        </patternFill>
      </fill>
    </dxf>
    <dxf>
      <fill>
        <patternFill>
          <bgColor theme="0"/>
        </patternFill>
      </fill>
    </dxf>
    <dxf>
      <fill>
        <patternFill>
          <bgColor rgb="FFFFFF00"/>
        </patternFill>
      </fill>
    </dxf>
    <dxf>
      <fill>
        <patternFill>
          <bgColor theme="0"/>
        </patternFill>
      </fill>
    </dxf>
    <dxf>
      <fill>
        <patternFill>
          <bgColor rgb="FFFFFF00"/>
        </patternFill>
      </fill>
    </dxf>
    <dxf>
      <font>
        <color rgb="FFFF0000"/>
      </font>
      <fill>
        <patternFill>
          <fgColor auto="1"/>
          <bgColor rgb="FFFFFF00"/>
        </patternFill>
      </fill>
    </dxf>
    <dxf>
      <font>
        <color theme="0"/>
      </font>
      <fill>
        <patternFill>
          <fgColor theme="0"/>
        </patternFill>
      </fill>
    </dxf>
    <dxf>
      <font>
        <color theme="0"/>
      </font>
      <fill>
        <patternFill>
          <fgColor theme="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ont>
        <color theme="0"/>
      </font>
      <fill>
        <patternFill>
          <fgColor theme="0"/>
        </patternFill>
      </fill>
    </dxf>
    <dxf>
      <font>
        <color theme="0"/>
      </font>
      <fill>
        <patternFill>
          <fgColor theme="0"/>
        </patternFill>
      </fill>
    </dxf>
    <dxf>
      <font>
        <color theme="0"/>
      </font>
      <fill>
        <patternFill>
          <fgColor theme="0"/>
        </patternFill>
      </fill>
    </dxf>
    <dxf>
      <fill>
        <patternFill>
          <bgColor rgb="FFFFFF00"/>
        </patternFill>
      </fill>
    </dxf>
    <dxf>
      <fill>
        <patternFill>
          <bgColor theme="0"/>
        </patternFill>
      </fill>
    </dxf>
    <dxf>
      <fill>
        <patternFill>
          <bgColor rgb="FFFFFF00"/>
        </patternFill>
      </fill>
    </dxf>
    <dxf>
      <font>
        <color rgb="FFFF0000"/>
      </font>
      <fill>
        <patternFill>
          <fgColor auto="1"/>
          <bgColor rgb="FFFFFF00"/>
        </patternFill>
      </fill>
    </dxf>
    <dxf>
      <font>
        <color theme="0"/>
      </font>
      <fill>
        <patternFill>
          <fgColor theme="0"/>
        </patternFill>
      </fill>
    </dxf>
    <dxf>
      <font>
        <color theme="0"/>
      </font>
      <fill>
        <patternFill>
          <fgColor theme="0"/>
        </patternFill>
      </fill>
    </dxf>
    <dxf>
      <fill>
        <patternFill>
          <bgColor rgb="FFFFFF00"/>
        </patternFill>
      </fill>
    </dxf>
    <dxf>
      <font>
        <color theme="0"/>
      </font>
      <fill>
        <patternFill patternType="solid"/>
      </fill>
    </dxf>
    <dxf>
      <font>
        <color theme="0"/>
      </font>
      <fill>
        <patternFill patternType="solid"/>
      </fill>
    </dxf>
    <dxf>
      <font>
        <color theme="0"/>
      </font>
      <fill>
        <patternFill patternType="solid"/>
      </fill>
    </dxf>
    <dxf>
      <font>
        <color theme="0"/>
      </font>
      <fill>
        <patternFill patternType="solid"/>
      </fill>
    </dxf>
    <dxf>
      <font>
        <color rgb="FFFF0000"/>
      </font>
      <fill>
        <patternFill>
          <fgColor auto="1"/>
          <bgColor rgb="FFFFFF00"/>
        </patternFill>
      </fill>
    </dxf>
    <dxf>
      <font>
        <color theme="0"/>
      </font>
      <fill>
        <patternFill>
          <fgColor theme="0"/>
        </patternFill>
      </fill>
    </dxf>
    <dxf>
      <font>
        <color theme="0"/>
      </font>
      <fill>
        <patternFill>
          <fgColor theme="0"/>
        </patternFill>
      </fill>
    </dxf>
    <dxf>
      <fill>
        <patternFill>
          <bgColor rgb="FFFFFF00"/>
        </patternFill>
      </fill>
    </dxf>
    <dxf>
      <font>
        <color theme="0"/>
      </font>
      <fill>
        <patternFill>
          <fgColor theme="0"/>
        </patternFill>
      </fill>
    </dxf>
    <dxf>
      <fill>
        <patternFill>
          <bgColor theme="0"/>
        </patternFill>
      </fill>
    </dxf>
    <dxf>
      <fill>
        <patternFill>
          <bgColor rgb="FFFFFF00"/>
        </patternFill>
      </fill>
    </dxf>
    <dxf>
      <fill>
        <patternFill>
          <bgColor theme="0"/>
        </patternFill>
      </fill>
    </dxf>
    <dxf>
      <fill>
        <patternFill>
          <bgColor rgb="FFFFFF00"/>
        </patternFill>
      </fill>
    </dxf>
    <dxf>
      <fill>
        <patternFill>
          <bgColor theme="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rgb="FFFFFF00"/>
        </patternFill>
      </fill>
    </dxf>
    <dxf>
      <fill>
        <patternFill>
          <bgColor theme="0"/>
        </patternFill>
      </fill>
    </dxf>
    <dxf>
      <fill>
        <patternFill>
          <bgColor rgb="FFFFFF00"/>
        </patternFill>
      </fill>
    </dxf>
    <dxf>
      <fill>
        <patternFill>
          <bgColor theme="0"/>
        </patternFill>
      </fill>
    </dxf>
    <dxf>
      <fill>
        <patternFill>
          <bgColor rgb="FFFFFF00"/>
        </patternFill>
      </fill>
    </dxf>
    <dxf>
      <fill>
        <patternFill>
          <bgColor theme="0"/>
        </patternFill>
      </fill>
    </dxf>
    <dxf>
      <fill>
        <patternFill>
          <bgColor rgb="FFFFFF00"/>
        </patternFill>
      </fill>
    </dxf>
    <dxf>
      <fill>
        <patternFill>
          <bgColor theme="0"/>
        </patternFill>
      </fill>
    </dxf>
    <dxf>
      <fill>
        <patternFill>
          <bgColor rgb="FFFFFF00"/>
        </patternFill>
      </fill>
    </dxf>
    <dxf>
      <fill>
        <patternFill>
          <bgColor theme="0"/>
        </patternFill>
      </fill>
    </dxf>
    <dxf>
      <fill>
        <patternFill>
          <bgColor rgb="FFFFFF00"/>
        </patternFill>
      </fill>
    </dxf>
    <dxf>
      <font>
        <color rgb="FFFF0000"/>
      </font>
      <fill>
        <patternFill>
          <fgColor auto="1"/>
          <bgColor rgb="FFFFFF00"/>
        </patternFill>
      </fill>
    </dxf>
    <dxf>
      <font>
        <color theme="0"/>
      </font>
      <fill>
        <patternFill>
          <fgColor theme="0"/>
        </patternFill>
      </fill>
    </dxf>
    <dxf>
      <font>
        <color theme="0"/>
      </font>
      <fill>
        <patternFill>
          <fgColor theme="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ont>
        <color theme="0"/>
      </font>
      <fill>
        <patternFill>
          <fgColor theme="0"/>
        </patternFill>
      </fill>
    </dxf>
    <dxf>
      <font>
        <color theme="0"/>
      </font>
      <fill>
        <patternFill>
          <fgColor theme="0"/>
        </patternFill>
      </fill>
    </dxf>
    <dxf>
      <font>
        <color theme="0"/>
      </font>
      <fill>
        <patternFill>
          <fgColor theme="0"/>
        </patternFill>
      </fill>
    </dxf>
    <dxf>
      <fill>
        <patternFill>
          <bgColor rgb="FFFFFF00"/>
        </patternFill>
      </fill>
    </dxf>
    <dxf>
      <fill>
        <patternFill>
          <bgColor theme="0"/>
        </patternFill>
      </fill>
    </dxf>
    <dxf>
      <fill>
        <patternFill>
          <bgColor rgb="FFFFFF00"/>
        </patternFill>
      </fill>
    </dxf>
    <dxf>
      <font>
        <color rgb="FFFF0000"/>
      </font>
      <fill>
        <patternFill>
          <fgColor auto="1"/>
          <bgColor rgb="FFFFFF00"/>
        </patternFill>
      </fill>
    </dxf>
    <dxf>
      <font>
        <color theme="0"/>
      </font>
      <fill>
        <patternFill>
          <fgColor theme="0"/>
        </patternFill>
      </fill>
    </dxf>
    <dxf>
      <font>
        <color theme="0"/>
      </font>
      <fill>
        <patternFill>
          <fgColor theme="0"/>
        </patternFill>
      </fill>
    </dxf>
    <dxf>
      <fill>
        <patternFill>
          <bgColor rgb="FFFFFF00"/>
        </patternFill>
      </fill>
    </dxf>
    <dxf>
      <font>
        <color theme="0"/>
      </font>
      <fill>
        <patternFill>
          <fgColor theme="0"/>
        </patternFill>
      </fill>
    </dxf>
    <dxf>
      <font>
        <color theme="0"/>
      </font>
      <fill>
        <patternFill>
          <fgColor theme="0"/>
        </patternFill>
      </fill>
    </dxf>
    <dxf>
      <font>
        <color theme="0"/>
      </font>
      <fill>
        <patternFill>
          <fgColor theme="0"/>
        </patternFill>
      </fill>
    </dxf>
    <dxf>
      <font>
        <color theme="0"/>
      </font>
      <fill>
        <patternFill>
          <fgColor theme="0"/>
        </patternFill>
      </fill>
    </dxf>
    <dxf>
      <font>
        <color rgb="FFFF0000"/>
      </font>
      <fill>
        <patternFill>
          <fgColor auto="1"/>
          <bgColor rgb="FFFFFF00"/>
        </patternFill>
      </fill>
    </dxf>
    <dxf>
      <font>
        <color theme="0"/>
      </font>
      <fill>
        <patternFill>
          <fgColor theme="0"/>
        </patternFill>
      </fill>
    </dxf>
    <dxf>
      <font>
        <color theme="0"/>
      </font>
      <fill>
        <patternFill>
          <fgColor theme="0"/>
        </patternFill>
      </fill>
    </dxf>
    <dxf>
      <fill>
        <patternFill>
          <bgColor rgb="FFFFFF00"/>
        </patternFill>
      </fill>
    </dxf>
    <dxf>
      <font>
        <color theme="0"/>
      </font>
      <fill>
        <patternFill>
          <fgColor theme="0"/>
        </patternFill>
      </fill>
    </dxf>
    <dxf>
      <fill>
        <patternFill>
          <bgColor theme="0"/>
        </patternFill>
      </fill>
    </dxf>
    <dxf>
      <fill>
        <patternFill>
          <bgColor rgb="FFFFFF00"/>
        </patternFill>
      </fill>
    </dxf>
    <dxf>
      <fill>
        <patternFill>
          <bgColor theme="0"/>
        </patternFill>
      </fill>
    </dxf>
    <dxf>
      <fill>
        <patternFill>
          <bgColor rgb="FFFFFF00"/>
        </patternFill>
      </fill>
    </dxf>
    <dxf>
      <fill>
        <patternFill>
          <bgColor theme="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rgb="FFFFFF00"/>
        </patternFill>
      </fill>
    </dxf>
    <dxf>
      <fill>
        <patternFill>
          <bgColor theme="0"/>
        </patternFill>
      </fill>
    </dxf>
    <dxf>
      <fill>
        <patternFill>
          <bgColor rgb="FFFFFF00"/>
        </patternFill>
      </fill>
    </dxf>
    <dxf>
      <fill>
        <patternFill>
          <bgColor theme="0"/>
        </patternFill>
      </fill>
    </dxf>
    <dxf>
      <fill>
        <patternFill>
          <bgColor rgb="FFFFFF00"/>
        </patternFill>
      </fill>
    </dxf>
    <dxf>
      <fill>
        <patternFill>
          <bgColor theme="0"/>
        </patternFill>
      </fill>
    </dxf>
    <dxf>
      <fill>
        <patternFill>
          <bgColor rgb="FFFFFF00"/>
        </patternFill>
      </fill>
    </dxf>
    <dxf>
      <fill>
        <patternFill>
          <bgColor theme="0"/>
        </patternFill>
      </fill>
    </dxf>
    <dxf>
      <fill>
        <patternFill>
          <bgColor rgb="FFFFFF00"/>
        </patternFill>
      </fill>
    </dxf>
    <dxf>
      <fill>
        <patternFill>
          <bgColor theme="0"/>
        </patternFill>
      </fill>
    </dxf>
    <dxf>
      <fill>
        <patternFill>
          <bgColor rgb="FFFFFF00"/>
        </patternFill>
      </fill>
    </dxf>
    <dxf>
      <font>
        <color rgb="FFFF0000"/>
      </font>
      <fill>
        <patternFill>
          <fgColor auto="1"/>
          <bgColor rgb="FFFFFF00"/>
        </patternFill>
      </fill>
    </dxf>
    <dxf>
      <font>
        <color theme="0"/>
      </font>
      <fill>
        <patternFill>
          <fgColor theme="0"/>
        </patternFill>
      </fill>
    </dxf>
    <dxf>
      <font>
        <color theme="0"/>
      </font>
      <fill>
        <patternFill>
          <fgColor theme="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ont>
        <color theme="0"/>
      </font>
      <fill>
        <patternFill>
          <fgColor theme="0"/>
        </patternFill>
      </fill>
    </dxf>
    <dxf>
      <font>
        <color theme="0"/>
      </font>
      <fill>
        <patternFill>
          <fgColor theme="0"/>
        </patternFill>
      </fill>
    </dxf>
    <dxf>
      <font>
        <color theme="0"/>
      </font>
      <fill>
        <patternFill>
          <fgColor theme="0"/>
        </patternFill>
      </fill>
    </dxf>
    <dxf>
      <font>
        <color theme="0"/>
      </font>
      <fill>
        <patternFill>
          <fgColor theme="0"/>
        </patternFill>
      </fill>
    </dxf>
    <dxf>
      <font>
        <color theme="0"/>
      </font>
      <fill>
        <patternFill>
          <fgColor theme="0"/>
        </patternFill>
      </fill>
    </dxf>
    <dxf>
      <fill>
        <patternFill>
          <bgColor rgb="FFFFFF00"/>
        </patternFill>
      </fill>
    </dxf>
    <dxf>
      <fill>
        <patternFill>
          <bgColor theme="0"/>
        </patternFill>
      </fill>
    </dxf>
    <dxf>
      <fill>
        <patternFill>
          <bgColor rgb="FFFFFF00"/>
        </patternFill>
      </fill>
    </dxf>
    <dxf>
      <font>
        <color rgb="FFFF0000"/>
      </font>
      <fill>
        <patternFill>
          <fgColor auto="1"/>
          <bgColor rgb="FFFFFF00"/>
        </patternFill>
      </fill>
    </dxf>
    <dxf>
      <font>
        <color theme="0"/>
      </font>
      <fill>
        <patternFill>
          <fgColor theme="0"/>
        </patternFill>
      </fill>
    </dxf>
    <dxf>
      <font>
        <color theme="0"/>
      </font>
      <fill>
        <patternFill>
          <fgColor theme="0"/>
        </patternFill>
      </fill>
    </dxf>
    <dxf>
      <fill>
        <patternFill>
          <bgColor rgb="FFFFFF00"/>
        </patternFill>
      </fill>
    </dxf>
    <dxf>
      <font>
        <color rgb="FFFF0000"/>
      </font>
      <fill>
        <patternFill>
          <fgColor auto="1"/>
          <bgColor rgb="FFFFFF00"/>
        </patternFill>
      </fill>
    </dxf>
    <dxf>
      <font>
        <color theme="0"/>
      </font>
      <fill>
        <patternFill>
          <fgColor theme="0"/>
        </patternFill>
      </fill>
    </dxf>
    <dxf>
      <font>
        <color theme="0"/>
      </font>
      <fill>
        <patternFill>
          <fgColor theme="0"/>
        </patternFill>
      </fill>
    </dxf>
    <dxf>
      <fill>
        <patternFill>
          <bgColor rgb="FFFFFF00"/>
        </patternFill>
      </fill>
    </dxf>
    <dxf>
      <font>
        <color theme="0"/>
      </font>
      <fill>
        <patternFill>
          <fgColor theme="0"/>
        </patternFill>
      </fill>
    </dxf>
    <dxf>
      <fill>
        <patternFill>
          <bgColor theme="0"/>
        </patternFill>
      </fill>
    </dxf>
    <dxf>
      <fill>
        <patternFill>
          <bgColor rgb="FFFFFF00"/>
        </patternFill>
      </fill>
    </dxf>
    <dxf>
      <fill>
        <patternFill>
          <bgColor theme="0"/>
        </patternFill>
      </fill>
    </dxf>
    <dxf>
      <fill>
        <patternFill>
          <bgColor rgb="FFFFFF00"/>
        </patternFill>
      </fill>
    </dxf>
    <dxf>
      <fill>
        <patternFill>
          <bgColor theme="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rgb="FFFFFF00"/>
        </patternFill>
      </fill>
    </dxf>
    <dxf>
      <fill>
        <patternFill>
          <bgColor theme="0"/>
        </patternFill>
      </fill>
    </dxf>
    <dxf>
      <fill>
        <patternFill>
          <bgColor rgb="FFFFFF00"/>
        </patternFill>
      </fill>
    </dxf>
    <dxf>
      <fill>
        <patternFill>
          <bgColor theme="0"/>
        </patternFill>
      </fill>
    </dxf>
    <dxf>
      <fill>
        <patternFill>
          <bgColor rgb="FFFFFF00"/>
        </patternFill>
      </fill>
    </dxf>
    <dxf>
      <fill>
        <patternFill>
          <bgColor theme="0"/>
        </patternFill>
      </fill>
    </dxf>
    <dxf>
      <fill>
        <patternFill>
          <bgColor rgb="FFFFFF00"/>
        </patternFill>
      </fill>
    </dxf>
    <dxf>
      <fill>
        <patternFill>
          <bgColor theme="0"/>
        </patternFill>
      </fill>
    </dxf>
    <dxf>
      <fill>
        <patternFill>
          <bgColor rgb="FFFFFF00"/>
        </patternFill>
      </fill>
    </dxf>
    <dxf>
      <fill>
        <patternFill>
          <bgColor theme="0"/>
        </patternFill>
      </fill>
    </dxf>
    <dxf>
      <fill>
        <patternFill>
          <bgColor rgb="FFFFFF00"/>
        </patternFill>
      </fill>
    </dxf>
    <dxf>
      <font>
        <color rgb="FFFF0000"/>
      </font>
      <fill>
        <patternFill>
          <fgColor auto="1"/>
          <bgColor rgb="FFFFFF00"/>
        </patternFill>
      </fill>
    </dxf>
    <dxf>
      <font>
        <color theme="0"/>
      </font>
      <fill>
        <patternFill>
          <fgColor theme="0"/>
        </patternFill>
      </fill>
    </dxf>
    <dxf>
      <font>
        <color theme="0"/>
      </font>
      <fill>
        <patternFill>
          <fgColor theme="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ont>
        <color theme="0"/>
      </font>
      <fill>
        <patternFill>
          <fgColor theme="0"/>
        </patternFill>
      </fill>
    </dxf>
    <dxf>
      <font>
        <color theme="0"/>
      </font>
      <fill>
        <patternFill>
          <fgColor theme="0"/>
        </patternFill>
      </fill>
    </dxf>
    <dxf>
      <font>
        <color theme="0"/>
      </font>
      <fill>
        <patternFill>
          <fgColor theme="0"/>
        </patternFill>
      </fill>
    </dxf>
    <dxf>
      <font>
        <color theme="0"/>
      </font>
      <fill>
        <patternFill>
          <fgColor theme="0"/>
        </patternFill>
      </fill>
    </dxf>
    <dxf>
      <font>
        <color theme="0"/>
      </font>
      <fill>
        <patternFill>
          <fgColor theme="0"/>
        </patternFill>
      </fill>
    </dxf>
    <dxf>
      <fill>
        <patternFill>
          <bgColor rgb="FFFFFF00"/>
        </patternFill>
      </fill>
    </dxf>
    <dxf>
      <fill>
        <patternFill>
          <bgColor theme="0"/>
        </patternFill>
      </fill>
    </dxf>
    <dxf>
      <fill>
        <patternFill>
          <bgColor rgb="FFFFFF00"/>
        </patternFill>
      </fill>
    </dxf>
    <dxf>
      <font>
        <color rgb="FFFF0000"/>
      </font>
      <fill>
        <patternFill>
          <fgColor auto="1"/>
          <bgColor rgb="FFFFFF00"/>
        </patternFill>
      </fill>
    </dxf>
    <dxf>
      <font>
        <color theme="0"/>
      </font>
      <fill>
        <patternFill>
          <fgColor theme="0"/>
        </patternFill>
      </fill>
    </dxf>
    <dxf>
      <font>
        <color theme="0"/>
      </font>
      <fill>
        <patternFill>
          <fgColor theme="0"/>
        </patternFill>
      </fill>
    </dxf>
    <dxf>
      <fill>
        <patternFill>
          <bgColor rgb="FFFFFF00"/>
        </patternFill>
      </fill>
    </dxf>
    <dxf>
      <font>
        <color rgb="FFFF0000"/>
      </font>
      <fill>
        <patternFill>
          <fgColor auto="1"/>
          <bgColor rgb="FFFFFF00"/>
        </patternFill>
      </fill>
    </dxf>
    <dxf>
      <font>
        <color theme="0"/>
      </font>
      <fill>
        <patternFill>
          <fgColor theme="0"/>
        </patternFill>
      </fill>
    </dxf>
    <dxf>
      <font>
        <color theme="0"/>
      </font>
      <fill>
        <patternFill>
          <fgColor theme="0"/>
        </patternFill>
      </fill>
    </dxf>
    <dxf>
      <fill>
        <patternFill>
          <bgColor rgb="FFFFFF00"/>
        </patternFill>
      </fill>
    </dxf>
    <dxf>
      <font>
        <color theme="0"/>
      </font>
      <fill>
        <patternFill>
          <fgColor theme="0"/>
        </patternFill>
      </fill>
    </dxf>
    <dxf>
      <fill>
        <patternFill>
          <bgColor theme="0"/>
        </patternFill>
      </fill>
    </dxf>
    <dxf>
      <fill>
        <patternFill>
          <bgColor rgb="FFFFFF00"/>
        </patternFill>
      </fill>
    </dxf>
    <dxf>
      <fill>
        <patternFill>
          <bgColor theme="0"/>
        </patternFill>
      </fill>
    </dxf>
    <dxf>
      <fill>
        <patternFill>
          <bgColor rgb="FFFFFF00"/>
        </patternFill>
      </fill>
    </dxf>
    <dxf>
      <fill>
        <patternFill>
          <bgColor theme="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rgb="FFFFFF00"/>
        </patternFill>
      </fill>
    </dxf>
    <dxf>
      <fill>
        <patternFill>
          <bgColor theme="0"/>
        </patternFill>
      </fill>
    </dxf>
    <dxf>
      <fill>
        <patternFill>
          <bgColor rgb="FFFFFF00"/>
        </patternFill>
      </fill>
    </dxf>
    <dxf>
      <fill>
        <patternFill>
          <bgColor theme="0"/>
        </patternFill>
      </fill>
    </dxf>
    <dxf>
      <fill>
        <patternFill>
          <bgColor rgb="FFFFFF00"/>
        </patternFill>
      </fill>
    </dxf>
    <dxf>
      <fill>
        <patternFill>
          <bgColor theme="0"/>
        </patternFill>
      </fill>
    </dxf>
    <dxf>
      <fill>
        <patternFill>
          <bgColor rgb="FFFFFF00"/>
        </patternFill>
      </fill>
    </dxf>
    <dxf>
      <fill>
        <patternFill>
          <bgColor theme="0"/>
        </patternFill>
      </fill>
    </dxf>
    <dxf>
      <fill>
        <patternFill>
          <bgColor rgb="FFFFFF00"/>
        </patternFill>
      </fill>
    </dxf>
    <dxf>
      <fill>
        <patternFill>
          <bgColor theme="0"/>
        </patternFill>
      </fill>
    </dxf>
    <dxf>
      <fill>
        <patternFill>
          <bgColor rgb="FFFFFF00"/>
        </patternFill>
      </fill>
    </dxf>
    <dxf>
      <font>
        <color rgb="FFFF0000"/>
      </font>
      <fill>
        <patternFill>
          <fgColor auto="1"/>
          <bgColor rgb="FFFFFF00"/>
        </patternFill>
      </fill>
    </dxf>
    <dxf>
      <font>
        <color theme="0"/>
      </font>
      <fill>
        <patternFill>
          <fgColor theme="0"/>
        </patternFill>
      </fill>
    </dxf>
    <dxf>
      <font>
        <color theme="0"/>
      </font>
      <fill>
        <patternFill>
          <fgColor theme="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ont>
        <color theme="0"/>
      </font>
      <fill>
        <patternFill>
          <fgColor theme="0"/>
        </patternFill>
      </fill>
    </dxf>
    <dxf>
      <font>
        <color theme="0"/>
      </font>
      <fill>
        <patternFill>
          <fgColor theme="0"/>
        </patternFill>
      </fill>
    </dxf>
    <dxf>
      <font>
        <color theme="0"/>
      </font>
      <fill>
        <patternFill>
          <fgColor theme="0"/>
        </patternFill>
      </fill>
    </dxf>
    <dxf>
      <font>
        <color theme="0"/>
      </font>
      <fill>
        <patternFill>
          <fgColor theme="0"/>
        </patternFill>
      </fill>
    </dxf>
    <dxf>
      <font>
        <color theme="0"/>
      </font>
      <fill>
        <patternFill>
          <fgColor theme="0"/>
        </patternFill>
      </fill>
    </dxf>
    <dxf>
      <fill>
        <patternFill>
          <bgColor rgb="FFFFFF00"/>
        </patternFill>
      </fill>
    </dxf>
    <dxf>
      <fill>
        <patternFill>
          <bgColor theme="0"/>
        </patternFill>
      </fill>
    </dxf>
    <dxf>
      <fill>
        <patternFill>
          <bgColor rgb="FFFFFF00"/>
        </patternFill>
      </fill>
    </dxf>
    <dxf>
      <font>
        <color rgb="FFFF0000"/>
      </font>
      <fill>
        <patternFill>
          <fgColor auto="1"/>
          <bgColor rgb="FFFFFF00"/>
        </patternFill>
      </fill>
    </dxf>
    <dxf>
      <font>
        <color theme="0"/>
      </font>
      <fill>
        <patternFill>
          <fgColor theme="0"/>
        </patternFill>
      </fill>
    </dxf>
    <dxf>
      <font>
        <color theme="0"/>
      </font>
      <fill>
        <patternFill>
          <fgColor theme="0"/>
        </patternFill>
      </fill>
    </dxf>
    <dxf>
      <fill>
        <patternFill>
          <bgColor rgb="FFFFFF00"/>
        </patternFill>
      </fill>
    </dxf>
    <dxf>
      <font>
        <color rgb="FFFF0000"/>
      </font>
      <fill>
        <patternFill>
          <fgColor auto="1"/>
          <bgColor rgb="FFFFFF00"/>
        </patternFill>
      </fill>
    </dxf>
    <dxf>
      <font>
        <color theme="0"/>
      </font>
      <fill>
        <patternFill>
          <fgColor theme="0"/>
        </patternFill>
      </fill>
    </dxf>
    <dxf>
      <font>
        <color theme="0"/>
      </font>
      <fill>
        <patternFill>
          <fgColor theme="0"/>
        </patternFill>
      </fill>
    </dxf>
    <dxf>
      <fill>
        <patternFill>
          <bgColor rgb="FFFFFF00"/>
        </patternFill>
      </fill>
    </dxf>
    <dxf>
      <font>
        <color theme="0"/>
      </font>
      <fill>
        <patternFill>
          <fgColor theme="0"/>
        </patternFill>
      </fill>
    </dxf>
    <dxf>
      <fill>
        <patternFill>
          <bgColor theme="0"/>
        </patternFill>
      </fill>
    </dxf>
    <dxf>
      <fill>
        <patternFill>
          <bgColor rgb="FFFFFF00"/>
        </patternFill>
      </fill>
    </dxf>
    <dxf>
      <fill>
        <patternFill>
          <bgColor theme="0"/>
        </patternFill>
      </fill>
    </dxf>
    <dxf>
      <fill>
        <patternFill>
          <bgColor rgb="FFFFFF00"/>
        </patternFill>
      </fill>
    </dxf>
    <dxf>
      <fill>
        <patternFill>
          <bgColor theme="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rgb="FFFFFF00"/>
        </patternFill>
      </fill>
    </dxf>
    <dxf>
      <fill>
        <patternFill>
          <bgColor theme="0"/>
        </patternFill>
      </fill>
    </dxf>
    <dxf>
      <fill>
        <patternFill>
          <bgColor rgb="FFFFFF00"/>
        </patternFill>
      </fill>
    </dxf>
    <dxf>
      <fill>
        <patternFill>
          <bgColor theme="0"/>
        </patternFill>
      </fill>
    </dxf>
    <dxf>
      <fill>
        <patternFill>
          <bgColor rgb="FFFFFF00"/>
        </patternFill>
      </fill>
    </dxf>
    <dxf>
      <fill>
        <patternFill>
          <bgColor theme="0"/>
        </patternFill>
      </fill>
    </dxf>
    <dxf>
      <fill>
        <patternFill>
          <bgColor rgb="FFFFFF00"/>
        </patternFill>
      </fill>
    </dxf>
    <dxf>
      <fill>
        <patternFill>
          <bgColor theme="0"/>
        </patternFill>
      </fill>
    </dxf>
    <dxf>
      <fill>
        <patternFill>
          <bgColor rgb="FFFFFF00"/>
        </patternFill>
      </fill>
    </dxf>
    <dxf>
      <fill>
        <patternFill>
          <bgColor theme="0"/>
        </patternFill>
      </fill>
    </dxf>
    <dxf>
      <fill>
        <patternFill>
          <bgColor rgb="FFFFFF00"/>
        </patternFill>
      </fill>
    </dxf>
    <dxf>
      <font>
        <color rgb="FFFF0000"/>
      </font>
      <fill>
        <patternFill>
          <fgColor auto="1"/>
          <bgColor rgb="FFFFFF00"/>
        </patternFill>
      </fill>
    </dxf>
    <dxf>
      <font>
        <color theme="0"/>
      </font>
      <fill>
        <patternFill>
          <fgColor theme="0"/>
        </patternFill>
      </fill>
    </dxf>
    <dxf>
      <font>
        <color theme="0"/>
      </font>
      <fill>
        <patternFill>
          <fgColor theme="0"/>
        </patternFill>
      </fill>
    </dxf>
    <dxf>
      <fill>
        <patternFill>
          <bgColor rgb="FFFFFF00"/>
        </patternFill>
      </fill>
    </dxf>
    <dxf>
      <font>
        <color theme="0"/>
      </font>
      <fill>
        <patternFill>
          <fgColor theme="0"/>
        </patternFill>
      </fill>
    </dxf>
    <dxf>
      <fill>
        <patternFill>
          <bgColor theme="0"/>
        </patternFill>
      </fill>
    </dxf>
    <dxf>
      <fill>
        <patternFill>
          <bgColor rgb="FFFFFF00"/>
        </patternFill>
      </fill>
    </dxf>
    <dxf>
      <font>
        <color theme="0"/>
      </font>
      <fill>
        <patternFill>
          <fgColor theme="0"/>
          <bgColor theme="0"/>
        </patternFill>
      </fill>
    </dxf>
    <dxf>
      <font>
        <color theme="0"/>
      </font>
      <fill>
        <patternFill>
          <fgColor theme="0"/>
        </patternFill>
      </fill>
    </dxf>
    <dxf>
      <font>
        <color theme="0"/>
      </font>
      <fill>
        <patternFill>
          <fgColor theme="0"/>
          <bgColor theme="0"/>
        </patternFill>
      </fill>
    </dxf>
    <dxf>
      <font>
        <color theme="0"/>
      </font>
      <fill>
        <patternFill>
          <fgColor theme="0"/>
        </patternFill>
      </fill>
    </dxf>
    <dxf>
      <font>
        <color theme="0"/>
      </font>
      <fill>
        <patternFill>
          <fgColor theme="0"/>
        </patternFill>
      </fill>
    </dxf>
    <dxf>
      <fill>
        <patternFill>
          <bgColor rgb="FFFFFF00"/>
        </patternFill>
      </fill>
    </dxf>
    <dxf>
      <fill>
        <patternFill>
          <bgColor theme="0"/>
        </patternFill>
      </fill>
    </dxf>
    <dxf>
      <fill>
        <patternFill>
          <bgColor rgb="FFFFFF00"/>
        </patternFill>
      </fill>
    </dxf>
    <dxf>
      <font>
        <color rgb="FFFF0000"/>
      </font>
      <fill>
        <patternFill>
          <fgColor auto="1"/>
          <bgColor rgb="FFFFFF00"/>
        </patternFill>
      </fill>
    </dxf>
    <dxf>
      <font>
        <color theme="0"/>
      </font>
      <fill>
        <patternFill>
          <fgColor theme="0"/>
        </patternFill>
      </fill>
    </dxf>
    <dxf>
      <font>
        <color theme="0"/>
      </font>
      <fill>
        <patternFill>
          <fgColor theme="0"/>
        </patternFill>
      </fill>
    </dxf>
    <dxf>
      <fill>
        <patternFill>
          <bgColor rgb="FFFFFF00"/>
        </patternFill>
      </fill>
    </dxf>
    <dxf>
      <font>
        <color rgb="FFFF0000"/>
      </font>
      <fill>
        <patternFill>
          <fgColor auto="1"/>
          <bgColor rgb="FFFFFF00"/>
        </patternFill>
      </fill>
    </dxf>
    <dxf>
      <font>
        <color theme="0"/>
      </font>
      <fill>
        <patternFill>
          <fgColor theme="0"/>
        </patternFill>
      </fill>
    </dxf>
    <dxf>
      <font>
        <color theme="0"/>
      </font>
      <fill>
        <patternFill>
          <fgColor theme="0"/>
        </patternFill>
      </fill>
    </dxf>
    <dxf>
      <fill>
        <patternFill>
          <bgColor rgb="FFFFFF00"/>
        </patternFill>
      </fill>
    </dxf>
    <dxf>
      <font>
        <color theme="0"/>
      </font>
      <fill>
        <patternFill>
          <fgColor theme="0"/>
        </patternFill>
      </fill>
    </dxf>
    <dxf>
      <fill>
        <patternFill>
          <bgColor theme="0"/>
        </patternFill>
      </fill>
    </dxf>
    <dxf>
      <fill>
        <patternFill>
          <bgColor rgb="FFFFFF00"/>
        </patternFill>
      </fill>
    </dxf>
    <dxf>
      <fill>
        <patternFill>
          <bgColor theme="0"/>
        </patternFill>
      </fill>
    </dxf>
    <dxf>
      <fill>
        <patternFill>
          <bgColor rgb="FFFFFF00"/>
        </patternFill>
      </fill>
    </dxf>
    <dxf>
      <fill>
        <patternFill>
          <bgColor theme="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rgb="FFFFFF00"/>
        </patternFill>
      </fill>
    </dxf>
    <dxf>
      <fill>
        <patternFill>
          <bgColor theme="0"/>
        </patternFill>
      </fill>
    </dxf>
    <dxf>
      <fill>
        <patternFill>
          <bgColor rgb="FFFFFF00"/>
        </patternFill>
      </fill>
    </dxf>
    <dxf>
      <fill>
        <patternFill>
          <bgColor theme="0"/>
        </patternFill>
      </fill>
    </dxf>
    <dxf>
      <fill>
        <patternFill>
          <bgColor rgb="FFFFFF00"/>
        </patternFill>
      </fill>
    </dxf>
    <dxf>
      <fill>
        <patternFill>
          <bgColor theme="0"/>
        </patternFill>
      </fill>
    </dxf>
    <dxf>
      <fill>
        <patternFill>
          <bgColor rgb="FFFFFF00"/>
        </patternFill>
      </fill>
    </dxf>
    <dxf>
      <fill>
        <patternFill>
          <bgColor theme="0"/>
        </patternFill>
      </fill>
    </dxf>
    <dxf>
      <fill>
        <patternFill>
          <bgColor rgb="FFFFFF00"/>
        </patternFill>
      </fill>
    </dxf>
    <dxf>
      <fill>
        <patternFill>
          <bgColor theme="0"/>
        </patternFill>
      </fill>
    </dxf>
    <dxf>
      <fill>
        <patternFill>
          <bgColor rgb="FFFFFF00"/>
        </patternFill>
      </fill>
    </dxf>
    <dxf>
      <font>
        <color rgb="FFFF0000"/>
      </font>
      <fill>
        <patternFill>
          <fgColor auto="1"/>
          <bgColor rgb="FFFFFF00"/>
        </patternFill>
      </fill>
    </dxf>
    <dxf>
      <font>
        <color theme="0"/>
      </font>
      <fill>
        <patternFill>
          <fgColor theme="0"/>
        </patternFill>
      </fill>
    </dxf>
    <dxf>
      <font>
        <color theme="0"/>
      </font>
      <fill>
        <patternFill>
          <fgColor theme="0"/>
        </patternFill>
      </fill>
    </dxf>
    <dxf>
      <fill>
        <patternFill>
          <bgColor rgb="FFFFFF00"/>
        </patternFill>
      </fill>
    </dxf>
    <dxf>
      <fill>
        <patternFill>
          <fgColor theme="0"/>
          <bgColor theme="0"/>
        </patternFill>
      </fill>
    </dxf>
    <dxf>
      <fill>
        <patternFill>
          <fgColor theme="0"/>
          <bgColor theme="0"/>
        </patternFill>
      </fill>
    </dxf>
    <dxf>
      <fill>
        <patternFill>
          <fgColor theme="0"/>
          <bgColor theme="0"/>
        </patternFill>
      </fill>
    </dxf>
    <dxf>
      <fill>
        <patternFill>
          <fgColor theme="0"/>
          <bgColor theme="0"/>
        </patternFill>
      </fill>
    </dxf>
    <dxf>
      <fill>
        <patternFill>
          <fgColor theme="0"/>
          <bgColor theme="0"/>
        </patternFill>
      </fill>
    </dxf>
    <dxf>
      <fill>
        <patternFill>
          <fgColor theme="0"/>
          <bgColor theme="0"/>
        </patternFill>
      </fill>
    </dxf>
    <dxf>
      <fill>
        <patternFill patternType="solid">
          <fgColor theme="0"/>
          <bgColor theme="0"/>
        </patternFill>
      </fill>
    </dxf>
    <dxf>
      <fill>
        <patternFill>
          <fgColor theme="0"/>
          <bgColor theme="0"/>
        </patternFill>
      </fill>
    </dxf>
    <dxf>
      <fill>
        <patternFill>
          <fgColor theme="0"/>
          <bgColor theme="0"/>
        </patternFill>
      </fill>
    </dxf>
    <dxf>
      <fill>
        <patternFill>
          <fgColor theme="0"/>
          <bgColor theme="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 style="thin">
          <color indexed="64"/>
        </bottom>
        <vertical/>
        <horizontal/>
      </border>
    </dxf>
    <dxf>
      <alignment horizontal="center" vertical="center" textRotation="0" wrapText="0" indent="0" justifyLastLine="0" shrinkToFit="0" readingOrder="0"/>
      <border diagonalUp="0" diagonalDown="0">
        <left/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border outline="0">
        <top style="thin">
          <color indexed="64"/>
        </top>
      </border>
    </dxf>
    <dxf>
      <border outline="0">
        <bottom style="thin">
          <color indexed="64"/>
        </bottom>
      </border>
    </dxf>
    <dxf>
      <fill>
        <patternFill patternType="solid">
          <fgColor indexed="64"/>
          <bgColor theme="6" tint="0.39997558519241921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auto="1"/>
        </left>
        <right style="thin">
          <color auto="1"/>
        </right>
        <top/>
        <bottom/>
      </border>
    </dxf>
    <dxf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 style="thin">
          <color indexed="64"/>
        </bottom>
        <vertical/>
        <horizontal/>
      </border>
    </dxf>
    <dxf>
      <alignment horizontal="center" vertical="center" textRotation="0" wrapText="0" indent="0" justifyLastLine="0" shrinkToFit="0" readingOrder="0"/>
      <border diagonalUp="0" diagonalDown="0"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alignment horizontal="center" vertical="center" textRotation="0" wrapText="0" indent="0" justifyLastLine="0" shrinkToFit="0" readingOrder="0"/>
      <border diagonalUp="0" diagonalDown="0"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alignment horizontal="center" vertical="center" textRotation="0" wrapText="0" indent="0" justifyLastLine="0" shrinkToFit="0" readingOrder="0"/>
      <border diagonalUp="0" diagonalDown="0"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Arial Narrow"/>
        <scheme val="none"/>
      </font>
      <alignment horizontal="center" vertical="center" textRotation="0" wrapText="0" indent="0" justifyLastLine="0" shrinkToFit="0" readingOrder="1"/>
      <border diagonalUp="0" diagonalDown="0"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alignment horizontal="center" vertical="center" textRotation="0" wrapText="0" indent="0" justifyLastLine="0" shrinkToFit="0" readingOrder="0"/>
      <border diagonalUp="0" diagonalDown="0"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alignment horizontal="center" vertical="center" textRotation="0" wrapText="0" indent="0" justifyLastLine="0" shrinkToFit="0" readingOrder="0"/>
      <border diagonalUp="0" diagonalDown="0"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alignment horizontal="center" vertical="center" textRotation="0" wrapText="0" indent="0" justifyLastLine="0" shrinkToFit="0" readingOrder="0"/>
      <border diagonalUp="0" diagonalDown="0"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alignment horizontal="center" vertical="center" textRotation="0" wrapText="0" indent="0" justifyLastLine="0" shrinkToFit="0" readingOrder="0"/>
      <border diagonalUp="0" diagonalDown="0"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alignment horizontal="center" vertical="center" textRotation="0" wrapText="0" indent="0" justifyLastLine="0" shrinkToFit="0" readingOrder="0"/>
      <border diagonalUp="0" diagonalDown="0">
        <left/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border outline="0">
        <left style="thin">
          <color auto="1"/>
        </left>
        <right style="thin">
          <color auto="1"/>
        </right>
        <bottom style="thin">
          <color indexed="64"/>
        </bottom>
      </border>
    </dxf>
    <dxf>
      <alignment horizontal="center" vertical="center" textRotation="0" wrapText="0" indent="0" justifyLastLine="0" shrinkToFit="0" readingOrder="0"/>
    </dxf>
    <dxf>
      <border outline="0">
        <bottom style="thin">
          <color indexed="64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fill>
        <patternFill patternType="solid">
          <fgColor indexed="64"/>
          <bgColor rgb="FF92D050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auto="1"/>
        </left>
        <right style="thin">
          <color auto="1"/>
        </right>
        <top/>
        <bottom/>
      </border>
    </dxf>
    <dxf>
      <font>
        <b val="1"/>
        <i val="0"/>
        <strike val="0"/>
        <condense val="0"/>
        <extend val="0"/>
        <outline val="0"/>
        <shadow val="0"/>
        <sz val="11"/>
        <color theme="1"/>
        <name val="Calibri"/>
        <vertAlign val="baseline"/>
      </font>
      <fill>
        <patternFill patternType="solid">
          <fgColor indexed="64"/>
          <bgColor rgb="ff92d050"/>
        </patternFill>
      </fill>
      <border>
        <left style="thin">
          <color auto="1"/>
        </left>
        <right style="thin">
          <color auto="1"/>
        </right>
      </border>
    </dxf>
    <dxf>
      <border>
        <right style="thin">
          <color auto="1"/>
        </right>
        <top style="thin">
          <color auto="1"/>
        </top>
        <bottom style="thin">
          <color auto="1"/>
        </bottom>
      </border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ont>
        <b val="0"/>
        <i val="0"/>
        <strike val="0"/>
        <condense val="0"/>
        <extend val="0"/>
        <outline val="0"/>
        <shadow val="0"/>
        <sz val="11"/>
        <color auto="1"/>
        <name val="Arial Narrow"/>
        <vertAlign val="baseline"/>
      </font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border>
        <left style="thin">
          <color indexed="64"/>
        </left>
        <top style="thin">
          <color indexed="64"/>
        </top>
        <bottom style="thin">
          <color indexed="64"/>
        </bottom>
      </border>
    </dxf>
    <dxf>
      <fill>
        <patternFill patternType="solid">
          <fgColor indexed="64"/>
          <bgColor theme="6" tint="0.3999755851924192"/>
        </patternFill>
      </fill>
      <border>
        <left style="thin">
          <color auto="1"/>
        </left>
        <right style="thin">
          <color auto="1"/>
        </right>
      </border>
    </dxf>
    <dxf>
      <border>
        <right style="thin">
          <color auto="1"/>
        </right>
        <top style="thin">
          <color auto="1"/>
        </top>
        <bottom style="thin">
          <color auto="1"/>
        </bottom>
      </border>
    </dxf>
    <dxf>
      <border>
        <left style="thin">
          <color indexed="64"/>
        </left>
        <top style="thin">
          <color indexed="64"/>
        </top>
        <bottom style="thin">
          <color indexed="64"/>
        </bottom>
      </border>
    </dxf>
  </dxfs>
  <tableStyles count="0" defaultTableStyle="TableStyleMedium2" defaultPivotStyle="PivotStyleLight16"/>
  <colors>
    <mruColors>
      <color rgb="FFCCFFFF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18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23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9" Type="http://schemas.openxmlformats.org/officeDocument/2006/relationships/worksheet" Target="worksheets/sheet31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5" Type="http://schemas.openxmlformats.org/officeDocument/2006/relationships/worksheet" Target="worksheets/sheet5.xml"/><Relationship Id="rId15" Type="http://schemas.openxmlformats.org/officeDocument/2006/relationships/styles" Target="styles.xml"/><Relationship Id="rId10" Type="http://schemas.openxmlformats.org/officeDocument/2006/relationships/worksheet" Target="worksheets/sheet10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theme" Target="theme/theme1.xml"/><Relationship Id="rId20" Type="http://schemas.openxmlformats.org/officeDocument/2006/relationships/worksheet" Target="worksheets/sheet32.xml"/><Relationship Id="rId21" Type="http://schemas.openxmlformats.org/officeDocument/2006/relationships/worksheet" Target="worksheets/sheet33.xml"/><Relationship Id="rId22" Type="http://schemas.openxmlformats.org/officeDocument/2006/relationships/worksheet" Target="worksheets/sheet34.xml"/></Relationships>
</file>

<file path=xl/drawings/_rels/drawing1.xml.rels><?xml version="1.0" encoding="UTF-8" standalone="yes"?><Relationships xmlns="http://schemas.openxmlformats.org/package/2006/relationships"><Relationship Id="rId1" Type="http://schemas.openxmlformats.org/officeDocument/2006/relationships/image" Target="../media/image1.png"/><Relationship Id="rId2" Type="http://schemas.openxmlformats.org/officeDocument/2006/relationships/image" Target="../media/image1.png"/></Relationships>
</file>

<file path=xl/drawings/_rels/drawing2.xml.rels><?xml version="1.0" encoding="UTF-8" standalone="yes"?><Relationships xmlns="http://schemas.openxmlformats.org/package/2006/relationships"><Relationship Id="rId1" Type="http://schemas.openxmlformats.org/officeDocument/2006/relationships/image" Target="../media/image2.png"/><Relationship Id="rId2" Type="http://schemas.openxmlformats.org/officeDocument/2006/relationships/image" Target="../media/image2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0</xdr:colOff>
      <xdr:row>27</xdr:row>
      <xdr:rowOff>0</xdr:rowOff>
    </xdr:from>
    <xdr:to>
      <xdr:col>5</xdr:col>
      <xdr:colOff>85725</xdr:colOff>
      <xdr:row>31</xdr:row>
      <xdr:rowOff>42734</xdr:rowOff>
    </xdr:to>
    <xdr:pic>
      <xdr:nvPicPr>
        <xdr:cNvPr id="2" name="Picture 1">
          <a:extLst>
            <a:ext uri="{FF2B5EF4-FFF2-40B4-BE49-F238E27FC236}">
              <a16:creationId xmlns="" xmlns:a16="http://schemas.microsoft.com/office/drawing/2014/main" id="{00000000-0008-0000-00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0" y="5006340"/>
          <a:ext cx="5755123" cy="713294"/>
        </a:xfrm>
        <a:prstGeom prst="rect">
          <a:avLst/>
        </a:prstGeom>
      </xdr:spPr>
    </xdr:pic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 editAs="oneCell">
    <xdr:from>
      <xdr:col>14</xdr:col>
      <xdr:colOff>423333</xdr:colOff>
      <xdr:row>5</xdr:row>
      <xdr:rowOff>74083</xdr:rowOff>
    </xdr:from>
    <xdr:to>
      <xdr:col>19</xdr:col>
      <xdr:colOff>47625</xdr:colOff>
      <xdr:row>27</xdr:row>
      <xdr:rowOff>142088</xdr:rowOff>
    </xdr:to>
    <xdr:pic>
      <xdr:nvPicPr>
        <xdr:cNvPr id="2" name="Picture 1"/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19304000" y="1111250"/>
          <a:ext cx="2700762" cy="5084505"/>
        </a:xfrm>
        <a:prstGeom prst="rect">
          <a:avLst/>
        </a:prstGeom>
      </xdr:spPr>
    </xdr:pic>
    <xdr:clientData/>
  </xdr:twoCellAnchor>
</xdr:wsDr>
</file>

<file path=xl/tables/table1.xml><?xml version="1.0" encoding="utf-8"?>
<table xmlns="http://schemas.openxmlformats.org/spreadsheetml/2006/main" id="1" name="SiteListTable" displayName="SiteListTable" ref="A1:J41" totalsRowShown="0" headerRowDxfId="425" headerRowCellStyle="Normal 3 3 2" dataCellStyle="Normal 3 3 2">
  <autoFilter ref="A1:J41"/>
  <tableColumns count="10">
    <tableColumn id="1" name=" BOM Code" dataDxfId="426" dataCellStyle="Normal 3 3 2"/>
    <tableColumn id="2" name="SAP Number" dataDxfId="427" dataCellStyle="Normal 3 3 2"/>
    <tableColumn id="3" name="Type" dataDxfId="428" dataCellStyle="Normal 3 3 2"/>
    <tableColumn id="4" name="Module" dataDxfId="429" dataCellStyle="Normal 3 3 2"/>
    <tableColumn id="5" name="Reuse/replace" dataDxfId="430" dataCellStyle="Normal 3 3 2"/>
    <tableColumn id="6" name="Action" dataDxfId="431" dataCellStyle="Normal 3 3 2"/>
    <tableColumn id="7" name="De-installation Week" dataDxfId="432" dataCellStyle="Normal 3 3 2"/>
    <tableColumn id="8" name="Expected Quantity" dataDxfId="433" dataCellStyle="Normal 3 3 2"/>
    <tableColumn id="9" name="Actual Quantity" dataDxfId="434" dataCellStyle="Normal 3 3 2"/>
    <tableColumn id="10" name="Remark" dataDxfId="435" dataCellStyle="Normal 3 3 2"/>
  </tableColumns>
  <tableStyleInfo name="TableStyleMedium2" showFirstColumn="0" showLastColumn="0" showRowStripes="1" showColumnStripes="0"/>
</table>
</file>

<file path=xl/tables/table2.xml><?xml version="1.0" encoding="utf-8"?>
<table xmlns="http://schemas.openxmlformats.org/spreadsheetml/2006/main" id="2" name="ScrapTable" displayName="ScrapTable" ref="A1:B188" totalsRowShown="0" headerRowDxfId="436" totalsRowBorderDxfId="408" headerRowCellStyle="Normal 8">
  <autoFilter ref="A1:B188"/>
  <tableColumns count="2">
    <tableColumn id="1" name="antenna" dataDxfId="437" dataCellStyle="Normal 8"/>
    <tableColumn id="2" name="Scrap" dataDxfId="438" dataCellStyle="Normal 8"/>
  </tableColumns>
  <tableStyleInfo name="TableStyleMedium2" showFirstColumn="0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<Relationships xmlns="http://schemas.openxmlformats.org/package/2006/relationships"><Relationship Id="rId2" Type="http://schemas.openxmlformats.org/officeDocument/2006/relationships/drawing" Target="../drawings/drawing1.xml"/></Relationships>
</file>

<file path=xl/worksheets/_rels/sheet12.xml.rels><?xml version="1.0" encoding="UTF-8" standalone="yes"?><Relationships xmlns="http://schemas.openxmlformats.org/package/2006/relationships"><Relationship Id="rId2" Type="http://schemas.openxmlformats.org/officeDocument/2006/relationships/table" Target="../tables/table1.xml"/><Relationship Id="rId1" Type="http://schemas.openxmlformats.org/officeDocument/2006/relationships/drawing" Target="../drawings/drawing2.xml"/></Relationships>
</file>

<file path=xl/worksheets/_rels/sheet13.xml.rels><?xml version="1.0" encoding="UTF-8" standalone="yes"?><Relationships xmlns="http://schemas.openxmlformats.org/package/2006/relationships"><Relationship Id="rId1" Type="http://schemas.openxmlformats.org/officeDocument/2006/relationships/table" Target="../tables/table2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mc:Ignorable="x14ac xr">
  <sheetPr codeName="Sheet1">
    <pageSetUpPr fitToPage="1"/>
  </sheetPr>
  <dimension ref="A2:Y24"/>
  <sheetViews>
    <sheetView workbookViewId="0">
      <selection activeCell="H22" sqref="H22"/>
    </sheetView>
  </sheetViews>
  <sheetFormatPr defaultColWidth="9.1328125" defaultRowHeight="12.75"/>
  <cols>
    <col min="1" max="1" width="24.1328125" customWidth="1" style="2"/>
    <col min="2" max="2" width="31" customWidth="1" style="2"/>
    <col min="3" max="3" width="9.1328125" customWidth="1" style="2"/>
    <col min="4" max="4" width="9.1328125" customWidth="1" style="2"/>
    <col min="5" max="5" width="9.265625" customWidth="1" style="2"/>
    <col min="6" max="7" width="9.1328125" customWidth="1" style="2"/>
    <col min="8" max="8" width="10.59765625" customWidth="1" style="2"/>
    <col min="9" max="9" width="9.73046875" customWidth="1" style="2"/>
    <col min="10" max="10" width="9.86328125" customWidth="1" style="2"/>
    <col min="11" max="11" width="10.3984375" customWidth="1" style="2"/>
    <col min="12" max="12" width="10.1328125" customWidth="1" style="2"/>
    <col min="13" max="13" width="11" customWidth="1" style="2"/>
    <col min="14" max="14" width="10.3984375" customWidth="1" style="2"/>
    <col min="15" max="15" width="9.59765625" customWidth="1" style="2"/>
    <col min="16" max="16" width="9.59765625" customWidth="1" style="21"/>
    <col min="17" max="17" bestFit="1" width="11.1328125" customWidth="1" style="21"/>
    <col min="18" max="18" width="10.73046875" customWidth="1" style="2"/>
    <col min="19" max="19" bestFit="1" width="12.3984375" customWidth="1" style="2"/>
    <col min="20" max="20" width="9.1328125" customWidth="1" style="2"/>
    <col min="21" max="21" bestFit="1" width="10.59765625" customWidth="1" style="2"/>
    <col min="22" max="22" width="9.73046875" customWidth="1" style="2"/>
    <col min="23" max="23" width="9.86328125" customWidth="1" style="2"/>
    <col min="24" max="24" width="12" customWidth="1" style="21"/>
    <col min="25" max="25" width="13.3984375" customWidth="1" style="21"/>
    <col min="26" max="16384" width="9.1328125" customWidth="1" style="2"/>
  </cols>
  <sheetData>
    <row r="2" ht="21" customHeight="1">
      <c r="A2" s="3" t="s">
        <v>73</v>
      </c>
      <c r="B2" s="277" t="s">
        <v>74</v>
      </c>
      <c r="D2" s="20"/>
      <c r="E2" s="34"/>
      <c r="F2" s="189" t="s">
        <v>75</v>
      </c>
      <c r="G2" s="189"/>
      <c r="H2" s="189" t="s">
        <v>76</v>
      </c>
      <c r="I2" s="189"/>
      <c r="J2" s="189" t="s">
        <v>75</v>
      </c>
      <c r="K2" s="189"/>
      <c r="L2" s="189" t="s">
        <v>76</v>
      </c>
      <c r="M2" s="190"/>
      <c r="N2" s="191" t="s">
        <v>75</v>
      </c>
      <c r="O2" s="192"/>
      <c r="P2" s="192"/>
      <c r="Q2" s="192"/>
      <c r="R2" s="192"/>
      <c r="S2" s="192"/>
      <c r="T2" s="192"/>
      <c r="U2" s="193"/>
      <c r="V2" s="189" t="s">
        <v>75</v>
      </c>
      <c r="W2" s="189"/>
      <c r="X2" s="189" t="s">
        <v>75</v>
      </c>
      <c r="Y2" s="189"/>
    </row>
    <row r="3" ht="20.25">
      <c r="A3" s="3" t="s">
        <v>77</v>
      </c>
      <c r="B3" s="277" t="s">
        <v>78</v>
      </c>
      <c r="D3" s="20"/>
      <c r="E3" s="34"/>
      <c r="F3" s="37" t="s">
        <v>79</v>
      </c>
      <c r="G3" s="35" t="s">
        <v>80</v>
      </c>
      <c r="H3" s="37" t="s">
        <v>79</v>
      </c>
      <c r="I3" s="35" t="s">
        <v>80</v>
      </c>
      <c r="J3" s="37" t="s">
        <v>79</v>
      </c>
      <c r="K3" s="35" t="s">
        <v>80</v>
      </c>
      <c r="L3" s="37" t="s">
        <v>79</v>
      </c>
      <c r="M3" s="35" t="s">
        <v>80</v>
      </c>
      <c r="N3" s="54" t="s">
        <v>79</v>
      </c>
      <c r="O3" s="35" t="s">
        <v>80</v>
      </c>
      <c r="P3" s="100" t="s">
        <v>79</v>
      </c>
      <c r="Q3" s="35" t="s">
        <v>80</v>
      </c>
      <c r="R3" s="54" t="s">
        <v>79</v>
      </c>
      <c r="S3" s="35" t="s">
        <v>80</v>
      </c>
      <c r="T3" s="54" t="s">
        <v>79</v>
      </c>
      <c r="U3" s="35" t="s">
        <v>80</v>
      </c>
      <c r="V3" s="56" t="s">
        <v>79</v>
      </c>
      <c r="W3" s="58" t="s">
        <v>80</v>
      </c>
      <c r="X3" s="100" t="s">
        <v>79</v>
      </c>
      <c r="Y3" s="58" t="s">
        <v>80</v>
      </c>
    </row>
    <row r="4" ht="20.65">
      <c r="A4" s="3" t="s">
        <v>81</v>
      </c>
      <c r="B4" s="275" t="s">
        <v>82</v>
      </c>
      <c r="D4" s="19"/>
      <c r="E4" s="34"/>
      <c r="F4" s="38" t="s">
        <v>83</v>
      </c>
      <c r="G4" s="39" t="s">
        <v>84</v>
      </c>
      <c r="H4" s="38" t="s">
        <v>85</v>
      </c>
      <c r="I4" s="39" t="s">
        <v>86</v>
      </c>
      <c r="J4" s="38" t="s">
        <v>87</v>
      </c>
      <c r="K4" s="39" t="s">
        <v>88</v>
      </c>
      <c r="L4" s="38" t="s">
        <v>89</v>
      </c>
      <c r="M4" s="39" t="s">
        <v>90</v>
      </c>
      <c r="N4" s="38" t="s">
        <v>91</v>
      </c>
      <c r="O4" s="39" t="s">
        <v>92</v>
      </c>
      <c r="P4" s="102" t="s">
        <v>93</v>
      </c>
      <c r="Q4" s="35" t="s">
        <v>94</v>
      </c>
      <c r="R4" s="38" t="s">
        <v>95</v>
      </c>
      <c r="S4" s="39" t="s">
        <v>96</v>
      </c>
      <c r="T4" s="55" t="s">
        <v>97</v>
      </c>
      <c r="U4" s="103" t="s">
        <v>98</v>
      </c>
      <c r="V4" s="57" t="s">
        <v>99</v>
      </c>
      <c r="W4" s="60" t="s">
        <v>100</v>
      </c>
      <c r="X4" s="101" t="s">
        <v>101</v>
      </c>
      <c r="Y4" s="104" t="s">
        <v>102</v>
      </c>
    </row>
    <row r="5" ht="15">
      <c r="A5" s="16" t="s">
        <v>103</v>
      </c>
      <c r="B5" s="1"/>
      <c r="C5" s="15"/>
      <c r="D5" s="19"/>
      <c r="E5" s="36" t="s">
        <v>68</v>
      </c>
      <c r="F5" s="278">
        <v>1</v>
      </c>
      <c r="G5" s="41"/>
      <c r="H5" s="278">
        <v>1</v>
      </c>
      <c r="I5" s="41"/>
      <c r="J5" s="278">
        <v>1</v>
      </c>
      <c r="K5" s="41"/>
      <c r="L5" s="278">
        <v>0</v>
      </c>
      <c r="M5" s="41"/>
      <c r="N5" s="278">
        <v>1</v>
      </c>
      <c r="O5" s="41"/>
      <c r="P5" s="279">
        <v>1</v>
      </c>
      <c r="Q5" s="41"/>
      <c r="R5" s="278">
        <v>1</v>
      </c>
      <c r="S5" s="41"/>
      <c r="T5" s="278">
        <v>1</v>
      </c>
      <c r="U5" s="41"/>
      <c r="V5" s="278">
        <v>1</v>
      </c>
      <c r="W5" s="59"/>
      <c r="X5" s="278">
        <v>0</v>
      </c>
      <c r="Y5" s="59"/>
    </row>
    <row r="6">
      <c r="A6" s="1" t="s">
        <v>104</v>
      </c>
      <c r="B6" s="276" t="s">
        <v>105</v>
      </c>
      <c r="D6" s="19"/>
      <c r="E6" s="36" t="s">
        <v>71</v>
      </c>
      <c r="F6" s="278">
        <v>1</v>
      </c>
      <c r="G6" s="41"/>
      <c r="H6" s="278">
        <v>1</v>
      </c>
      <c r="I6" s="41"/>
      <c r="J6" s="278">
        <v>1</v>
      </c>
      <c r="K6" s="41"/>
      <c r="L6" s="278">
        <v>0</v>
      </c>
      <c r="M6" s="41"/>
      <c r="N6" s="278">
        <v>1</v>
      </c>
      <c r="O6" s="41"/>
      <c r="P6" s="279">
        <v>1</v>
      </c>
      <c r="Q6" s="41"/>
      <c r="R6" s="278">
        <v>1</v>
      </c>
      <c r="S6" s="41"/>
      <c r="T6" s="278">
        <v>1</v>
      </c>
      <c r="U6" s="41"/>
      <c r="V6" s="278">
        <v>1</v>
      </c>
      <c r="W6" s="59"/>
      <c r="X6" s="278">
        <v>0</v>
      </c>
      <c r="Y6" s="59"/>
    </row>
    <row r="7">
      <c r="A7" s="1" t="s">
        <v>106</v>
      </c>
      <c r="B7" s="4"/>
      <c r="D7" s="19"/>
      <c r="E7" s="36" t="s">
        <v>0</v>
      </c>
      <c r="F7" s="278">
        <v>1</v>
      </c>
      <c r="G7" s="41"/>
      <c r="H7" s="278">
        <v>1</v>
      </c>
      <c r="I7" s="41"/>
      <c r="J7" s="278">
        <v>1</v>
      </c>
      <c r="K7" s="41"/>
      <c r="L7" s="278">
        <v>0</v>
      </c>
      <c r="M7" s="41"/>
      <c r="N7" s="278">
        <v>1</v>
      </c>
      <c r="O7" s="41"/>
      <c r="P7" s="279">
        <v>1</v>
      </c>
      <c r="Q7" s="41"/>
      <c r="R7" s="278">
        <v>1</v>
      </c>
      <c r="S7" s="41"/>
      <c r="T7" s="278">
        <v>1</v>
      </c>
      <c r="U7" s="41"/>
      <c r="V7" s="278">
        <v>0</v>
      </c>
      <c r="W7" s="59"/>
      <c r="X7" s="278">
        <v>0</v>
      </c>
      <c r="Y7" s="59"/>
    </row>
    <row r="8">
      <c r="A8" s="1" t="s">
        <v>107</v>
      </c>
      <c r="B8" s="276" t="s">
        <v>108</v>
      </c>
      <c r="C8" s="15"/>
      <c r="D8" s="19"/>
      <c r="E8" s="36" t="s">
        <v>109</v>
      </c>
      <c r="F8" s="40"/>
      <c r="G8" s="41"/>
      <c r="H8" s="40"/>
      <c r="I8" s="41"/>
      <c r="J8" s="40"/>
      <c r="K8" s="41"/>
      <c r="L8" s="40"/>
      <c r="M8" s="41"/>
      <c r="N8" s="40"/>
      <c r="O8" s="41"/>
      <c r="P8" s="41"/>
      <c r="Q8" s="41"/>
      <c r="R8" s="40"/>
      <c r="S8" s="41"/>
      <c r="T8" s="40"/>
      <c r="U8" s="41"/>
      <c r="V8" s="40"/>
      <c r="W8" s="59"/>
      <c r="X8" s="40"/>
      <c r="Y8" s="59"/>
    </row>
    <row r="9" ht="13.5" customHeight="1">
      <c r="A9" s="1" t="s">
        <v>110</v>
      </c>
      <c r="B9" s="276" t="s">
        <v>111</v>
      </c>
      <c r="C9" s="15"/>
      <c r="D9" s="19"/>
      <c r="E9" s="36" t="s">
        <v>112</v>
      </c>
      <c r="F9" s="40"/>
      <c r="G9" s="41"/>
      <c r="H9" s="40"/>
      <c r="I9" s="41"/>
      <c r="J9" s="40"/>
      <c r="K9" s="41"/>
      <c r="L9" s="40"/>
      <c r="M9" s="41"/>
      <c r="N9" s="40"/>
      <c r="O9" s="41"/>
      <c r="P9" s="41"/>
      <c r="Q9" s="41"/>
      <c r="R9" s="40"/>
      <c r="S9" s="41"/>
      <c r="T9" s="40"/>
      <c r="U9" s="41"/>
      <c r="V9" s="40"/>
      <c r="W9" s="59"/>
      <c r="X9" s="40"/>
      <c r="Y9" s="59"/>
    </row>
    <row r="10">
      <c r="A10" s="1" t="s">
        <v>113</v>
      </c>
      <c r="B10" s="276" t="s">
        <v>114</v>
      </c>
      <c r="C10" s="15"/>
      <c r="D10" s="19"/>
      <c r="E10" s="36" t="s">
        <v>115</v>
      </c>
      <c r="F10" s="40"/>
      <c r="G10" s="41"/>
      <c r="H10" s="40"/>
      <c r="I10" s="41"/>
      <c r="J10" s="40"/>
      <c r="K10" s="41"/>
      <c r="L10" s="40"/>
      <c r="M10" s="41"/>
      <c r="N10" s="40"/>
      <c r="O10" s="41"/>
      <c r="P10" s="41"/>
      <c r="Q10" s="41"/>
      <c r="R10" s="40"/>
      <c r="S10" s="41"/>
      <c r="T10" s="40"/>
      <c r="U10" s="41"/>
      <c r="V10" s="40"/>
      <c r="W10" s="59"/>
      <c r="X10" s="40"/>
      <c r="Y10" s="59"/>
    </row>
    <row r="11">
      <c r="A11" s="1" t="s">
        <v>116</v>
      </c>
      <c r="B11" s="276" t="s">
        <v>117</v>
      </c>
      <c r="E11" s="36" t="s">
        <v>118</v>
      </c>
      <c r="F11" s="40"/>
      <c r="G11" s="41"/>
      <c r="H11" s="40"/>
      <c r="I11" s="41"/>
      <c r="J11" s="40"/>
      <c r="K11" s="41"/>
      <c r="L11" s="40"/>
      <c r="M11" s="41"/>
      <c r="N11" s="40"/>
      <c r="O11" s="41"/>
      <c r="P11" s="41"/>
      <c r="Q11" s="41"/>
      <c r="R11" s="40"/>
      <c r="S11" s="41"/>
      <c r="T11" s="40"/>
      <c r="U11" s="41"/>
      <c r="V11" s="40"/>
      <c r="W11" s="59"/>
      <c r="X11" s="40"/>
      <c r="Y11" s="59"/>
    </row>
    <row r="12">
      <c r="A12" s="1" t="s">
        <v>119</v>
      </c>
      <c r="B12" s="276">
        <v>42.27975472222222</v>
      </c>
      <c r="E12" s="36" t="s">
        <v>120</v>
      </c>
      <c r="F12" s="40"/>
      <c r="G12" s="41"/>
      <c r="H12" s="40"/>
      <c r="I12" s="41"/>
      <c r="J12" s="40"/>
      <c r="K12" s="41"/>
      <c r="L12" s="40"/>
      <c r="M12" s="41"/>
      <c r="N12" s="40"/>
      <c r="O12" s="41"/>
      <c r="P12" s="41"/>
      <c r="Q12" s="41"/>
      <c r="R12" s="40"/>
      <c r="S12" s="41"/>
      <c r="T12" s="40"/>
      <c r="U12" s="41"/>
      <c r="V12" s="40"/>
      <c r="W12" s="59"/>
      <c r="X12" s="40"/>
      <c r="Y12" s="59"/>
    </row>
    <row r="13">
      <c r="A13" s="1" t="s">
        <v>121</v>
      </c>
      <c r="B13" s="276">
        <v>23.59489444444444</v>
      </c>
      <c r="E13" s="36" t="s">
        <v>122</v>
      </c>
      <c r="F13" s="40"/>
      <c r="G13" s="41"/>
      <c r="H13" s="40"/>
      <c r="I13" s="41"/>
      <c r="J13" s="40"/>
      <c r="K13" s="41"/>
      <c r="L13" s="40"/>
      <c r="M13" s="41"/>
      <c r="N13" s="40"/>
      <c r="O13" s="41"/>
      <c r="P13" s="41"/>
      <c r="Q13" s="41"/>
      <c r="R13" s="40"/>
      <c r="S13" s="41"/>
      <c r="T13" s="40"/>
      <c r="U13" s="41"/>
      <c r="V13" s="40"/>
      <c r="W13" s="59"/>
      <c r="X13" s="40"/>
      <c r="Y13" s="59"/>
    </row>
    <row r="14">
      <c r="A14" s="1" t="s">
        <v>123</v>
      </c>
      <c r="B14" s="276" t="s">
        <v>124</v>
      </c>
    </row>
    <row r="15">
      <c r="A15" s="1" t="s">
        <v>125</v>
      </c>
      <c r="B15" s="276">
        <v>24</v>
      </c>
    </row>
    <row r="16">
      <c r="A16" s="1" t="s">
        <v>126</v>
      </c>
      <c r="B16" s="276" t="s">
        <v>127</v>
      </c>
    </row>
    <row r="17">
      <c r="A17" s="1" t="s">
        <v>128</v>
      </c>
      <c r="B17" s="276" t="s">
        <v>129</v>
      </c>
    </row>
    <row r="18">
      <c r="A18" s="1" t="s">
        <v>130</v>
      </c>
      <c r="B18" s="4"/>
    </row>
    <row r="19" s="21" customFormat="1">
      <c r="A19" s="1" t="s">
        <v>131</v>
      </c>
      <c r="B19" s="23"/>
    </row>
    <row r="20">
      <c r="A20" s="1" t="s">
        <v>132</v>
      </c>
      <c r="B20" s="4"/>
    </row>
    <row r="21">
      <c r="A21" s="1" t="s">
        <v>133</v>
      </c>
      <c r="B21" s="4"/>
    </row>
    <row r="22">
      <c r="A22" s="1" t="s">
        <v>134</v>
      </c>
      <c r="B22" s="276" t="s">
        <v>135</v>
      </c>
    </row>
    <row r="23">
      <c r="A23" s="1" t="s">
        <v>136</v>
      </c>
      <c r="B23" s="276" t="s">
        <v>137</v>
      </c>
      <c r="E23" s="17"/>
    </row>
    <row r="24">
      <c r="A24" s="1" t="s">
        <v>138</v>
      </c>
      <c r="B24" s="276" t="s">
        <v>139</v>
      </c>
    </row>
  </sheetData>
  <mergeCells>
    <mergeCell ref="X2:Y2"/>
    <mergeCell ref="V2:W2"/>
    <mergeCell ref="F2:G2"/>
    <mergeCell ref="H2:I2"/>
    <mergeCell ref="J2:K2"/>
    <mergeCell ref="L2:M2"/>
    <mergeCell ref="N2:U2"/>
  </mergeCells>
  <conditionalFormatting sqref="G5:G13">
    <cfRule type="expression" dxfId="0" priority="22">
      <formula>$G5&lt;&gt;$F5</formula>
    </cfRule>
  </conditionalFormatting>
  <conditionalFormatting sqref="I5:I13">
    <cfRule type="expression" dxfId="0" priority="21">
      <formula>$I5&lt;&gt;$H5</formula>
    </cfRule>
  </conditionalFormatting>
  <conditionalFormatting sqref="K5:K13">
    <cfRule type="expression" dxfId="0" priority="20">
      <formula>$K5&lt;&gt;$J5</formula>
    </cfRule>
  </conditionalFormatting>
  <conditionalFormatting sqref="M5:M13">
    <cfRule type="expression" dxfId="0" priority="19">
      <formula>$M5&lt;&gt;$L5</formula>
    </cfRule>
  </conditionalFormatting>
  <conditionalFormatting sqref="O5:O13">
    <cfRule type="expression" dxfId="0" priority="18">
      <formula>$O5&lt;&gt;$N5</formula>
    </cfRule>
  </conditionalFormatting>
  <conditionalFormatting sqref="Q5:Q13">
    <cfRule type="expression" dxfId="0" priority="17">
      <formula>$Q5&lt;&gt;$P5</formula>
    </cfRule>
  </conditionalFormatting>
  <conditionalFormatting sqref="S5:S13">
    <cfRule type="expression" dxfId="0" priority="16">
      <formula>$S5&lt;&gt;$R5</formula>
    </cfRule>
  </conditionalFormatting>
  <conditionalFormatting sqref="U5:U13">
    <cfRule type="expression" dxfId="0" priority="15">
      <formula>$U5&lt;&gt;$T5</formula>
    </cfRule>
  </conditionalFormatting>
  <conditionalFormatting sqref="W5:W13">
    <cfRule type="expression" dxfId="0" priority="12">
      <formula>$W5&lt;&gt;$V5</formula>
    </cfRule>
  </conditionalFormatting>
  <conditionalFormatting sqref="Y5:Y13">
    <cfRule type="expression" dxfId="0" priority="11">
      <formula>$Y5&lt;&gt;$X5</formula>
    </cfRule>
  </conditionalFormatting>
  <conditionalFormatting sqref="G5:G13">
    <cfRule type="expression" dxfId="386" priority="10">
      <formula>ISBLANK($G5)</formula>
    </cfRule>
  </conditionalFormatting>
  <conditionalFormatting sqref="I5:I13">
    <cfRule type="expression" dxfId="386" priority="9">
      <formula>ISBLANK($I5)</formula>
    </cfRule>
  </conditionalFormatting>
  <conditionalFormatting sqref="K5:K13">
    <cfRule type="expression" dxfId="386" priority="8">
      <formula>ISBLANK($K5)</formula>
    </cfRule>
  </conditionalFormatting>
  <conditionalFormatting sqref="M5:M13">
    <cfRule type="expression" dxfId="392" priority="7">
      <formula>ISBLANK($M5)</formula>
    </cfRule>
  </conditionalFormatting>
  <conditionalFormatting sqref="O5:O13">
    <cfRule type="expression" dxfId="386" priority="6">
      <formula>ISBLANK($O5)</formula>
    </cfRule>
  </conditionalFormatting>
  <conditionalFormatting sqref="Q5:Q13">
    <cfRule type="expression" dxfId="386" priority="5">
      <formula>ISBLANK($Q5)</formula>
    </cfRule>
  </conditionalFormatting>
  <conditionalFormatting sqref="S5:S13">
    <cfRule type="expression" dxfId="386" priority="4">
      <formula>ISBLANK($S5)</formula>
    </cfRule>
  </conditionalFormatting>
  <conditionalFormatting sqref="U5:U13">
    <cfRule type="expression" dxfId="386" priority="3">
      <formula>ISBLANK($U5)</formula>
    </cfRule>
  </conditionalFormatting>
  <conditionalFormatting sqref="W5:W13">
    <cfRule type="expression" dxfId="386" priority="2">
      <formula>ISBLANK($W5)</formula>
    </cfRule>
  </conditionalFormatting>
  <conditionalFormatting sqref="Y5:Y13">
    <cfRule type="expression" dxfId="386" priority="1">
      <formula>ISBLANK($Y5)</formula>
    </cfRule>
  </conditionalFormatting>
  <dataValidations count="45">
    <dataValidation type="list" xr:uid="{400E2EF1-A2BF-44A9-ADA4-D4D88CF02DF6}" sqref="B18" showErrorMessage="1" errorTitle="An invalid feedback was entered" error="Please choose feedback from drop down only.">
      <formula1>"APM30,OMB,TMC,VIRTUAL,pico 3911B,BTS3911E"</formula1>
    </dataValidation>
    <dataValidation type="list" xr:uid="{09E821E5-C8B4-4AB3-8BCD-2F3B9723D365}" sqref="C18" showErrorMessage="1" errorTitle="An invalid feedback was entered" error="Please choose feedback from drop down only.">
      <formula1>"APM30,OMB,TMC,VIRTUAL,pico 3911B,BTS3911E"</formula1>
    </dataValidation>
    <dataValidation type="list" xr:uid="{DFCAAF30-4DEC-441E-B402-21EB51135043}" sqref="D18" showErrorMessage="1" errorTitle="An invalid feedback was entered" error="Please choose feedback from drop down only.">
      <formula1>"APM30,OMB,TMC,VIRTUAL,pico 3911B,BTS3911E"</formula1>
    </dataValidation>
    <dataValidation type="list" xr:uid="{7FFA14A9-A780-4EA4-AA72-4E8783D3B393}" sqref="E18" showErrorMessage="1" errorTitle="An invalid feedback was entered" error="Please choose feedback from drop down only.">
      <formula1>"APM30,OMB,TMC,VIRTUAL,pico 3911B,BTS3911E"</formula1>
    </dataValidation>
    <dataValidation type="list" xr:uid="{AFBE919D-8BF9-48AD-88C8-DD99EE6B01A5}" sqref="F18" showErrorMessage="1" errorTitle="An invalid feedback was entered" error="Please choose feedback from drop down only.">
      <formula1>"APM30,OMB,TMC,VIRTUAL,pico 3911B,BTS3911E"</formula1>
    </dataValidation>
    <dataValidation type="list" xr:uid="{EED79C4D-551B-4259-BB08-DD1C2661DAEC}" sqref="G18" showErrorMessage="1" errorTitle="An invalid feedback was entered" error="Please choose feedback from drop down only.">
      <formula1>"APM30,OMB,TMC,VIRTUAL,pico 3911B,BTS3911E"</formula1>
    </dataValidation>
    <dataValidation type="list" xr:uid="{BEC9530A-C4A7-42A0-AF4D-C832DC17302F}" sqref="H18" showErrorMessage="1" errorTitle="An invalid feedback was entered" error="Please choose feedback from drop down only.">
      <formula1>"APM30,OMB,TMC,VIRTUAL,pico 3911B,BTS3911E"</formula1>
    </dataValidation>
    <dataValidation type="list" xr:uid="{6CEBB906-7139-4EEF-AA90-34B33706748F}" sqref="I18" showErrorMessage="1" errorTitle="An invalid feedback was entered" error="Please choose feedback from drop down only.">
      <formula1>"APM30,OMB,TMC,VIRTUAL,pico 3911B,BTS3911E"</formula1>
    </dataValidation>
    <dataValidation type="list" xr:uid="{C4A08AE4-8A4E-4E6B-AB48-25C57692B3C2}" sqref="J18" showErrorMessage="1" errorTitle="An invalid feedback was entered" error="Please choose feedback from drop down only.">
      <formula1>"APM30,OMB,TMC,VIRTUAL,pico 3911B,BTS3911E"</formula1>
    </dataValidation>
    <dataValidation type="list" xr:uid="{864B8D2F-212C-4134-9485-FCF825E9341A}" sqref="K18" showErrorMessage="1" errorTitle="An invalid feedback was entered" error="Please choose feedback from drop down only.">
      <formula1>"APM30,OMB,TMC,VIRTUAL,pico 3911B,BTS3911E"</formula1>
    </dataValidation>
    <dataValidation type="list" xr:uid="{D6A72D1B-9C3D-4414-A54F-956FA4447044}" sqref="L18" showErrorMessage="1" errorTitle="An invalid feedback was entered" error="Please choose feedback from drop down only.">
      <formula1>"APM30,OMB,TMC,VIRTUAL,pico 3911B,BTS3911E"</formula1>
    </dataValidation>
    <dataValidation type="list" xr:uid="{98A97F32-8CFB-4BD4-A066-61BF9DF023F3}" sqref="M18" showErrorMessage="1" errorTitle="An invalid feedback was entered" error="Please choose feedback from drop down only.">
      <formula1>"APM30,OMB,TMC,VIRTUAL,pico 3911B,BTS3911E"</formula1>
    </dataValidation>
    <dataValidation type="list" xr:uid="{C5014029-24CF-4CEE-8B00-9FF3D5487B48}" sqref="N18" showErrorMessage="1" errorTitle="An invalid feedback was entered" error="Please choose feedback from drop down only.">
      <formula1>"APM30,OMB,TMC,VIRTUAL,pico 3911B,BTS3911E"</formula1>
    </dataValidation>
    <dataValidation type="list" xr:uid="{A4F1D273-3006-4A8C-80F5-752FD1541FD1}" sqref="O18" showErrorMessage="1" errorTitle="An invalid feedback was entered" error="Please choose feedback from drop down only.">
      <formula1>"APM30,OMB,TMC,VIRTUAL,pico 3911B,BTS3911E"</formula1>
    </dataValidation>
    <dataValidation type="list" xr:uid="{9AD535FA-6851-4E39-AB5E-50DE8526DD88}" sqref="P18" showErrorMessage="1" errorTitle="An invalid feedback was entered" error="Please choose feedback from drop down only.">
      <formula1>"APM30,OMB,TMC,VIRTUAL,pico 3911B,BTS3911E"</formula1>
    </dataValidation>
    <dataValidation type="list" xr:uid="{195EAC0A-AFD9-4900-9C84-CAC4F7C5FA9D}" sqref="B21" showErrorMessage="1" errorTitle="An invalid feedback was entered" error="Please choose feedback from drop down only.">
      <formula1>"Standard,Non standard,Fast track"</formula1>
    </dataValidation>
    <dataValidation type="list" xr:uid="{57A3F051-2EF0-42E1-8B5E-D51C516B51A2}" sqref="C21" showErrorMessage="1" errorTitle="An invalid feedback was entered" error="Please choose feedback from drop down only.">
      <formula1>"Standard,Non standard,Fast track"</formula1>
    </dataValidation>
    <dataValidation type="list" xr:uid="{C60ED724-A5BD-4D77-8AED-4BD0ED03DCC1}" sqref="D21" showErrorMessage="1" errorTitle="An invalid feedback was entered" error="Please choose feedback from drop down only.">
      <formula1>"Standard,Non standard,Fast track"</formula1>
    </dataValidation>
    <dataValidation type="list" xr:uid="{9AA27975-1FE2-421B-99AA-796C49725250}" sqref="E21" showErrorMessage="1" errorTitle="An invalid feedback was entered" error="Please choose feedback from drop down only.">
      <formula1>"Standard,Non standard,Fast track"</formula1>
    </dataValidation>
    <dataValidation type="list" xr:uid="{7ABFC67B-C6DA-445F-A884-9188C6E54400}" sqref="F21" showErrorMessage="1" errorTitle="An invalid feedback was entered" error="Please choose feedback from drop down only.">
      <formula1>"Standard,Non standard,Fast track"</formula1>
    </dataValidation>
    <dataValidation type="list" xr:uid="{D6A3CCF4-FE73-45A9-955E-8BAF88598187}" sqref="G21" showErrorMessage="1" errorTitle="An invalid feedback was entered" error="Please choose feedback from drop down only.">
      <formula1>"Standard,Non standard,Fast track"</formula1>
    </dataValidation>
    <dataValidation type="list" xr:uid="{C2A21A96-0E69-41B6-A4D5-3B10C6F0E46F}" sqref="H21" showErrorMessage="1" errorTitle="An invalid feedback was entered" error="Please choose feedback from drop down only.">
      <formula1>"Standard,Non standard,Fast track"</formula1>
    </dataValidation>
    <dataValidation type="list" xr:uid="{EF45D232-2068-4719-8E0D-197F2742B939}" sqref="I21" showErrorMessage="1" errorTitle="An invalid feedback was entered" error="Please choose feedback from drop down only.">
      <formula1>"Standard,Non standard,Fast track"</formula1>
    </dataValidation>
    <dataValidation type="list" xr:uid="{78CEAD71-F58D-4E5F-94CF-4F5CC33A58B6}" sqref="J21" showErrorMessage="1" errorTitle="An invalid feedback was entered" error="Please choose feedback from drop down only.">
      <formula1>"Standard,Non standard,Fast track"</formula1>
    </dataValidation>
    <dataValidation type="list" xr:uid="{0E8461AA-19FD-478B-A560-2D0629FBC3DB}" sqref="K21" showErrorMessage="1" errorTitle="An invalid feedback was entered" error="Please choose feedback from drop down only.">
      <formula1>"Standard,Non standard,Fast track"</formula1>
    </dataValidation>
    <dataValidation type="list" xr:uid="{737AEBD5-E404-4CB2-819F-CBFFD106E29A}" sqref="L21" showErrorMessage="1" errorTitle="An invalid feedback was entered" error="Please choose feedback from drop down only.">
      <formula1>"Standard,Non standard,Fast track"</formula1>
    </dataValidation>
    <dataValidation type="list" xr:uid="{CAACDACA-1E94-444A-A66B-B46D26528CBC}" sqref="M21" showErrorMessage="1" errorTitle="An invalid feedback was entered" error="Please choose feedback from drop down only.">
      <formula1>"Standard,Non standard,Fast track"</formula1>
    </dataValidation>
    <dataValidation type="list" xr:uid="{6F12E282-B3C0-4B49-8BD0-0877989B10C6}" sqref="N21" showErrorMessage="1" errorTitle="An invalid feedback was entered" error="Please choose feedback from drop down only.">
      <formula1>"Standard,Non standard,Fast track"</formula1>
    </dataValidation>
    <dataValidation type="list" xr:uid="{050B9014-F2F3-4AAB-BFDE-1FFCE9F60C43}" sqref="O21" showErrorMessage="1" errorTitle="An invalid feedback was entered" error="Please choose feedback from drop down only.">
      <formula1>"Standard,Non standard,Fast track"</formula1>
    </dataValidation>
    <dataValidation type="list" xr:uid="{35836527-075F-4A01-AE32-2CDCA61263C8}" sqref="P21" showErrorMessage="1" errorTitle="An invalid feedback was entered" error="Please choose feedback from drop down only.">
      <formula1>"Standard,Non standard,Fast track"</formula1>
    </dataValidation>
    <dataValidation type="list" xr:uid="{237869F2-1215-4ACC-8063-DFA36125CFD7}" sqref="B20" showErrorMessage="1" errorTitle="An invalid feedback was entered" error="Please choose feedback from drop down only.">
      <formula1>"Rollout,VIP,3G capacity"</formula1>
    </dataValidation>
    <dataValidation type="list" xr:uid="{58994419-FA96-432C-85E1-DE2F7631FA56}" sqref="C20" showErrorMessage="1" errorTitle="An invalid feedback was entered" error="Please choose feedback from drop down only.">
      <formula1>"Rollout,VIP,3G capacity"</formula1>
    </dataValidation>
    <dataValidation type="list" xr:uid="{667461DF-81E5-4776-B8F4-2BF6EA6543A6}" sqref="D20" showErrorMessage="1" errorTitle="An invalid feedback was entered" error="Please choose feedback from drop down only.">
      <formula1>"Rollout,VIP,3G capacity"</formula1>
    </dataValidation>
    <dataValidation type="list" xr:uid="{380157C3-A226-4939-8D5B-CCA7225CD76A}" sqref="E20" showErrorMessage="1" errorTitle="An invalid feedback was entered" error="Please choose feedback from drop down only.">
      <formula1>"Rollout,VIP,3G capacity"</formula1>
    </dataValidation>
    <dataValidation type="list" xr:uid="{C3497C8D-E694-4912-868C-AA7BDF7E1849}" sqref="F20" showErrorMessage="1" errorTitle="An invalid feedback was entered" error="Please choose feedback from drop down only.">
      <formula1>"Rollout,VIP,3G capacity"</formula1>
    </dataValidation>
    <dataValidation type="list" xr:uid="{A2CF0FD3-E4CD-4A46-A270-EBE9A50F9EAD}" sqref="G20" showErrorMessage="1" errorTitle="An invalid feedback was entered" error="Please choose feedback from drop down only.">
      <formula1>"Rollout,VIP,3G capacity"</formula1>
    </dataValidation>
    <dataValidation type="list" xr:uid="{82C7F9A3-CE9F-442F-B1E0-8831A4AB127D}" sqref="H20" showErrorMessage="1" errorTitle="An invalid feedback was entered" error="Please choose feedback from drop down only.">
      <formula1>"Rollout,VIP,3G capacity"</formula1>
    </dataValidation>
    <dataValidation type="list" xr:uid="{FBAA0CE4-0268-4242-BAAB-766687EE4BF1}" sqref="I20" showErrorMessage="1" errorTitle="An invalid feedback was entered" error="Please choose feedback from drop down only.">
      <formula1>"Rollout,VIP,3G capacity"</formula1>
    </dataValidation>
    <dataValidation type="list" xr:uid="{798ED5CC-E9F4-4F0B-9BFB-598DE7FA95F2}" sqref="J20" showErrorMessage="1" errorTitle="An invalid feedback was entered" error="Please choose feedback from drop down only.">
      <formula1>"Rollout,VIP,3G capacity"</formula1>
    </dataValidation>
    <dataValidation type="list" xr:uid="{65D6D44A-33FE-4A54-884F-4C363AC44FE3}" sqref="K20" showErrorMessage="1" errorTitle="An invalid feedback was entered" error="Please choose feedback from drop down only.">
      <formula1>"Rollout,VIP,3G capacity"</formula1>
    </dataValidation>
    <dataValidation type="list" xr:uid="{B6C4A54D-2D37-4D3F-B009-F4B358C9EE19}" sqref="L20" showErrorMessage="1" errorTitle="An invalid feedback was entered" error="Please choose feedback from drop down only.">
      <formula1>"Rollout,VIP,3G capacity"</formula1>
    </dataValidation>
    <dataValidation type="list" xr:uid="{9674E3B9-2A31-4543-8BAD-EBC3E2DA7648}" sqref="M20" showErrorMessage="1" errorTitle="An invalid feedback was entered" error="Please choose feedback from drop down only.">
      <formula1>"Rollout,VIP,3G capacity"</formula1>
    </dataValidation>
    <dataValidation type="list" xr:uid="{54B86498-6328-4F41-92DF-97B193655373}" sqref="N20" showErrorMessage="1" errorTitle="An invalid feedback was entered" error="Please choose feedback from drop down only.">
      <formula1>"Rollout,VIP,3G capacity"</formula1>
    </dataValidation>
    <dataValidation type="list" xr:uid="{68B61199-FC76-4ED9-9097-98F31C5F458D}" sqref="O20" showErrorMessage="1" errorTitle="An invalid feedback was entered" error="Please choose feedback from drop down only.">
      <formula1>"Rollout,VIP,3G capacity"</formula1>
    </dataValidation>
    <dataValidation type="list" xr:uid="{A7BE2808-F0F5-4C0D-A9AB-5B3403165DE1}" sqref="P20" showErrorMessage="1" errorTitle="An invalid feedback was entered" error="Please choose feedback from drop down only.">
      <formula1>"Rollout,VIP,3G capacity"</formula1>
    </dataValidation>
  </dataValidations>
  <pageMargins left="0.25" right="0.25" top="0.75" bottom="0.75" header="0.3" footer="0.3"/>
  <pageSetup scale="53" fitToHeight="0" orientation="landscape"/>
  <headerFooter/>
  <drawing r:id="rId2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mc:Ignorable="x14ac xr">
  <sheetPr codeName="Sheet2">
    <pageSetUpPr fitToPage="1"/>
  </sheetPr>
  <dimension ref="A1:U46"/>
  <sheetViews>
    <sheetView zoomScale="90" zoomScaleNormal="90" workbookViewId="0">
      <selection sqref="A1:B1"/>
    </sheetView>
  </sheetViews>
  <sheetFormatPr defaultColWidth="9.1328125" defaultRowHeight="12.75"/>
  <cols>
    <col min="1" max="1" bestFit="1" width="10.265625" customWidth="1" style="6"/>
    <col min="2" max="2" bestFit="1" width="40.1328125" customWidth="1" style="7"/>
    <col min="3" max="5" width="9.1328125" customWidth="1" style="2"/>
    <col min="6" max="6" width="9.1328125" customWidth="1" style="21"/>
    <col min="7" max="7" width="9.1328125" customWidth="1" style="2"/>
    <col min="8" max="8" bestFit="1" width="9.3984375" customWidth="1" style="2"/>
    <col min="9" max="15" width="9.1328125" customWidth="1" style="2"/>
    <col min="16" max="16" width="9.1328125" customWidth="1" style="21"/>
    <col min="17" max="16384" width="9.1328125" customWidth="1" style="2"/>
  </cols>
  <sheetData>
    <row r="1" ht="25.15" customHeight="1">
      <c r="A1" s="197">
        <f>Common!B2</f>
        <v>0</v>
      </c>
      <c r="B1" s="198"/>
      <c r="C1" s="194" t="s">
        <v>68</v>
      </c>
      <c r="D1" s="195"/>
      <c r="E1" s="195"/>
      <c r="F1" s="195"/>
      <c r="G1" s="195"/>
      <c r="H1" s="195"/>
      <c r="I1" s="195"/>
      <c r="J1" s="195"/>
      <c r="K1" s="195"/>
      <c r="L1" s="195"/>
      <c r="M1" s="195"/>
      <c r="N1" s="195"/>
      <c r="O1" s="195"/>
      <c r="P1" s="196"/>
    </row>
    <row r="2" ht="18">
      <c r="A2" s="33"/>
      <c r="B2" s="14" t="s">
        <v>1</v>
      </c>
      <c r="C2" s="217">
        <v>1</v>
      </c>
      <c r="D2" s="218"/>
      <c r="E2" s="218"/>
      <c r="F2" s="218"/>
      <c r="G2" s="218"/>
      <c r="H2" s="219"/>
      <c r="I2" s="220">
        <v>2</v>
      </c>
      <c r="J2" s="221"/>
      <c r="K2" s="221"/>
      <c r="L2" s="222"/>
      <c r="M2" s="220">
        <v>3</v>
      </c>
      <c r="N2" s="221"/>
      <c r="O2" s="222"/>
      <c r="P2" s="72">
        <v>4</v>
      </c>
    </row>
    <row r="3" ht="17.25">
      <c r="A3" s="241"/>
      <c r="B3" s="12" t="s">
        <v>2</v>
      </c>
      <c r="C3" s="211"/>
      <c r="D3" s="212"/>
      <c r="E3" s="212"/>
      <c r="F3" s="212"/>
      <c r="G3" s="212"/>
      <c r="H3" s="212"/>
      <c r="I3" s="212"/>
      <c r="J3" s="212"/>
      <c r="K3" s="212"/>
      <c r="L3" s="212"/>
      <c r="M3" s="212"/>
      <c r="N3" s="212"/>
      <c r="O3" s="212"/>
      <c r="P3" s="213"/>
    </row>
    <row r="4" ht="25.15" s="5" customFormat="1">
      <c r="A4" s="241"/>
      <c r="B4" s="9" t="s">
        <v>3</v>
      </c>
      <c r="C4" s="242"/>
      <c r="D4" s="243"/>
      <c r="E4" s="243"/>
      <c r="F4" s="243"/>
      <c r="G4" s="243"/>
      <c r="H4" s="243"/>
      <c r="I4" s="243"/>
      <c r="J4" s="243"/>
      <c r="K4" s="243"/>
      <c r="L4" s="243"/>
      <c r="M4" s="243"/>
      <c r="N4" s="243"/>
      <c r="O4" s="243"/>
      <c r="P4" s="244"/>
    </row>
    <row r="5" ht="24.75">
      <c r="A5" s="241"/>
      <c r="B5" s="82" t="s">
        <v>4</v>
      </c>
      <c r="C5" s="245">
        <v>90</v>
      </c>
      <c r="D5" s="246"/>
      <c r="E5" s="246"/>
      <c r="F5" s="246"/>
      <c r="G5" s="246"/>
      <c r="H5" s="246"/>
      <c r="I5" s="246"/>
      <c r="J5" s="246"/>
      <c r="K5" s="246"/>
      <c r="L5" s="246"/>
      <c r="M5" s="246"/>
      <c r="N5" s="246"/>
      <c r="O5" s="246"/>
      <c r="P5" s="247"/>
    </row>
    <row r="6" ht="25.15" s="5" customFormat="1">
      <c r="A6" s="241"/>
      <c r="B6" s="83" t="s">
        <v>5</v>
      </c>
      <c r="C6" s="248"/>
      <c r="D6" s="249"/>
      <c r="E6" s="249"/>
      <c r="F6" s="249"/>
      <c r="G6" s="249"/>
      <c r="H6" s="249"/>
      <c r="I6" s="249"/>
      <c r="J6" s="249"/>
      <c r="K6" s="249"/>
      <c r="L6" s="249"/>
      <c r="M6" s="249"/>
      <c r="N6" s="249"/>
      <c r="O6" s="249"/>
      <c r="P6" s="250"/>
    </row>
    <row r="7" ht="17.25">
      <c r="A7" s="241"/>
      <c r="B7" s="8" t="s">
        <v>6</v>
      </c>
      <c r="C7" s="226" t="s">
        <v>7</v>
      </c>
      <c r="D7" s="227"/>
      <c r="E7" s="227"/>
      <c r="F7" s="227"/>
      <c r="G7" s="227"/>
      <c r="H7" s="228"/>
      <c r="I7" s="227"/>
      <c r="J7" s="227"/>
      <c r="K7" s="227"/>
      <c r="L7" s="228"/>
      <c r="M7" s="226"/>
      <c r="N7" s="227"/>
      <c r="O7" s="228"/>
      <c r="P7" s="94"/>
    </row>
    <row r="8" ht="17.65" s="5" customFormat="1">
      <c r="A8" s="241"/>
      <c r="B8" s="9" t="s">
        <v>8</v>
      </c>
      <c r="C8" s="229" t="s">
        <v>7</v>
      </c>
      <c r="D8" s="230"/>
      <c r="E8" s="230"/>
      <c r="F8" s="230"/>
      <c r="G8" s="230"/>
      <c r="H8" s="231"/>
      <c r="I8" s="229"/>
      <c r="J8" s="230"/>
      <c r="K8" s="230"/>
      <c r="L8" s="231"/>
      <c r="M8" s="229"/>
      <c r="N8" s="230"/>
      <c r="O8" s="231"/>
      <c r="P8" s="95"/>
    </row>
    <row r="9" ht="17.25">
      <c r="A9" s="241"/>
      <c r="B9" s="8" t="s">
        <v>9</v>
      </c>
      <c r="C9" s="211" t="s">
        <v>10</v>
      </c>
      <c r="D9" s="212"/>
      <c r="E9" s="212"/>
      <c r="F9" s="212"/>
      <c r="G9" s="212"/>
      <c r="H9" s="213"/>
      <c r="I9" s="212"/>
      <c r="J9" s="212"/>
      <c r="K9" s="212"/>
      <c r="L9" s="213"/>
      <c r="M9" s="211"/>
      <c r="N9" s="212"/>
      <c r="O9" s="213"/>
      <c r="P9" s="94"/>
    </row>
    <row r="10" ht="17.65" s="5" customFormat="1">
      <c r="A10" s="241"/>
      <c r="B10" s="10" t="s">
        <v>11</v>
      </c>
      <c r="C10" s="229"/>
      <c r="D10" s="230"/>
      <c r="E10" s="230"/>
      <c r="F10" s="230"/>
      <c r="G10" s="230"/>
      <c r="H10" s="231"/>
      <c r="I10" s="229"/>
      <c r="J10" s="230"/>
      <c r="K10" s="230"/>
      <c r="L10" s="231"/>
      <c r="M10" s="229"/>
      <c r="N10" s="230"/>
      <c r="O10" s="231"/>
      <c r="P10" s="95"/>
    </row>
    <row r="11" ht="17.25">
      <c r="A11" s="241"/>
      <c r="B11" s="8" t="s">
        <v>12</v>
      </c>
      <c r="C11" s="211">
        <v>24</v>
      </c>
      <c r="D11" s="212"/>
      <c r="E11" s="212"/>
      <c r="F11" s="212"/>
      <c r="G11" s="212"/>
      <c r="H11" s="213"/>
      <c r="I11" s="212"/>
      <c r="J11" s="212"/>
      <c r="K11" s="212"/>
      <c r="L11" s="213"/>
      <c r="M11" s="211"/>
      <c r="N11" s="212"/>
      <c r="O11" s="213"/>
      <c r="P11" s="94"/>
    </row>
    <row r="12" ht="17.65" s="5" customFormat="1">
      <c r="A12" s="241"/>
      <c r="B12" s="10" t="s">
        <v>13</v>
      </c>
      <c r="C12" s="214"/>
      <c r="D12" s="215"/>
      <c r="E12" s="215"/>
      <c r="F12" s="215"/>
      <c r="G12" s="215"/>
      <c r="H12" s="216"/>
      <c r="I12" s="214"/>
      <c r="J12" s="215"/>
      <c r="K12" s="215"/>
      <c r="L12" s="216"/>
      <c r="M12" s="214"/>
      <c r="N12" s="215"/>
      <c r="O12" s="216"/>
      <c r="P12" s="95"/>
    </row>
    <row r="13" ht="17.25">
      <c r="A13" s="241"/>
      <c r="B13" s="8" t="s">
        <v>14</v>
      </c>
      <c r="C13" s="211"/>
      <c r="D13" s="212"/>
      <c r="E13" s="212"/>
      <c r="F13" s="212"/>
      <c r="G13" s="212"/>
      <c r="H13" s="213"/>
      <c r="I13" s="212"/>
      <c r="J13" s="212"/>
      <c r="K13" s="212"/>
      <c r="L13" s="213"/>
      <c r="M13" s="211"/>
      <c r="N13" s="212"/>
      <c r="O13" s="213"/>
      <c r="P13" s="94"/>
    </row>
    <row r="14" ht="17.65" s="5" customFormat="1">
      <c r="A14" s="241"/>
      <c r="B14" s="10" t="s">
        <v>15</v>
      </c>
      <c r="C14" s="208"/>
      <c r="D14" s="209"/>
      <c r="E14" s="209"/>
      <c r="F14" s="209"/>
      <c r="G14" s="209"/>
      <c r="H14" s="210"/>
      <c r="I14" s="208"/>
      <c r="J14" s="209"/>
      <c r="K14" s="209"/>
      <c r="L14" s="210"/>
      <c r="M14" s="208"/>
      <c r="N14" s="209"/>
      <c r="O14" s="210"/>
      <c r="P14" s="96"/>
    </row>
    <row r="15" ht="17.25">
      <c r="A15" s="241"/>
      <c r="B15" s="8" t="s">
        <v>16</v>
      </c>
      <c r="C15" s="211">
        <v>-2</v>
      </c>
      <c r="D15" s="212"/>
      <c r="E15" s="212"/>
      <c r="F15" s="212"/>
      <c r="G15" s="212"/>
      <c r="H15" s="213"/>
      <c r="I15" s="212"/>
      <c r="J15" s="212"/>
      <c r="K15" s="212"/>
      <c r="L15" s="213"/>
      <c r="M15" s="211"/>
      <c r="N15" s="212"/>
      <c r="O15" s="213"/>
      <c r="P15" s="97"/>
    </row>
    <row r="16" ht="17.25" s="5" customFormat="1">
      <c r="A16" s="241"/>
      <c r="B16" s="68" t="s">
        <v>17</v>
      </c>
      <c r="C16" s="199"/>
      <c r="D16" s="200"/>
      <c r="E16" s="200"/>
      <c r="F16" s="200"/>
      <c r="G16" s="200"/>
      <c r="H16" s="201"/>
      <c r="I16" s="202"/>
      <c r="J16" s="203"/>
      <c r="K16" s="203"/>
      <c r="L16" s="204"/>
      <c r="M16" s="205"/>
      <c r="N16" s="206"/>
      <c r="O16" s="207"/>
      <c r="P16" s="98"/>
    </row>
    <row r="17" ht="17.25">
      <c r="A17" s="241"/>
      <c r="B17" s="84" t="s">
        <v>18</v>
      </c>
      <c r="C17" s="65" t="s">
        <v>19</v>
      </c>
      <c r="D17" s="65" t="s">
        <v>20</v>
      </c>
      <c r="E17" s="65" t="s">
        <v>21</v>
      </c>
      <c r="F17" s="65" t="s">
        <v>22</v>
      </c>
      <c r="G17" s="65" t="s">
        <v>23</v>
      </c>
      <c r="H17" s="65" t="s">
        <v>24</v>
      </c>
      <c r="I17" s="65" t="s">
        <v>19</v>
      </c>
      <c r="J17" s="65" t="s">
        <v>20</v>
      </c>
      <c r="K17" s="65" t="s">
        <v>21</v>
      </c>
      <c r="L17" s="65" t="s">
        <v>22</v>
      </c>
      <c r="M17" s="65" t="s">
        <v>19</v>
      </c>
      <c r="N17" s="65" t="s">
        <v>20</v>
      </c>
      <c r="O17" s="65" t="s">
        <v>21</v>
      </c>
      <c r="P17" s="76" t="s">
        <v>19</v>
      </c>
    </row>
    <row r="18" ht="17.25" s="21" customFormat="1">
      <c r="A18" s="241"/>
      <c r="B18" s="84" t="s">
        <v>25</v>
      </c>
      <c r="C18" s="63" t="s">
        <v>26</v>
      </c>
      <c r="D18" s="64" t="s">
        <v>27</v>
      </c>
      <c r="E18" s="64" t="s">
        <v>28</v>
      </c>
      <c r="F18" s="64" t="s">
        <v>29</v>
      </c>
      <c r="G18" s="64" t="s">
        <v>30</v>
      </c>
      <c r="H18" s="65" t="s">
        <v>31</v>
      </c>
      <c r="I18" s="63"/>
      <c r="J18" s="64"/>
      <c r="K18" s="64"/>
      <c r="L18" s="65"/>
      <c r="M18" s="63"/>
      <c r="N18" s="64"/>
      <c r="O18" s="65"/>
      <c r="P18" s="77"/>
    </row>
    <row r="19" ht="17.25" s="21" customFormat="1">
      <c r="A19" s="241"/>
      <c r="B19" s="85" t="s">
        <v>32</v>
      </c>
      <c r="C19" s="99">
        <f>VLOOKUP(C8,AntennasPortName!A:H,2,FALSE)</f>
      </c>
      <c r="D19" s="99">
        <f>VLOOKUP(C8,AntennasPortName!A:H,3,FALSE)</f>
      </c>
      <c r="E19" s="99">
        <f>VLOOKUP(C8,AntennasPortName!A:H,4,FALSE)</f>
      </c>
      <c r="F19" s="99">
        <f>VLOOKUP(C8,AntennasPortName!A:H,5,FALSE)</f>
      </c>
      <c r="G19" s="99">
        <f>VLOOKUP(C8,AntennasPortName!A:H,6,FALSE)</f>
      </c>
      <c r="H19" s="99">
        <f>VLOOKUP(C8,AntennasPortName!A:H,7,FALSE)</f>
      </c>
      <c r="I19" s="99">
        <f>VLOOKUP(I8,AntennasPortName!A:H,2,FALSE)</f>
      </c>
      <c r="J19" s="99">
        <f>VLOOKUP(I8,AntennasPortName!A:H,3,FALSE)</f>
      </c>
      <c r="K19" s="99">
        <f>VLOOKUP(I8,AntennasPortName!A:H,4,FALSE)</f>
      </c>
      <c r="L19" s="99">
        <f>VLOOKUP(I8,AntennasPortName!A:H,5,FALSE)</f>
      </c>
      <c r="M19" s="99">
        <f>VLOOKUP(M8,AntennasPortName!A:H,2,FALSE)</f>
      </c>
      <c r="N19" s="99">
        <f>VLOOKUP(M8,AntennasPortName!A:H,3,FALSE)</f>
      </c>
      <c r="O19" s="99">
        <f>VLOOKUP(M8,AntennasPortName!A:H,4,FALSE)</f>
      </c>
      <c r="P19" s="99">
        <f>VLOOKUP(P8,AntennasPortName!A:H,2,FALSE)</f>
      </c>
    </row>
    <row r="20" ht="17.25">
      <c r="A20" s="241"/>
      <c r="B20" s="86" t="s">
        <v>33</v>
      </c>
      <c r="C20" s="61" t="s">
        <v>34</v>
      </c>
      <c r="D20" s="62" t="s">
        <v>34</v>
      </c>
      <c r="E20" s="62" t="s">
        <v>35</v>
      </c>
      <c r="F20" s="62" t="s">
        <v>35</v>
      </c>
      <c r="G20" s="62" t="s">
        <v>35</v>
      </c>
      <c r="H20" s="62" t="s">
        <v>35</v>
      </c>
      <c r="I20" s="61"/>
      <c r="J20" s="62"/>
      <c r="K20" s="62"/>
      <c r="L20" s="66"/>
      <c r="M20" s="67"/>
      <c r="N20" s="62"/>
      <c r="O20" s="66"/>
      <c r="P20" s="66"/>
    </row>
    <row r="21" ht="17.65">
      <c r="A21" s="241"/>
      <c r="B21" s="87" t="s">
        <v>36</v>
      </c>
      <c r="C21" s="42">
        <f>VLOOKUP(C8,Antennas!A:H,2,FALSE)</f>
      </c>
      <c r="D21" s="43">
        <f>VLOOKUP(C8,Antennas!A:H,3,FALSE)</f>
      </c>
      <c r="E21" s="43">
        <f>VLOOKUP(C8,Antennas!A:H,4,FALSE)</f>
      </c>
      <c r="F21" s="43">
        <f>VLOOKUP(C8,Antennas!A:H,5,FALSE)</f>
      </c>
      <c r="G21" s="43">
        <f>VLOOKUP(C8,Antennas!A:H,6,FALSE)</f>
      </c>
      <c r="H21" s="43">
        <f>VLOOKUP(C8,Antennas!A:H,7,FALSE)</f>
      </c>
      <c r="I21" s="43">
        <f>VLOOKUP(I8,Antennas!A:H,2,FALSE)</f>
      </c>
      <c r="J21" s="43">
        <f>VLOOKUP(I8,Antennas!A:H,3,FALSE)</f>
      </c>
      <c r="K21" s="43">
        <f>VLOOKUP(I8,Antennas!A:H,4,FALSE)</f>
      </c>
      <c r="L21" s="44">
        <f>VLOOKUP(I8,Antennas!A:H,5,FALSE)</f>
      </c>
      <c r="M21" s="45">
        <f>VLOOKUP(M8,Antennas!A:H,2,FALSE)</f>
      </c>
      <c r="N21" s="43">
        <f>VLOOKUP(M8,Antennas!A:H,3,FALSE)</f>
      </c>
      <c r="O21" s="42">
        <f>VLOOKUP(M8,Antennas!A:H,4,FALSE)</f>
      </c>
      <c r="P21" s="42">
        <f>VLOOKUP(P8,Antennas!A:H,2,FALSE)</f>
      </c>
      <c r="R21" s="17"/>
    </row>
    <row r="22" ht="17.65" s="5" customFormat="1">
      <c r="A22" s="241"/>
      <c r="B22" s="68" t="s">
        <v>37</v>
      </c>
      <c r="C22" s="46"/>
      <c r="D22" s="47"/>
      <c r="E22" s="47"/>
      <c r="F22" s="47"/>
      <c r="G22" s="47"/>
      <c r="H22" s="47"/>
      <c r="I22" s="47"/>
      <c r="J22" s="47"/>
      <c r="K22" s="47"/>
      <c r="L22" s="48"/>
      <c r="M22" s="49"/>
      <c r="N22" s="47"/>
      <c r="O22" s="50"/>
      <c r="P22" s="50"/>
    </row>
    <row r="23" ht="17.65" s="22" customFormat="1">
      <c r="A23" s="241"/>
      <c r="B23" s="68" t="s">
        <v>38</v>
      </c>
      <c r="C23" s="51"/>
      <c r="D23" s="51"/>
      <c r="E23" s="51"/>
      <c r="F23" s="51"/>
      <c r="G23" s="51"/>
      <c r="H23" s="51"/>
      <c r="I23" s="51"/>
      <c r="J23" s="51"/>
      <c r="K23" s="51"/>
      <c r="L23" s="51"/>
      <c r="M23" s="51"/>
      <c r="N23" s="51"/>
      <c r="O23" s="51"/>
      <c r="P23" s="51"/>
    </row>
    <row r="24" ht="17.25">
      <c r="A24" s="241"/>
      <c r="B24" s="88" t="s">
        <v>39</v>
      </c>
      <c r="C24" s="25" t="s">
        <v>40</v>
      </c>
      <c r="D24" s="25" t="s">
        <v>41</v>
      </c>
      <c r="E24" s="25" t="s">
        <v>41</v>
      </c>
      <c r="F24" s="25" t="s">
        <v>41</v>
      </c>
      <c r="G24" s="25" t="s">
        <v>42</v>
      </c>
      <c r="H24" s="25" t="s">
        <v>41</v>
      </c>
      <c r="I24" s="25"/>
      <c r="J24" s="25"/>
      <c r="K24" s="25"/>
      <c r="L24" s="25"/>
      <c r="M24" s="25"/>
      <c r="N24" s="25"/>
      <c r="O24" s="25"/>
      <c r="P24" s="25"/>
    </row>
    <row r="25" ht="17.65" s="5" customFormat="1">
      <c r="A25" s="241"/>
      <c r="B25" s="10" t="s">
        <v>43</v>
      </c>
      <c r="C25" s="51"/>
      <c r="D25" s="51"/>
      <c r="E25" s="51"/>
      <c r="F25" s="51"/>
      <c r="G25" s="51"/>
      <c r="H25" s="51"/>
      <c r="I25" s="51"/>
      <c r="J25" s="51"/>
      <c r="K25" s="51"/>
      <c r="L25" s="51"/>
      <c r="M25" s="51"/>
      <c r="N25" s="51"/>
      <c r="O25" s="51"/>
      <c r="P25" s="78"/>
    </row>
    <row r="26" ht="17.25">
      <c r="A26" s="241"/>
      <c r="B26" s="8" t="s">
        <v>44</v>
      </c>
      <c r="C26" s="24">
        <v>0</v>
      </c>
      <c r="D26" s="24">
        <v>0</v>
      </c>
      <c r="E26" s="24">
        <v>0</v>
      </c>
      <c r="F26" s="24">
        <v>0</v>
      </c>
      <c r="G26" s="24">
        <v>2</v>
      </c>
      <c r="H26" s="24">
        <v>0</v>
      </c>
      <c r="I26" s="24"/>
      <c r="J26" s="24"/>
      <c r="K26" s="24"/>
      <c r="L26" s="24"/>
      <c r="M26" s="24"/>
      <c r="N26" s="24"/>
      <c r="O26" s="24"/>
      <c r="P26" s="24"/>
    </row>
    <row r="27" ht="17.65" s="5" customFormat="1">
      <c r="A27" s="241"/>
      <c r="B27" s="89" t="s">
        <v>45</v>
      </c>
      <c r="C27" s="52"/>
      <c r="D27" s="52"/>
      <c r="E27" s="52"/>
      <c r="F27" s="52"/>
      <c r="G27" s="52"/>
      <c r="H27" s="52"/>
      <c r="I27" s="52"/>
      <c r="J27" s="52"/>
      <c r="K27" s="52"/>
      <c r="L27" s="52"/>
      <c r="M27" s="52"/>
      <c r="N27" s="52"/>
      <c r="O27" s="52"/>
      <c r="P27" s="52"/>
    </row>
    <row r="28" ht="17.25">
      <c r="A28" s="241"/>
      <c r="B28" s="88" t="s">
        <v>46</v>
      </c>
      <c r="C28" s="24"/>
      <c r="D28" s="24"/>
      <c r="E28" s="24"/>
      <c r="F28" s="24"/>
      <c r="G28" s="24"/>
      <c r="H28" s="24"/>
      <c r="I28" s="24"/>
      <c r="J28" s="24"/>
      <c r="K28" s="24"/>
      <c r="L28" s="24"/>
      <c r="M28" s="24"/>
      <c r="N28" s="24"/>
      <c r="O28" s="24"/>
      <c r="P28" s="24"/>
    </row>
    <row r="29" ht="17.65" s="5" customFormat="1">
      <c r="A29" s="241"/>
      <c r="B29" s="9" t="s">
        <v>47</v>
      </c>
      <c r="C29" s="51"/>
      <c r="D29" s="51"/>
      <c r="E29" s="51"/>
      <c r="F29" s="51"/>
      <c r="G29" s="51"/>
      <c r="H29" s="51"/>
      <c r="I29" s="51"/>
      <c r="J29" s="51"/>
      <c r="K29" s="51"/>
      <c r="L29" s="51"/>
      <c r="M29" s="51"/>
      <c r="N29" s="51"/>
      <c r="O29" s="51"/>
      <c r="P29" s="78"/>
    </row>
    <row r="30" ht="17.25">
      <c r="A30" s="241"/>
      <c r="B30" s="8" t="s">
        <v>48</v>
      </c>
      <c r="C30" s="24" t="s">
        <v>49</v>
      </c>
      <c r="D30" s="24"/>
      <c r="E30" s="24"/>
      <c r="F30" s="24"/>
      <c r="G30" s="24" t="s">
        <v>49</v>
      </c>
      <c r="H30" s="24"/>
      <c r="I30" s="24"/>
      <c r="J30" s="24"/>
      <c r="K30" s="24"/>
      <c r="L30" s="24"/>
      <c r="M30" s="24"/>
      <c r="N30" s="24"/>
      <c r="O30" s="24"/>
      <c r="P30" s="24"/>
    </row>
    <row r="31" ht="17.65" s="5" customFormat="1">
      <c r="A31" s="241"/>
      <c r="B31" s="89" t="s">
        <v>50</v>
      </c>
      <c r="C31" s="53"/>
      <c r="D31" s="53"/>
      <c r="E31" s="53"/>
      <c r="F31" s="53"/>
      <c r="G31" s="53"/>
      <c r="H31" s="53"/>
      <c r="I31" s="53"/>
      <c r="J31" s="53"/>
      <c r="K31" s="53"/>
      <c r="L31" s="53"/>
      <c r="M31" s="53"/>
      <c r="N31" s="53"/>
      <c r="O31" s="53"/>
      <c r="P31" s="79"/>
    </row>
    <row r="32" ht="17.25">
      <c r="A32" s="241"/>
      <c r="B32" s="88" t="s">
        <v>51</v>
      </c>
      <c r="C32" s="25">
        <v>15</v>
      </c>
      <c r="D32" s="25">
        <v>0</v>
      </c>
      <c r="E32" s="25">
        <v>0</v>
      </c>
      <c r="F32" s="25">
        <v>0</v>
      </c>
      <c r="G32" s="25">
        <v>22</v>
      </c>
      <c r="H32" s="25">
        <v>0</v>
      </c>
      <c r="I32" s="25"/>
      <c r="J32" s="25"/>
      <c r="K32" s="25"/>
      <c r="L32" s="25"/>
      <c r="M32" s="25"/>
      <c r="N32" s="25"/>
      <c r="O32" s="25"/>
      <c r="P32" s="25"/>
    </row>
    <row r="33" ht="17.65" s="5" customFormat="1">
      <c r="A33" s="241"/>
      <c r="B33" s="89" t="s">
        <v>52</v>
      </c>
      <c r="C33" s="51"/>
      <c r="D33" s="51"/>
      <c r="E33" s="51"/>
      <c r="F33" s="51"/>
      <c r="G33" s="51"/>
      <c r="H33" s="51"/>
      <c r="I33" s="51"/>
      <c r="J33" s="51"/>
      <c r="K33" s="51"/>
      <c r="L33" s="51"/>
      <c r="M33" s="51"/>
      <c r="N33" s="51"/>
      <c r="O33" s="51"/>
      <c r="P33" s="78"/>
    </row>
    <row r="34" ht="17.25">
      <c r="A34" s="241"/>
      <c r="B34" s="27" t="s">
        <v>53</v>
      </c>
      <c r="C34" s="24" t="s">
        <v>54</v>
      </c>
      <c r="D34" s="24"/>
      <c r="E34" s="24"/>
      <c r="F34" s="24"/>
      <c r="G34" s="24" t="s">
        <v>69</v>
      </c>
      <c r="H34" s="24"/>
      <c r="I34" s="24"/>
      <c r="J34" s="24"/>
      <c r="K34" s="24"/>
      <c r="L34" s="24"/>
      <c r="M34" s="24"/>
      <c r="N34" s="24"/>
      <c r="O34" s="24"/>
      <c r="P34" s="24"/>
      <c r="U34" s="22"/>
    </row>
    <row r="35" ht="17.65" s="5" customFormat="1">
      <c r="A35" s="241"/>
      <c r="B35" s="28" t="s">
        <v>56</v>
      </c>
      <c r="C35" s="51"/>
      <c r="D35" s="51"/>
      <c r="E35" s="51"/>
      <c r="F35" s="51"/>
      <c r="G35" s="51"/>
      <c r="H35" s="51"/>
      <c r="I35" s="51"/>
      <c r="J35" s="51"/>
      <c r="K35" s="51"/>
      <c r="L35" s="51"/>
      <c r="M35" s="51"/>
      <c r="N35" s="51"/>
      <c r="O35" s="51"/>
      <c r="P35" s="78"/>
      <c r="U35" s="21"/>
    </row>
    <row r="36" ht="17.25">
      <c r="A36" s="241"/>
      <c r="B36" s="11" t="s">
        <v>57</v>
      </c>
      <c r="C36" s="25" t="s">
        <v>58</v>
      </c>
      <c r="D36" s="25"/>
      <c r="E36" s="25"/>
      <c r="F36" s="25"/>
      <c r="G36" s="25" t="s">
        <v>59</v>
      </c>
      <c r="H36" s="25"/>
      <c r="I36" s="25"/>
      <c r="J36" s="25"/>
      <c r="K36" s="25"/>
      <c r="L36" s="25"/>
      <c r="M36" s="25"/>
      <c r="N36" s="25"/>
      <c r="O36" s="25"/>
      <c r="P36" s="25"/>
    </row>
    <row r="37" ht="17.65" s="5" customFormat="1">
      <c r="A37" s="241"/>
      <c r="B37" s="28" t="s">
        <v>60</v>
      </c>
      <c r="C37" s="51"/>
      <c r="D37" s="51"/>
      <c r="E37" s="51"/>
      <c r="F37" s="51"/>
      <c r="G37" s="51"/>
      <c r="H37" s="51"/>
      <c r="I37" s="51"/>
      <c r="J37" s="51"/>
      <c r="K37" s="51"/>
      <c r="L37" s="51"/>
      <c r="M37" s="51"/>
      <c r="N37" s="51"/>
      <c r="O37" s="51"/>
      <c r="P37" s="78"/>
    </row>
    <row r="38" ht="17.25">
      <c r="A38" s="241"/>
      <c r="B38" s="11" t="s">
        <v>61</v>
      </c>
      <c r="C38" s="25" t="s">
        <v>62</v>
      </c>
      <c r="D38" s="25"/>
      <c r="E38" s="25"/>
      <c r="F38" s="25"/>
      <c r="G38" s="25" t="s">
        <v>70</v>
      </c>
      <c r="H38" s="25"/>
      <c r="I38" s="25"/>
      <c r="J38" s="25"/>
      <c r="K38" s="25"/>
      <c r="L38" s="25"/>
      <c r="M38" s="25"/>
      <c r="N38" s="25"/>
      <c r="O38" s="25"/>
      <c r="P38" s="25"/>
    </row>
    <row r="39" ht="17.65" s="5" customFormat="1">
      <c r="A39" s="241"/>
      <c r="B39" s="28" t="s">
        <v>64</v>
      </c>
      <c r="C39" s="51"/>
      <c r="D39" s="51"/>
      <c r="E39" s="51"/>
      <c r="F39" s="51"/>
      <c r="G39" s="51"/>
      <c r="H39" s="51"/>
      <c r="I39" s="51"/>
      <c r="J39" s="51"/>
      <c r="K39" s="51"/>
      <c r="L39" s="51"/>
      <c r="M39" s="51"/>
      <c r="N39" s="51"/>
      <c r="O39" s="51"/>
      <c r="P39" s="78"/>
    </row>
    <row r="40" ht="17.25">
      <c r="A40" s="241"/>
      <c r="B40" s="11" t="s">
        <v>65</v>
      </c>
      <c r="C40" s="26" t="s">
        <v>62</v>
      </c>
      <c r="D40" s="26"/>
      <c r="E40" s="26"/>
      <c r="F40" s="26"/>
      <c r="G40" s="26" t="s">
        <v>62</v>
      </c>
      <c r="H40" s="26"/>
      <c r="I40" s="26"/>
      <c r="J40" s="26"/>
      <c r="K40" s="26"/>
      <c r="L40" s="26"/>
      <c r="M40" s="26"/>
      <c r="N40" s="26"/>
      <c r="O40" s="26"/>
      <c r="P40" s="26"/>
    </row>
    <row r="41" ht="17.65" s="5" customFormat="1">
      <c r="A41" s="241"/>
      <c r="B41" s="29" t="s">
        <v>66</v>
      </c>
      <c r="C41" s="51"/>
      <c r="D41" s="51"/>
      <c r="E41" s="51"/>
      <c r="F41" s="51"/>
      <c r="G41" s="51"/>
      <c r="H41" s="51"/>
      <c r="I41" s="51"/>
      <c r="J41" s="51"/>
      <c r="K41" s="51"/>
      <c r="L41" s="51"/>
      <c r="M41" s="51"/>
      <c r="N41" s="51"/>
      <c r="O41" s="51"/>
      <c r="P41" s="78"/>
    </row>
    <row r="42" ht="12.75" customHeight="1">
      <c r="A42" s="223" t="s">
        <v>67</v>
      </c>
      <c r="B42" s="280"/>
      <c r="C42" s="233"/>
      <c r="D42" s="233"/>
      <c r="E42" s="233"/>
      <c r="F42" s="233"/>
      <c r="G42" s="233"/>
      <c r="H42" s="233"/>
      <c r="I42" s="233"/>
      <c r="J42" s="233"/>
      <c r="K42" s="233"/>
      <c r="L42" s="233"/>
      <c r="M42" s="233"/>
      <c r="N42" s="233"/>
      <c r="O42" s="233"/>
      <c r="P42" s="234"/>
      <c r="Q42" s="5"/>
      <c r="R42" s="5"/>
      <c r="S42" s="5"/>
    </row>
    <row r="43" ht="13.15" customHeight="1">
      <c r="A43" s="224"/>
      <c r="B43" s="235"/>
      <c r="C43" s="236"/>
      <c r="D43" s="236"/>
      <c r="E43" s="236"/>
      <c r="F43" s="236"/>
      <c r="G43" s="236"/>
      <c r="H43" s="236"/>
      <c r="I43" s="236"/>
      <c r="J43" s="236"/>
      <c r="K43" s="236"/>
      <c r="L43" s="236"/>
      <c r="M43" s="236"/>
      <c r="N43" s="236"/>
      <c r="O43" s="236"/>
      <c r="P43" s="237"/>
      <c r="Q43" s="22"/>
      <c r="R43" s="5"/>
      <c r="S43" s="5"/>
    </row>
    <row r="44" ht="13.15" customHeight="1">
      <c r="A44" s="224"/>
      <c r="B44" s="235"/>
      <c r="C44" s="236"/>
      <c r="D44" s="236"/>
      <c r="E44" s="236"/>
      <c r="F44" s="236"/>
      <c r="G44" s="236"/>
      <c r="H44" s="236"/>
      <c r="I44" s="236"/>
      <c r="J44" s="236"/>
      <c r="K44" s="236"/>
      <c r="L44" s="236"/>
      <c r="M44" s="236"/>
      <c r="N44" s="236"/>
      <c r="O44" s="236"/>
      <c r="P44" s="237"/>
      <c r="Q44" s="5"/>
      <c r="R44" s="5"/>
      <c r="S44" s="5"/>
    </row>
    <row r="45" ht="13.9" customHeight="1">
      <c r="A45" s="225"/>
      <c r="B45" s="238"/>
      <c r="C45" s="239"/>
      <c r="D45" s="239"/>
      <c r="E45" s="239"/>
      <c r="F45" s="239"/>
      <c r="G45" s="239"/>
      <c r="H45" s="239"/>
      <c r="I45" s="239"/>
      <c r="J45" s="239"/>
      <c r="K45" s="239"/>
      <c r="L45" s="239"/>
      <c r="M45" s="239"/>
      <c r="N45" s="239"/>
      <c r="O45" s="239"/>
      <c r="P45" s="240"/>
      <c r="Q45" s="5"/>
      <c r="R45" s="5"/>
      <c r="S45" s="5"/>
    </row>
    <row r="46">
      <c r="G46" s="21"/>
    </row>
  </sheetData>
  <mergeCells>
    <mergeCell ref="B42:P45"/>
    <mergeCell ref="A3:A33"/>
    <mergeCell ref="A34:A35"/>
    <mergeCell ref="A36:A41"/>
    <mergeCell ref="I11:L11"/>
    <mergeCell ref="M11:O11"/>
    <mergeCell ref="C4:P4"/>
    <mergeCell ref="C3:P3"/>
    <mergeCell ref="C5:P5"/>
    <mergeCell ref="C6:P6"/>
    <mergeCell ref="M10:O10"/>
    <mergeCell ref="C11:H11"/>
    <mergeCell ref="C2:H2"/>
    <mergeCell ref="I2:L2"/>
    <mergeCell ref="M2:O2"/>
    <mergeCell ref="A42:A45"/>
    <mergeCell ref="C7:H7"/>
    <mergeCell ref="I7:L7"/>
    <mergeCell ref="M7:O7"/>
    <mergeCell ref="C9:H9"/>
    <mergeCell ref="I9:L9"/>
    <mergeCell ref="M9:O9"/>
    <mergeCell ref="C8:H8"/>
    <mergeCell ref="I8:L8"/>
    <mergeCell ref="M8:O8"/>
    <mergeCell ref="M13:O13"/>
    <mergeCell ref="C10:H10"/>
    <mergeCell ref="I10:L10"/>
    <mergeCell ref="C1:P1"/>
    <mergeCell ref="A1:B1"/>
    <mergeCell ref="C16:H16"/>
    <mergeCell ref="I16:L16"/>
    <mergeCell ref="M16:O16"/>
    <mergeCell ref="C14:H14"/>
    <mergeCell ref="I14:L14"/>
    <mergeCell ref="M14:O14"/>
    <mergeCell ref="C15:H15"/>
    <mergeCell ref="I15:L15"/>
    <mergeCell ref="M15:O15"/>
    <mergeCell ref="C12:H12"/>
    <mergeCell ref="I12:L12"/>
    <mergeCell ref="M12:O12"/>
    <mergeCell ref="C13:H13"/>
    <mergeCell ref="I13:L13"/>
  </mergeCells>
  <conditionalFormatting sqref="C22:E22 C4 H22:O22">
    <cfRule type="cellIs" dxfId="0" priority="143" operator="greaterThan">
      <formula>0</formula>
    </cfRule>
  </conditionalFormatting>
  <conditionalFormatting sqref="C21:E21 H21:O21">
    <cfRule type="expression" dxfId="1" priority="122">
      <formula>ISERROR(C21)</formula>
    </cfRule>
  </conditionalFormatting>
  <conditionalFormatting sqref="C21:E21 H21:O21">
    <cfRule type="cellIs" dxfId="1" priority="121" operator="equal">
      <formula>0</formula>
    </cfRule>
  </conditionalFormatting>
  <conditionalFormatting sqref="C21:E21 H21:O21">
    <cfRule type="cellIs" dxfId="3" priority="120" operator="greaterThan">
      <formula>0</formula>
    </cfRule>
  </conditionalFormatting>
  <conditionalFormatting sqref="C27:O27 D29:O29 D33:O33">
    <cfRule type="cellIs" dxfId="0" priority="119" operator="notEqual">
      <formula>VALUE(C26)</formula>
    </cfRule>
  </conditionalFormatting>
  <conditionalFormatting sqref="C8:O8 C10:O10 C12:O12 C14:O14 C16:O16 C27:O27 D29:O29 D31:O31 D33:O33 D35:O35 D37:O37 D25:O25 D39:O39 D41:O41">
    <cfRule type="expression" dxfId="10" priority="113">
      <formula>ISBLANK(C8)</formula>
    </cfRule>
  </conditionalFormatting>
  <conditionalFormatting sqref="C29">
    <cfRule type="cellIs" dxfId="0" priority="115" operator="notEqual">
      <formula>VALUE(C28)</formula>
    </cfRule>
  </conditionalFormatting>
  <conditionalFormatting sqref="C29">
    <cfRule type="expression" dxfId="10" priority="114">
      <formula>ISBLANK(C29)</formula>
    </cfRule>
  </conditionalFormatting>
  <conditionalFormatting sqref="C8:O8 C10:O10 C12:O12 C14:O14 C16:O16 C31:O31 D35:O35 D37:O37 D25:O25 D39:O39 D41:O41">
    <cfRule type="cellIs" dxfId="0" priority="118" operator="notEqual">
      <formula>C7</formula>
    </cfRule>
  </conditionalFormatting>
  <conditionalFormatting sqref="C31">
    <cfRule type="expression" dxfId="10" priority="112">
      <formula>ISBLANK(C31)</formula>
    </cfRule>
  </conditionalFormatting>
  <conditionalFormatting sqref="C33">
    <cfRule type="cellIs" dxfId="0" priority="111" operator="notEqual">
      <formula>VALUE(C32)</formula>
    </cfRule>
  </conditionalFormatting>
  <conditionalFormatting sqref="C33">
    <cfRule type="expression" dxfId="10" priority="110">
      <formula>ISBLANK(C33)</formula>
    </cfRule>
  </conditionalFormatting>
  <conditionalFormatting sqref="C35">
    <cfRule type="cellIs" dxfId="0" priority="107" operator="notEqual">
      <formula>C34</formula>
    </cfRule>
  </conditionalFormatting>
  <conditionalFormatting sqref="C35">
    <cfRule type="expression" dxfId="10" priority="106">
      <formula>ISBLANK(C35)</formula>
    </cfRule>
  </conditionalFormatting>
  <conditionalFormatting sqref="C37">
    <cfRule type="cellIs" dxfId="0" priority="99" operator="notEqual">
      <formula>C36</formula>
    </cfRule>
  </conditionalFormatting>
  <conditionalFormatting sqref="C37">
    <cfRule type="expression" dxfId="10" priority="98">
      <formula>ISBLANK(C37)</formula>
    </cfRule>
  </conditionalFormatting>
  <conditionalFormatting sqref="C6">
    <cfRule type="expression" dxfId="10" priority="89">
      <formula>ISBLANK(C6)</formula>
    </cfRule>
    <cfRule type="cellIs" dxfId="0" priority="90" operator="notEqual">
      <formula>C5</formula>
    </cfRule>
  </conditionalFormatting>
  <conditionalFormatting sqref="C25">
    <cfRule type="cellIs" dxfId="0" priority="78" operator="notEqual">
      <formula>C24</formula>
    </cfRule>
  </conditionalFormatting>
  <conditionalFormatting sqref="C25">
    <cfRule type="expression" dxfId="10" priority="77">
      <formula>ISBLANK(C25)</formula>
    </cfRule>
  </conditionalFormatting>
  <conditionalFormatting sqref="C39">
    <cfRule type="cellIs" dxfId="0" priority="68" operator="notEqual">
      <formula>C38</formula>
    </cfRule>
  </conditionalFormatting>
  <conditionalFormatting sqref="C39">
    <cfRule type="expression" dxfId="10" priority="67">
      <formula>ISBLANK(C39)</formula>
    </cfRule>
  </conditionalFormatting>
  <conditionalFormatting sqref="C41">
    <cfRule type="cellIs" dxfId="0" priority="66" operator="notEqual">
      <formula>C40</formula>
    </cfRule>
  </conditionalFormatting>
  <conditionalFormatting sqref="C41">
    <cfRule type="expression" dxfId="10" priority="65">
      <formula>ISBLANK(C41)</formula>
    </cfRule>
  </conditionalFormatting>
  <conditionalFormatting sqref="C24:O41">
    <cfRule type="expression" dxfId="1" priority="64" stopIfTrue="1">
      <formula>OR(C$22="Free",C$22="Telenor",C$22="Mtel",C$22="Telenor&amp;Mtel")</formula>
    </cfRule>
  </conditionalFormatting>
  <conditionalFormatting sqref="F22:G22">
    <cfRule type="cellIs" dxfId="0" priority="22" operator="greaterThan">
      <formula>0</formula>
    </cfRule>
  </conditionalFormatting>
  <conditionalFormatting sqref="F21:G21">
    <cfRule type="expression" dxfId="1" priority="21">
      <formula>ISERROR(F21)</formula>
    </cfRule>
  </conditionalFormatting>
  <conditionalFormatting sqref="F21:G21">
    <cfRule type="cellIs" dxfId="1" priority="20" operator="equal">
      <formula>0</formula>
    </cfRule>
  </conditionalFormatting>
  <conditionalFormatting sqref="F21:G21">
    <cfRule type="cellIs" dxfId="3" priority="19" operator="greaterThan">
      <formula>0</formula>
    </cfRule>
  </conditionalFormatting>
  <conditionalFormatting sqref="P22">
    <cfRule type="cellIs" dxfId="0" priority="18" operator="greaterThan">
      <formula>0</formula>
    </cfRule>
  </conditionalFormatting>
  <conditionalFormatting sqref="P21">
    <cfRule type="expression" dxfId="1" priority="17">
      <formula>ISERROR(P21)</formula>
    </cfRule>
  </conditionalFormatting>
  <conditionalFormatting sqref="P21">
    <cfRule type="cellIs" dxfId="1" priority="16" operator="equal">
      <formula>0</formula>
    </cfRule>
  </conditionalFormatting>
  <conditionalFormatting sqref="P21">
    <cfRule type="cellIs" dxfId="3" priority="15" operator="greaterThan">
      <formula>0</formula>
    </cfRule>
  </conditionalFormatting>
  <conditionalFormatting sqref="P27 P29 P33">
    <cfRule type="cellIs" dxfId="0" priority="14" operator="notEqual">
      <formula>VALUE(P26)</formula>
    </cfRule>
  </conditionalFormatting>
  <conditionalFormatting sqref="P8 P10 P12 P14 P16 P27 P29 P31 P33 P35 P37 P25 P39 P41">
    <cfRule type="expression" dxfId="10" priority="12">
      <formula>ISBLANK(P8)</formula>
    </cfRule>
  </conditionalFormatting>
  <conditionalFormatting sqref="P8 P10 P12 P14 P16 P31 P35 P37 P25 P39 P41">
    <cfRule type="cellIs" dxfId="0" priority="13" operator="notEqual">
      <formula>P7</formula>
    </cfRule>
  </conditionalFormatting>
  <conditionalFormatting sqref="P24:P41">
    <cfRule type="expression" dxfId="1" priority="9" stopIfTrue="1">
      <formula>OR(P$22="Free",P$22="Telenor",P$22="Mtel",P$22="Telenor&amp;Mtel")</formula>
    </cfRule>
  </conditionalFormatting>
  <conditionalFormatting sqref="C19">
    <cfRule type="cellIs" dxfId="1" priority="6" operator="equal">
      <formula>0</formula>
    </cfRule>
    <cfRule type="expression" dxfId="345" priority="8">
      <formula>ISERROR(C19)</formula>
    </cfRule>
  </conditionalFormatting>
  <conditionalFormatting sqref="D19:P19">
    <cfRule type="cellIs" dxfId="1" priority="4" operator="equal">
      <formula>0</formula>
    </cfRule>
    <cfRule type="expression" dxfId="345" priority="5">
      <formula>ISERROR(D19)</formula>
    </cfRule>
  </conditionalFormatting>
  <conditionalFormatting sqref="C23:P23">
    <cfRule type="cellIs" dxfId="0" priority="3" operator="notEqual">
      <formula>C22</formula>
    </cfRule>
  </conditionalFormatting>
  <conditionalFormatting sqref="C23:P23">
    <cfRule type="expression" dxfId="10" priority="2">
      <formula>ISBLANK(C23)</formula>
    </cfRule>
  </conditionalFormatting>
  <conditionalFormatting sqref="C23:P23">
    <cfRule type="expression" dxfId="1" priority="1" stopIfTrue="1">
      <formula>OR(C$22="Free",C$22="Telenor",C$22="Mtel",C$22="Telenor&amp;Mtel")</formula>
    </cfRule>
  </conditionalFormatting>
  <dataValidations count="165">
    <dataValidation type="list" xr:uid="{47D43718-399E-48A1-ADF6-452760E0993E}" sqref="C2" showErrorMessage="1" errorTitle="An invalid feedback was entered" error="Please choose feedback from drop down only.">
      <formula1>"1,2,3"</formula1>
    </dataValidation>
    <dataValidation type="list" xr:uid="{36C1D2A2-5548-4639-8861-6BD014DCD4EC}" sqref="D2" showErrorMessage="1" errorTitle="An invalid feedback was entered" error="Please choose feedback from drop down only.">
      <formula1>"1,2,3"</formula1>
    </dataValidation>
    <dataValidation type="list" xr:uid="{ABEC0FA1-DCB6-48A6-A6AE-CD2A12DD95D1}" sqref="E2" showErrorMessage="1" errorTitle="An invalid feedback was entered" error="Please choose feedback from drop down only.">
      <formula1>"1,2,3"</formula1>
    </dataValidation>
    <dataValidation type="list" xr:uid="{AAC13D9F-A3DE-44EA-B0B4-0AE386F5839F}" sqref="F2" showErrorMessage="1" errorTitle="An invalid feedback was entered" error="Please choose feedback from drop down only.">
      <formula1>"1,2,3"</formula1>
    </dataValidation>
    <dataValidation type="list" xr:uid="{34677A6D-3D68-4862-A765-4A8E695BF57C}" sqref="G2" showErrorMessage="1" errorTitle="An invalid feedback was entered" error="Please choose feedback from drop down only.">
      <formula1>"1,2,3"</formula1>
    </dataValidation>
    <dataValidation type="list" xr:uid="{FE447CF8-5407-4FC9-AE72-FE16E08E9A5E}" sqref="H2" showErrorMessage="1" errorTitle="An invalid feedback was entered" error="Please choose feedback from drop down only.">
      <formula1>"1,2,3"</formula1>
    </dataValidation>
    <dataValidation type="list" xr:uid="{1B269846-3F2B-4117-A058-0073A1338168}" sqref="I2" showErrorMessage="1" errorTitle="An invalid feedback was entered" error="Please choose feedback from drop down only.">
      <formula1>"1,2,3"</formula1>
    </dataValidation>
    <dataValidation type="list" xr:uid="{BEFF80D1-1432-4E2C-9793-BF502EDF5232}" sqref="J2" showErrorMessage="1" errorTitle="An invalid feedback was entered" error="Please choose feedback from drop down only.">
      <formula1>"1,2,3"</formula1>
    </dataValidation>
    <dataValidation type="list" xr:uid="{F6AFD332-E720-41C6-8A7B-98030C28CA19}" sqref="K2" showErrorMessage="1" errorTitle="An invalid feedback was entered" error="Please choose feedback from drop down only.">
      <formula1>"1,2,3"</formula1>
    </dataValidation>
    <dataValidation type="list" xr:uid="{799E4343-3484-4E29-9C1D-840A725ACF1C}" sqref="L2" showErrorMessage="1" errorTitle="An invalid feedback was entered" error="Please choose feedback from drop down only.">
      <formula1>"1,2,3"</formula1>
    </dataValidation>
    <dataValidation type="list" xr:uid="{C97E0851-FDAE-4470-BA2F-273A7FD85E95}" sqref="M2" showErrorMessage="1" errorTitle="An invalid feedback was entered" error="Please choose feedback from drop down only.">
      <formula1>"1,2,3"</formula1>
    </dataValidation>
    <dataValidation type="list" xr:uid="{F6863ADC-6455-46A0-991F-70C664F56E69}" sqref="N2" showErrorMessage="1" errorTitle="An invalid feedback was entered" error="Please choose feedback from drop down only.">
      <formula1>"1,2,3"</formula1>
    </dataValidation>
    <dataValidation type="list" xr:uid="{5F10553C-DAAA-49D2-AB2D-5879FB91E544}" sqref="O2" showErrorMessage="1" errorTitle="An invalid feedback was entered" error="Please choose feedback from drop down only.">
      <formula1>"1,2,3"</formula1>
    </dataValidation>
    <dataValidation type="list" xr:uid="{8E6FF856-07AD-420A-BFD3-00033E5D4F07}" sqref="P2" showErrorMessage="1" errorTitle="An invalid feedback was entered" error="Please choose feedback from drop down only.">
      <formula1>"1,2,3"</formula1>
    </dataValidation>
    <dataValidation type="list" xr:uid="{761B176C-7248-411C-A67A-5352B9E2951E}" sqref="Q2" showErrorMessage="1" errorTitle="An invalid feedback was entered" error="Please choose feedback from drop down only.">
      <formula1>"1,2,3"</formula1>
    </dataValidation>
    <dataValidation type="list" xr:uid="{1D8732AE-6C9A-48E0-8E42-9A1513D9CCCD}" sqref="C17" showErrorMessage="1" errorTitle="An invalid feedback was entered" error="Please choose feedback from drop down only.">
      <formula1>"1-2,3-4,5-6,7-8,9-10,N/A"</formula1>
    </dataValidation>
    <dataValidation type="list" xr:uid="{4F403CEF-C6FD-408C-9769-E667C3DAAFE7}" sqref="D17" showErrorMessage="1" errorTitle="An invalid feedback was entered" error="Please choose feedback from drop down only.">
      <formula1>"1-2,3-4,5-6,7-8,9-10,N/A"</formula1>
    </dataValidation>
    <dataValidation type="list" xr:uid="{F0CB277D-F9BE-4030-B53D-D0FBACADBC67}" sqref="E17" showErrorMessage="1" errorTitle="An invalid feedback was entered" error="Please choose feedback from drop down only.">
      <formula1>"1-2,3-4,5-6,7-8,9-10,N/A"</formula1>
    </dataValidation>
    <dataValidation type="list" xr:uid="{F0599E88-FD93-4C5D-B845-28EBA62CCE05}" sqref="F17" showErrorMessage="1" errorTitle="An invalid feedback was entered" error="Please choose feedback from drop down only.">
      <formula1>"1-2,3-4,5-6,7-8,9-10,N/A"</formula1>
    </dataValidation>
    <dataValidation type="list" xr:uid="{EE23E404-62E1-4471-A530-4372659EB967}" sqref="G17" showErrorMessage="1" errorTitle="An invalid feedback was entered" error="Please choose feedback from drop down only.">
      <formula1>"1-2,3-4,5-6,7-8,9-10,N/A"</formula1>
    </dataValidation>
    <dataValidation type="list" xr:uid="{948C344B-0D8B-43E6-A1D9-F664A80AEBC2}" sqref="H17" showErrorMessage="1" errorTitle="An invalid feedback was entered" error="Please choose feedback from drop down only.">
      <formula1>"1-2,3-4,5-6,7-8,9-10,N/A"</formula1>
    </dataValidation>
    <dataValidation type="list" xr:uid="{0A9B03DA-FBB7-4719-9D07-816B3E1B0722}" sqref="I17" showErrorMessage="1" errorTitle="An invalid feedback was entered" error="Please choose feedback from drop down only.">
      <formula1>"1-2,3-4,5-6,7-8,9-10,N/A"</formula1>
    </dataValidation>
    <dataValidation type="list" xr:uid="{327C088F-EE2F-4518-B613-3FE707B0B92C}" sqref="J17" showErrorMessage="1" errorTitle="An invalid feedback was entered" error="Please choose feedback from drop down only.">
      <formula1>"1-2,3-4,5-6,7-8,9-10,N/A"</formula1>
    </dataValidation>
    <dataValidation type="list" xr:uid="{302ED18D-7B4A-4ACB-8839-DEF79FA76BB9}" sqref="K17" showErrorMessage="1" errorTitle="An invalid feedback was entered" error="Please choose feedback from drop down only.">
      <formula1>"1-2,3-4,5-6,7-8,9-10,N/A"</formula1>
    </dataValidation>
    <dataValidation type="list" xr:uid="{703E7019-B49E-43A3-A045-6AE30C76D8BE}" sqref="L17" showErrorMessage="1" errorTitle="An invalid feedback was entered" error="Please choose feedback from drop down only.">
      <formula1>"1-2,3-4,5-6,7-8,9-10,N/A"</formula1>
    </dataValidation>
    <dataValidation type="list" xr:uid="{E8D92F90-A7F6-42A7-8529-236BD68172A2}" sqref="M17" showErrorMessage="1" errorTitle="An invalid feedback was entered" error="Please choose feedback from drop down only.">
      <formula1>"1-2,3-4,5-6,7-8,9-10,N/A"</formula1>
    </dataValidation>
    <dataValidation type="list" xr:uid="{8B543A94-F023-40DD-9F8C-484BFFE9D307}" sqref="N17" showErrorMessage="1" errorTitle="An invalid feedback was entered" error="Please choose feedback from drop down only.">
      <formula1>"1-2,3-4,5-6,7-8,9-10,N/A"</formula1>
    </dataValidation>
    <dataValidation type="list" xr:uid="{BAC9575D-6F53-4FF9-824A-B7B4A9E61DE3}" sqref="O17" showErrorMessage="1" errorTitle="An invalid feedback was entered" error="Please choose feedback from drop down only.">
      <formula1>"1-2,3-4,5-6,7-8,9-10,N/A"</formula1>
    </dataValidation>
    <dataValidation type="list" xr:uid="{B0DFA4AA-B444-499B-A232-9E8137BE87EF}" sqref="P17" showErrorMessage="1" errorTitle="An invalid feedback was entered" error="Please choose feedback from drop down only.">
      <formula1>"1-2,3-4,5-6,7-8,9-10,N/A"</formula1>
    </dataValidation>
    <dataValidation type="list" xr:uid="{0F9C0BB1-57B0-4D77-B239-6EBDF14B6F82}" sqref="Q17" showErrorMessage="1" errorTitle="An invalid feedback was entered" error="Please choose feedback from drop down only.">
      <formula1>"1-2,3-4,5-6,7-8,9-10,N/A"</formula1>
    </dataValidation>
    <dataValidation type="list" xr:uid="{1B4865CD-0A51-40B0-BBBE-0B62C152717E}" sqref="C10" showErrorMessage="1" errorTitle="An invalid feedback was entered" error="Please choose feedback from drop down only.">
      <formula1>"STK Top,STK Bottom,STKx2,DTK Top,DTK Bottom,DTKx2,None"</formula1>
    </dataValidation>
    <dataValidation type="list" xr:uid="{56747D7B-5FC4-497E-9908-564456557202}" sqref="D10" showErrorMessage="1" errorTitle="An invalid feedback was entered" error="Please choose feedback from drop down only.">
      <formula1>"STK Top,STK Bottom,STKx2,DTK Top,DTK Bottom,DTKx2,None"</formula1>
    </dataValidation>
    <dataValidation type="list" xr:uid="{87F0BD65-A3B6-4B7B-AED2-D75EB37CFA39}" sqref="E10" showErrorMessage="1" errorTitle="An invalid feedback was entered" error="Please choose feedback from drop down only.">
      <formula1>"STK Top,STK Bottom,STKx2,DTK Top,DTK Bottom,DTKx2,None"</formula1>
    </dataValidation>
    <dataValidation type="list" xr:uid="{48F336C0-B296-45E2-8A9D-F92934700304}" sqref="F10" showErrorMessage="1" errorTitle="An invalid feedback was entered" error="Please choose feedback from drop down only.">
      <formula1>"STK Top,STK Bottom,STKx2,DTK Top,DTK Bottom,DTKx2,None"</formula1>
    </dataValidation>
    <dataValidation type="list" xr:uid="{F4B6DD68-7F41-4F2D-B4CF-DFE5523687C1}" sqref="G10" showErrorMessage="1" errorTitle="An invalid feedback was entered" error="Please choose feedback from drop down only.">
      <formula1>"STK Top,STK Bottom,STKx2,DTK Top,DTK Bottom,DTKx2,None"</formula1>
    </dataValidation>
    <dataValidation type="list" xr:uid="{9FC96C4A-D044-4465-821D-30AD51487387}" sqref="H10" showErrorMessage="1" errorTitle="An invalid feedback was entered" error="Please choose feedback from drop down only.">
      <formula1>"STK Top,STK Bottom,STKx2,DTK Top,DTK Bottom,DTKx2,None"</formula1>
    </dataValidation>
    <dataValidation type="list" xr:uid="{DC45DBEA-ED9F-456F-A6F5-E6B465FC13CD}" sqref="I10" showErrorMessage="1" errorTitle="An invalid feedback was entered" error="Please choose feedback from drop down only.">
      <formula1>"STK Top,STK Bottom,STKx2,DTK Top,DTK Bottom,DTKx2,None"</formula1>
    </dataValidation>
    <dataValidation type="list" xr:uid="{A395AA86-073F-4212-93D6-25B228F17033}" sqref="J10" showErrorMessage="1" errorTitle="An invalid feedback was entered" error="Please choose feedback from drop down only.">
      <formula1>"STK Top,STK Bottom,STKx2,DTK Top,DTK Bottom,DTKx2,None"</formula1>
    </dataValidation>
    <dataValidation type="list" xr:uid="{83862898-FF17-4B9B-BED9-09837A3B1CF7}" sqref="K10" showErrorMessage="1" errorTitle="An invalid feedback was entered" error="Please choose feedback from drop down only.">
      <formula1>"STK Top,STK Bottom,STKx2,DTK Top,DTK Bottom,DTKx2,None"</formula1>
    </dataValidation>
    <dataValidation type="list" xr:uid="{497AD3E2-CCCA-4AA4-BAF2-7A67C6A84BD0}" sqref="L10" showErrorMessage="1" errorTitle="An invalid feedback was entered" error="Please choose feedback from drop down only.">
      <formula1>"STK Top,STK Bottom,STKx2,DTK Top,DTK Bottom,DTKx2,None"</formula1>
    </dataValidation>
    <dataValidation type="list" xr:uid="{C00A9340-38A3-4935-BB61-F0AAB48CF555}" sqref="M10" showErrorMessage="1" errorTitle="An invalid feedback was entered" error="Please choose feedback from drop down only.">
      <formula1>"STK Top,STK Bottom,STKx2,DTK Top,DTK Bottom,DTKx2,None"</formula1>
    </dataValidation>
    <dataValidation type="list" xr:uid="{FAB1FDFA-19D0-4D30-9009-B5F0AECC3CCC}" sqref="N10" showErrorMessage="1" errorTitle="An invalid feedback was entered" error="Please choose feedback from drop down only.">
      <formula1>"STK Top,STK Bottom,STKx2,DTK Top,DTK Bottom,DTKx2,None"</formula1>
    </dataValidation>
    <dataValidation type="list" xr:uid="{F8BF3CE0-20FF-47E7-BD26-DA3D654B1A18}" sqref="O10" showErrorMessage="1" errorTitle="An invalid feedback was entered" error="Please choose feedback from drop down only.">
      <formula1>"STK Top,STK Bottom,STKx2,DTK Top,DTK Bottom,DTKx2,None"</formula1>
    </dataValidation>
    <dataValidation type="list" xr:uid="{79DA12FB-6BE3-42A0-A6AF-7DEA7FC642D0}" sqref="P10" showErrorMessage="1" errorTitle="An invalid feedback was entered" error="Please choose feedback from drop down only.">
      <formula1>"STK Top,STK Bottom,STKx2,DTK Top,DTK Bottom,DTKx2,None"</formula1>
    </dataValidation>
    <dataValidation type="list" xr:uid="{5ED9DC4F-9869-4785-9F8F-5EE28A3C54F4}" sqref="Q10" showErrorMessage="1" errorTitle="An invalid feedback was entered" error="Please choose feedback from drop down only.">
      <formula1>"STK Top,STK Bottom,STKx2,DTK Top,DTK Bottom,DTKx2,None"</formula1>
    </dataValidation>
    <dataValidation type="list" xr:uid="{D83288F4-543A-4D2F-9976-E0FF04CE17F8}" sqref="C23" showErrorMessage="1" errorTitle="An invalid feedback was entered" error="Please choose feedback from drop down only.">
      <formula1>"Yetel,Bulsatcom,A1,Yetel&amp;A1,N/A"</formula1>
    </dataValidation>
    <dataValidation type="list" xr:uid="{07898614-22C2-42CD-BB56-DCDDF0CA074A}" sqref="D23" showErrorMessage="1" errorTitle="An invalid feedback was entered" error="Please choose feedback from drop down only.">
      <formula1>"Yetel,Bulsatcom,A1,Yetel&amp;A1,N/A"</formula1>
    </dataValidation>
    <dataValidation type="list" xr:uid="{05E0BFB3-7BE4-4B45-8EA2-52403FF9A221}" sqref="E23" showErrorMessage="1" errorTitle="An invalid feedback was entered" error="Please choose feedback from drop down only.">
      <formula1>"Yetel,Bulsatcom,A1,Yetel&amp;A1,N/A"</formula1>
    </dataValidation>
    <dataValidation type="list" xr:uid="{6D8873C0-3AF2-481E-A493-3F988C2D47F8}" sqref="F23" showErrorMessage="1" errorTitle="An invalid feedback was entered" error="Please choose feedback from drop down only.">
      <formula1>"Yetel,Bulsatcom,A1,Yetel&amp;A1,N/A"</formula1>
    </dataValidation>
    <dataValidation type="list" xr:uid="{C43EB891-880F-4D99-A353-E4DC15BD2407}" sqref="G23" showErrorMessage="1" errorTitle="An invalid feedback was entered" error="Please choose feedback from drop down only.">
      <formula1>"Yetel,Bulsatcom,A1,Yetel&amp;A1,N/A"</formula1>
    </dataValidation>
    <dataValidation type="list" xr:uid="{2CD6C3A9-968F-4001-B592-3DEDACF8915B}" sqref="H23" showErrorMessage="1" errorTitle="An invalid feedback was entered" error="Please choose feedback from drop down only.">
      <formula1>"Yetel,Bulsatcom,A1,Yetel&amp;A1,N/A"</formula1>
    </dataValidation>
    <dataValidation type="list" xr:uid="{03AC0782-E2B3-495A-AE3C-0C904B3AD7AB}" sqref="I23" showErrorMessage="1" errorTitle="An invalid feedback was entered" error="Please choose feedback from drop down only.">
      <formula1>"Yetel,Bulsatcom,A1,Yetel&amp;A1,N/A"</formula1>
    </dataValidation>
    <dataValidation type="list" xr:uid="{2197B028-4FEA-43B1-8E11-D3AABC1A8197}" sqref="J23" showErrorMessage="1" errorTitle="An invalid feedback was entered" error="Please choose feedback from drop down only.">
      <formula1>"Yetel,Bulsatcom,A1,Yetel&amp;A1,N/A"</formula1>
    </dataValidation>
    <dataValidation type="list" xr:uid="{BE00F514-9E47-4B2C-A85F-1B27D9EFCDF6}" sqref="K23" showErrorMessage="1" errorTitle="An invalid feedback was entered" error="Please choose feedback from drop down only.">
      <formula1>"Yetel,Bulsatcom,A1,Yetel&amp;A1,N/A"</formula1>
    </dataValidation>
    <dataValidation type="list" xr:uid="{24785DE0-2686-4412-99EA-307EB765D1EF}" sqref="L23" showErrorMessage="1" errorTitle="An invalid feedback was entered" error="Please choose feedback from drop down only.">
      <formula1>"Yetel,Bulsatcom,A1,Yetel&amp;A1,N/A"</formula1>
    </dataValidation>
    <dataValidation type="list" xr:uid="{189C3DE2-771E-4E46-A22E-181E6D022D8C}" sqref="M23" showErrorMessage="1" errorTitle="An invalid feedback was entered" error="Please choose feedback from drop down only.">
      <formula1>"Yetel,Bulsatcom,A1,Yetel&amp;A1,N/A"</formula1>
    </dataValidation>
    <dataValidation type="list" xr:uid="{7701AF41-2505-46DC-B94D-CD2ABF408B6D}" sqref="N23" showErrorMessage="1" errorTitle="An invalid feedback was entered" error="Please choose feedback from drop down only.">
      <formula1>"Yetel,Bulsatcom,A1,Yetel&amp;A1,N/A"</formula1>
    </dataValidation>
    <dataValidation type="list" xr:uid="{407322E2-BE4F-4F7D-9342-E7CB73C7B11D}" sqref="O23" showErrorMessage="1" errorTitle="An invalid feedback was entered" error="Please choose feedback from drop down only.">
      <formula1>"Yetel,Bulsatcom,A1,Yetel&amp;A1,N/A"</formula1>
    </dataValidation>
    <dataValidation type="list" xr:uid="{85239ED5-7987-4472-963E-5827EEEBBCEF}" sqref="P23" showErrorMessage="1" errorTitle="An invalid feedback was entered" error="Please choose feedback from drop down only.">
      <formula1>"Yetel,Bulsatcom,A1,Yetel&amp;A1,N/A"</formula1>
    </dataValidation>
    <dataValidation type="list" xr:uid="{FEAD4B09-CF9D-4535-A182-1F13310A788A}" sqref="Q23" showErrorMessage="1" errorTitle="An invalid feedback was entered" error="Please choose feedback from drop down only.">
      <formula1>"Yetel,Bulsatcom,A1,Yetel&amp;A1,N/A"</formula1>
    </dataValidation>
    <dataValidation type="list" xr:uid="{6A2C8441-906D-47F3-93D5-7F16859AFC05}" sqref="C31" showErrorMessage="1" errorTitle="An invalid feedback was entered" error="Please choose feedback from drop down only.">
      <formula1>"1/2,5/4,7/8,RRU TOP JUMPER,N/A"</formula1>
    </dataValidation>
    <dataValidation type="list" xr:uid="{72BBADFD-82FD-4AF7-82D6-52432DF43C68}" sqref="D31" showErrorMessage="1" errorTitle="An invalid feedback was entered" error="Please choose feedback from drop down only.">
      <formula1>"1/2,5/4,7/8,RRU TOP JUMPER,N/A"</formula1>
    </dataValidation>
    <dataValidation type="list" xr:uid="{D8098A82-AA33-49CF-8CBC-E4ECCC56F6F0}" sqref="E31" showErrorMessage="1" errorTitle="An invalid feedback was entered" error="Please choose feedback from drop down only.">
      <formula1>"1/2,5/4,7/8,RRU TOP JUMPER,N/A"</formula1>
    </dataValidation>
    <dataValidation type="list" xr:uid="{9A206C68-84E5-4B3C-8359-9053DF6E26F5}" sqref="F31" showErrorMessage="1" errorTitle="An invalid feedback was entered" error="Please choose feedback from drop down only.">
      <formula1>"1/2,5/4,7/8,RRU TOP JUMPER,N/A"</formula1>
    </dataValidation>
    <dataValidation type="list" xr:uid="{0CB6E56D-F2DD-46EA-8255-B8AAD44B1F62}" sqref="G31" showErrorMessage="1" errorTitle="An invalid feedback was entered" error="Please choose feedback from drop down only.">
      <formula1>"1/2,5/4,7/8,RRU TOP JUMPER,N/A"</formula1>
    </dataValidation>
    <dataValidation type="list" xr:uid="{ABCC7F60-6BF6-4C3C-A3F4-97426C210B86}" sqref="H31" showErrorMessage="1" errorTitle="An invalid feedback was entered" error="Please choose feedback from drop down only.">
      <formula1>"1/2,5/4,7/8,RRU TOP JUMPER,N/A"</formula1>
    </dataValidation>
    <dataValidation type="list" xr:uid="{660F19FA-0CE5-48B8-ABC9-F358088C1193}" sqref="I31" showErrorMessage="1" errorTitle="An invalid feedback was entered" error="Please choose feedback from drop down only.">
      <formula1>"1/2,5/4,7/8,RRU TOP JUMPER,N/A"</formula1>
    </dataValidation>
    <dataValidation type="list" xr:uid="{9DF2B2A5-2BAC-446B-986A-BE10544400A5}" sqref="J31" showErrorMessage="1" errorTitle="An invalid feedback was entered" error="Please choose feedback from drop down only.">
      <formula1>"1/2,5/4,7/8,RRU TOP JUMPER,N/A"</formula1>
    </dataValidation>
    <dataValidation type="list" xr:uid="{99F6F1A8-1C65-456B-9A67-47F8DB3EA5CC}" sqref="K31" showErrorMessage="1" errorTitle="An invalid feedback was entered" error="Please choose feedback from drop down only.">
      <formula1>"1/2,5/4,7/8,RRU TOP JUMPER,N/A"</formula1>
    </dataValidation>
    <dataValidation type="list" xr:uid="{44984313-C064-41F5-AE2D-C1208C46E138}" sqref="L31" showErrorMessage="1" errorTitle="An invalid feedback was entered" error="Please choose feedback from drop down only.">
      <formula1>"1/2,5/4,7/8,RRU TOP JUMPER,N/A"</formula1>
    </dataValidation>
    <dataValidation type="list" xr:uid="{4DFD24A3-42BC-441C-A531-01BE13F7C739}" sqref="M31" showErrorMessage="1" errorTitle="An invalid feedback was entered" error="Please choose feedback from drop down only.">
      <formula1>"1/2,5/4,7/8,RRU TOP JUMPER,N/A"</formula1>
    </dataValidation>
    <dataValidation type="list" xr:uid="{4AFB9224-24AA-46F1-AB4C-4F3EAA4097AA}" sqref="N31" showErrorMessage="1" errorTitle="An invalid feedback was entered" error="Please choose feedback from drop down only.">
      <formula1>"1/2,5/4,7/8,RRU TOP JUMPER,N/A"</formula1>
    </dataValidation>
    <dataValidation type="list" xr:uid="{7C041378-71B2-44F3-AAC1-8CBB1E745D95}" sqref="O31" showErrorMessage="1" errorTitle="An invalid feedback was entered" error="Please choose feedback from drop down only.">
      <formula1>"1/2,5/4,7/8,RRU TOP JUMPER,N/A"</formula1>
    </dataValidation>
    <dataValidation type="list" xr:uid="{8C9B3298-5392-499E-847D-6459BA8E9DE1}" sqref="P31" showErrorMessage="1" errorTitle="An invalid feedback was entered" error="Please choose feedback from drop down only.">
      <formula1>"1/2,5/4,7/8,RRU TOP JUMPER,N/A"</formula1>
    </dataValidation>
    <dataValidation type="list" xr:uid="{3158B290-CBC7-4230-B1AA-00F9207F0251}" sqref="Q31" showErrorMessage="1" errorTitle="An invalid feedback was entered" error="Please choose feedback from drop down only.">
      <formula1>"1/2,5/4,7/8,RRU TOP JUMPER,N/A"</formula1>
    </dataValidation>
    <dataValidation type="list" xr:uid="{74FDCE8D-95D9-4990-BE89-B3159E443F6D}" sqref="C4" showErrorMessage="1" errorTitle="An invalid feedback was entered" error="Please choose feedback from drop down only.">
      <formula1>"1,2,3,4,5,6,N/A"</formula1>
    </dataValidation>
    <dataValidation type="list" xr:uid="{A9CD6215-0B1C-48D7-BDBE-F27648681634}" sqref="D4" showErrorMessage="1" errorTitle="An invalid feedback was entered" error="Please choose feedback from drop down only.">
      <formula1>"1,2,3,4,5,6,N/A"</formula1>
    </dataValidation>
    <dataValidation type="list" xr:uid="{891EE94E-84D1-4C99-840C-D47F5848361B}" sqref="E4" showErrorMessage="1" errorTitle="An invalid feedback was entered" error="Please choose feedback from drop down only.">
      <formula1>"1,2,3,4,5,6,N/A"</formula1>
    </dataValidation>
    <dataValidation type="list" xr:uid="{CE74FAC1-5E6F-46EA-BF88-63C295DE9AC8}" sqref="F4" showErrorMessage="1" errorTitle="An invalid feedback was entered" error="Please choose feedback from drop down only.">
      <formula1>"1,2,3,4,5,6,N/A"</formula1>
    </dataValidation>
    <dataValidation type="list" xr:uid="{BEA1F723-C856-421F-BAC0-8E5145A592E9}" sqref="G4" showErrorMessage="1" errorTitle="An invalid feedback was entered" error="Please choose feedback from drop down only.">
      <formula1>"1,2,3,4,5,6,N/A"</formula1>
    </dataValidation>
    <dataValidation type="list" xr:uid="{C50E5C04-704D-4804-A84A-10A72A07F0BB}" sqref="H4" showErrorMessage="1" errorTitle="An invalid feedback was entered" error="Please choose feedback from drop down only.">
      <formula1>"1,2,3,4,5,6,N/A"</formula1>
    </dataValidation>
    <dataValidation type="list" xr:uid="{46DE55DB-FE10-4A36-8B11-E1D097D46E39}" sqref="I4" showErrorMessage="1" errorTitle="An invalid feedback was entered" error="Please choose feedback from drop down only.">
      <formula1>"1,2,3,4,5,6,N/A"</formula1>
    </dataValidation>
    <dataValidation type="list" xr:uid="{2FED71DF-1170-4D95-8D3C-644F67632E37}" sqref="J4" showErrorMessage="1" errorTitle="An invalid feedback was entered" error="Please choose feedback from drop down only.">
      <formula1>"1,2,3,4,5,6,N/A"</formula1>
    </dataValidation>
    <dataValidation type="list" xr:uid="{C0AA1EC1-EBFF-4690-9B46-DC3268E47787}" sqref="K4" showErrorMessage="1" errorTitle="An invalid feedback was entered" error="Please choose feedback from drop down only.">
      <formula1>"1,2,3,4,5,6,N/A"</formula1>
    </dataValidation>
    <dataValidation type="list" xr:uid="{2C0A892E-4945-442F-9C87-0F93AF5A62BC}" sqref="L4" showErrorMessage="1" errorTitle="An invalid feedback was entered" error="Please choose feedback from drop down only.">
      <formula1>"1,2,3,4,5,6,N/A"</formula1>
    </dataValidation>
    <dataValidation type="list" xr:uid="{CC2C5FBD-D393-4ADF-A426-EECB74458C7E}" sqref="M4" showErrorMessage="1" errorTitle="An invalid feedback was entered" error="Please choose feedback from drop down only.">
      <formula1>"1,2,3,4,5,6,N/A"</formula1>
    </dataValidation>
    <dataValidation type="list" xr:uid="{EC7B48D7-591C-4A2E-9222-95E65A0867D1}" sqref="N4" showErrorMessage="1" errorTitle="An invalid feedback was entered" error="Please choose feedback from drop down only.">
      <formula1>"1,2,3,4,5,6,N/A"</formula1>
    </dataValidation>
    <dataValidation type="list" xr:uid="{FBEA1F41-76A0-49E8-9177-3E8EA4C2F45C}" sqref="O4" showErrorMessage="1" errorTitle="An invalid feedback was entered" error="Please choose feedback from drop down only.">
      <formula1>"1,2,3,4,5,6,N/A"</formula1>
    </dataValidation>
    <dataValidation type="list" xr:uid="{A9680CF2-7199-47BF-97F5-487FCA4A630F}" sqref="P4" showErrorMessage="1" errorTitle="An invalid feedback was entered" error="Please choose feedback from drop down only.">
      <formula1>"1,2,3,4,5,6,N/A"</formula1>
    </dataValidation>
    <dataValidation type="list" xr:uid="{0F22DF3B-5DE7-4BD5-B5D0-AC1F071DF347}" sqref="Q4" showErrorMessage="1" errorTitle="An invalid feedback was entered" error="Please choose feedback from drop down only.">
      <formula1>"1,2,3,4,5,6,N/A"</formula1>
    </dataValidation>
    <dataValidation type="list" xr:uid="{82ED543D-1C8B-46AA-A883-98FE49164EA5}" sqref="C22" showErrorMessage="1" errorTitle="An invalid feedback was entered" error="Please choose feedback from drop down only.">
      <formula1>"700,800&amp;900,900,1800,2100,2600,3600,1800&amp;2100,1800&amp;2600,2100&amp;2600,18&amp;21&amp;26,Free,N/A,Yetel,A1,Yetel&amp;A1"</formula1>
    </dataValidation>
    <dataValidation type="list" xr:uid="{E19C8B0D-ABA4-460E-BA2B-AB484DFFB5FB}" sqref="D22" showErrorMessage="1" errorTitle="An invalid feedback was entered" error="Please choose feedback from drop down only.">
      <formula1>"700,800&amp;900,900,1800,2100,2600,3600,1800&amp;2100,1800&amp;2600,2100&amp;2600,18&amp;21&amp;26,Free,N/A,Yetel,A1,Yetel&amp;A1"</formula1>
    </dataValidation>
    <dataValidation type="list" xr:uid="{D085DBAB-5BF5-453A-A661-34C6266C108D}" sqref="E22" showErrorMessage="1" errorTitle="An invalid feedback was entered" error="Please choose feedback from drop down only.">
      <formula1>"700,800&amp;900,900,1800,2100,2600,3600,1800&amp;2100,1800&amp;2600,2100&amp;2600,18&amp;21&amp;26,Free,N/A,Yetel,A1,Yetel&amp;A1"</formula1>
    </dataValidation>
    <dataValidation type="list" xr:uid="{C99FFF04-844D-4248-A092-8C84A3048D42}" sqref="F22" showErrorMessage="1" errorTitle="An invalid feedback was entered" error="Please choose feedback from drop down only.">
      <formula1>"700,800&amp;900,900,1800,2100,2600,3600,1800&amp;2100,1800&amp;2600,2100&amp;2600,18&amp;21&amp;26,Free,N/A,Yetel,A1,Yetel&amp;A1"</formula1>
    </dataValidation>
    <dataValidation type="list" xr:uid="{2CEF0ABC-00C1-4293-B83B-F9998FDE09DF}" sqref="G22" showErrorMessage="1" errorTitle="An invalid feedback was entered" error="Please choose feedback from drop down only.">
      <formula1>"700,800&amp;900,900,1800,2100,2600,3600,1800&amp;2100,1800&amp;2600,2100&amp;2600,18&amp;21&amp;26,Free,N/A,Yetel,A1,Yetel&amp;A1"</formula1>
    </dataValidation>
    <dataValidation type="list" xr:uid="{4B6B994C-D4D3-49E6-B4DE-F57FF43FD4EA}" sqref="H22" showErrorMessage="1" errorTitle="An invalid feedback was entered" error="Please choose feedback from drop down only.">
      <formula1>"700,800&amp;900,900,1800,2100,2600,3600,1800&amp;2100,1800&amp;2600,2100&amp;2600,18&amp;21&amp;26,Free,N/A,Yetel,A1,Yetel&amp;A1"</formula1>
    </dataValidation>
    <dataValidation type="list" xr:uid="{D579536D-5CDC-43C7-B230-5B543D08CE77}" sqref="I22" showErrorMessage="1" errorTitle="An invalid feedback was entered" error="Please choose feedback from drop down only.">
      <formula1>"700,800&amp;900,900,1800,2100,2600,3600,1800&amp;2100,1800&amp;2600,2100&amp;2600,18&amp;21&amp;26,Free,N/A,Yetel,A1,Yetel&amp;A1"</formula1>
    </dataValidation>
    <dataValidation type="list" xr:uid="{E325777B-7C17-44F4-B579-117D6D06583F}" sqref="J22" showErrorMessage="1" errorTitle="An invalid feedback was entered" error="Please choose feedback from drop down only.">
      <formula1>"700,800&amp;900,900,1800,2100,2600,3600,1800&amp;2100,1800&amp;2600,2100&amp;2600,18&amp;21&amp;26,Free,N/A,Yetel,A1,Yetel&amp;A1"</formula1>
    </dataValidation>
    <dataValidation type="list" xr:uid="{33DA0519-3854-4782-B42B-FA5BCCE2D529}" sqref="K22" showErrorMessage="1" errorTitle="An invalid feedback was entered" error="Please choose feedback from drop down only.">
      <formula1>"700,800&amp;900,900,1800,2100,2600,3600,1800&amp;2100,1800&amp;2600,2100&amp;2600,18&amp;21&amp;26,Free,N/A,Yetel,A1,Yetel&amp;A1"</formula1>
    </dataValidation>
    <dataValidation type="list" xr:uid="{5D183745-D2C2-4A4B-8565-0452D128D9D5}" sqref="L22" showErrorMessage="1" errorTitle="An invalid feedback was entered" error="Please choose feedback from drop down only.">
      <formula1>"700,800&amp;900,900,1800,2100,2600,3600,1800&amp;2100,1800&amp;2600,2100&amp;2600,18&amp;21&amp;26,Free,N/A,Yetel,A1,Yetel&amp;A1"</formula1>
    </dataValidation>
    <dataValidation type="list" xr:uid="{AEA91150-17B8-4C89-B3B1-41E94E92E626}" sqref="M22" showErrorMessage="1" errorTitle="An invalid feedback was entered" error="Please choose feedback from drop down only.">
      <formula1>"700,800&amp;900,900,1800,2100,2600,3600,1800&amp;2100,1800&amp;2600,2100&amp;2600,18&amp;21&amp;26,Free,N/A,Yetel,A1,Yetel&amp;A1"</formula1>
    </dataValidation>
    <dataValidation type="list" xr:uid="{EF3D1D86-B68E-42A3-AF58-B953D94CF18C}" sqref="N22" showErrorMessage="1" errorTitle="An invalid feedback was entered" error="Please choose feedback from drop down only.">
      <formula1>"700,800&amp;900,900,1800,2100,2600,3600,1800&amp;2100,1800&amp;2600,2100&amp;2600,18&amp;21&amp;26,Free,N/A,Yetel,A1,Yetel&amp;A1"</formula1>
    </dataValidation>
    <dataValidation type="list" xr:uid="{A8674A83-2169-4ABE-82E9-BC350C363375}" sqref="O22" showErrorMessage="1" errorTitle="An invalid feedback was entered" error="Please choose feedback from drop down only.">
      <formula1>"700,800&amp;900,900,1800,2100,2600,3600,1800&amp;2100,1800&amp;2600,2100&amp;2600,18&amp;21&amp;26,Free,N/A,Yetel,A1,Yetel&amp;A1"</formula1>
    </dataValidation>
    <dataValidation type="list" xr:uid="{12684FB3-070B-4BB3-A1EB-5A5C7F09F65E}" sqref="P22" showErrorMessage="1" errorTitle="An invalid feedback was entered" error="Please choose feedback from drop down only.">
      <formula1>"700,800&amp;900,900,1800,2100,2600,3600,1800&amp;2100,1800&amp;2600,2100&amp;2600,18&amp;21&amp;26,Free,N/A,Yetel,A1,Yetel&amp;A1"</formula1>
    </dataValidation>
    <dataValidation type="list" xr:uid="{980405C5-636E-40DF-A1F4-985BFD909E73}" sqref="Q22" showErrorMessage="1" errorTitle="An invalid feedback was entered" error="Please choose feedback from drop down only.">
      <formula1>"700,800&amp;900,900,1800,2100,2600,3600,1800&amp;2100,1800&amp;2600,2100&amp;2600,18&amp;21&amp;26,Free,N/A,Yetel,A1,Yetel&amp;A1"</formula1>
    </dataValidation>
    <dataValidation type="list" xr:uid="{76D8D716-FD60-40EB-9043-004EB6815981}" sqref="C28" showErrorMessage="1" errorTitle="An invalid feedback was entered" error="Please choose feedback from drop down only.">
      <formula1>"Yes,No,FlexRET"</formula1>
    </dataValidation>
    <dataValidation type="list" xr:uid="{16AF9E6B-3C30-42B8-A295-D7E404257679}" sqref="D28" showErrorMessage="1" errorTitle="An invalid feedback was entered" error="Please choose feedback from drop down only.">
      <formula1>"Yes,No,FlexRET"</formula1>
    </dataValidation>
    <dataValidation type="list" xr:uid="{90B3EF11-19CA-4778-8FB9-BB62F23BD7F2}" sqref="E28" showErrorMessage="1" errorTitle="An invalid feedback was entered" error="Please choose feedback from drop down only.">
      <formula1>"Yes,No,FlexRET"</formula1>
    </dataValidation>
    <dataValidation type="list" xr:uid="{2600ECBF-7254-4208-B3DD-522A9026F794}" sqref="F28" showErrorMessage="1" errorTitle="An invalid feedback was entered" error="Please choose feedback from drop down only.">
      <formula1>"Yes,No,FlexRET"</formula1>
    </dataValidation>
    <dataValidation type="list" xr:uid="{75A60AEE-7E48-4D08-8FB7-DAAE3DB41C30}" sqref="G28" showErrorMessage="1" errorTitle="An invalid feedback was entered" error="Please choose feedback from drop down only.">
      <formula1>"Yes,No,FlexRET"</formula1>
    </dataValidation>
    <dataValidation type="list" xr:uid="{65CC257D-45B0-44E6-A090-2B49E049F782}" sqref="H28" showErrorMessage="1" errorTitle="An invalid feedback was entered" error="Please choose feedback from drop down only.">
      <formula1>"Yes,No,FlexRET"</formula1>
    </dataValidation>
    <dataValidation type="list" xr:uid="{B58EF36A-AD94-4E0C-977C-AE2571C6A1F6}" sqref="I28" showErrorMessage="1" errorTitle="An invalid feedback was entered" error="Please choose feedback from drop down only.">
      <formula1>"Yes,No,FlexRET"</formula1>
    </dataValidation>
    <dataValidation type="list" xr:uid="{4B6CE3E1-9B8F-4D95-A8EF-45755189226A}" sqref="J28" showErrorMessage="1" errorTitle="An invalid feedback was entered" error="Please choose feedback from drop down only.">
      <formula1>"Yes,No,FlexRET"</formula1>
    </dataValidation>
    <dataValidation type="list" xr:uid="{C87F27DB-D7C1-4816-8D72-29203C10A46D}" sqref="K28" showErrorMessage="1" errorTitle="An invalid feedback was entered" error="Please choose feedback from drop down only.">
      <formula1>"Yes,No,FlexRET"</formula1>
    </dataValidation>
    <dataValidation type="list" xr:uid="{7AA9B0E2-93D6-48DA-AC09-11696BC1AB52}" sqref="L28" showErrorMessage="1" errorTitle="An invalid feedback was entered" error="Please choose feedback from drop down only.">
      <formula1>"Yes,No,FlexRET"</formula1>
    </dataValidation>
    <dataValidation type="list" xr:uid="{B4583AB3-2484-4949-B692-09F3BBBAD60C}" sqref="M28" showErrorMessage="1" errorTitle="An invalid feedback was entered" error="Please choose feedback from drop down only.">
      <formula1>"Yes,No,FlexRET"</formula1>
    </dataValidation>
    <dataValidation type="list" xr:uid="{0BD15961-339C-4DB8-92FB-C40B53410DAD}" sqref="N28" showErrorMessage="1" errorTitle="An invalid feedback was entered" error="Please choose feedback from drop down only.">
      <formula1>"Yes,No,FlexRET"</formula1>
    </dataValidation>
    <dataValidation type="list" xr:uid="{FF1F70CB-E488-44F5-A49D-B041A914FCB5}" sqref="O28" showErrorMessage="1" errorTitle="An invalid feedback was entered" error="Please choose feedback from drop down only.">
      <formula1>"Yes,No,FlexRET"</formula1>
    </dataValidation>
    <dataValidation type="list" xr:uid="{AE7EC644-1E2B-4E21-9DF5-AC43EF0BA369}" sqref="P28" showErrorMessage="1" errorTitle="An invalid feedback was entered" error="Please choose feedback from drop down only.">
      <formula1>"Yes,No,FlexRET"</formula1>
    </dataValidation>
    <dataValidation type="list" xr:uid="{81FD7971-5AF4-4536-B2DB-4579EACF77FD}" sqref="Q28" showErrorMessage="1" errorTitle="An invalid feedback was entered" error="Please choose feedback from drop down only.">
      <formula1>"Yes,No,FlexRET"</formula1>
    </dataValidation>
    <dataValidation type="list" xr:uid="{866EB865-D365-4FB0-B21C-22DAD6994D67}" sqref="C29" showErrorMessage="1" errorTitle="An invalid feedback was entered" error="Please choose feedback from drop down only.">
      <formula1>"Yes,No,FlexRET"</formula1>
    </dataValidation>
    <dataValidation type="list" xr:uid="{B477D018-93D8-47AE-ACA4-CEF7150BE1D7}" sqref="D29" showErrorMessage="1" errorTitle="An invalid feedback was entered" error="Please choose feedback from drop down only.">
      <formula1>"Yes,No,FlexRET"</formula1>
    </dataValidation>
    <dataValidation type="list" xr:uid="{747D6019-CBF0-4A3A-8E0D-BABCC28075C5}" sqref="E29" showErrorMessage="1" errorTitle="An invalid feedback was entered" error="Please choose feedback from drop down only.">
      <formula1>"Yes,No,FlexRET"</formula1>
    </dataValidation>
    <dataValidation type="list" xr:uid="{94C2F657-331A-480A-B6AC-3FB35000DDB9}" sqref="F29" showErrorMessage="1" errorTitle="An invalid feedback was entered" error="Please choose feedback from drop down only.">
      <formula1>"Yes,No,FlexRET"</formula1>
    </dataValidation>
    <dataValidation type="list" xr:uid="{7633F23F-5027-45B8-9591-F55575C8F88A}" sqref="G29" showErrorMessage="1" errorTitle="An invalid feedback was entered" error="Please choose feedback from drop down only.">
      <formula1>"Yes,No,FlexRET"</formula1>
    </dataValidation>
    <dataValidation type="list" xr:uid="{56A2E55C-A199-4083-9C16-7C50F3415005}" sqref="H29" showErrorMessage="1" errorTitle="An invalid feedback was entered" error="Please choose feedback from drop down only.">
      <formula1>"Yes,No,FlexRET"</formula1>
    </dataValidation>
    <dataValidation type="list" xr:uid="{7B389F42-496C-4ACB-A18B-287CF1300CCF}" sqref="I29" showErrorMessage="1" errorTitle="An invalid feedback was entered" error="Please choose feedback from drop down only.">
      <formula1>"Yes,No,FlexRET"</formula1>
    </dataValidation>
    <dataValidation type="list" xr:uid="{0B4154BC-CB53-4DD7-9136-421A8F636B5B}" sqref="J29" showErrorMessage="1" errorTitle="An invalid feedback was entered" error="Please choose feedback from drop down only.">
      <formula1>"Yes,No,FlexRET"</formula1>
    </dataValidation>
    <dataValidation type="list" xr:uid="{8FA2D4BF-57D5-4E24-AC69-5F3B51063B16}" sqref="K29" showErrorMessage="1" errorTitle="An invalid feedback was entered" error="Please choose feedback from drop down only.">
      <formula1>"Yes,No,FlexRET"</formula1>
    </dataValidation>
    <dataValidation type="list" xr:uid="{4ABCFFBC-B0DB-421C-9951-A5102439C2E4}" sqref="L29" showErrorMessage="1" errorTitle="An invalid feedback was entered" error="Please choose feedback from drop down only.">
      <formula1>"Yes,No,FlexRET"</formula1>
    </dataValidation>
    <dataValidation type="list" xr:uid="{07C48C7D-D816-4C4F-96B5-CE5734C09300}" sqref="M29" showErrorMessage="1" errorTitle="An invalid feedback was entered" error="Please choose feedback from drop down only.">
      <formula1>"Yes,No,FlexRET"</formula1>
    </dataValidation>
    <dataValidation type="list" xr:uid="{C9F96B10-4345-44AB-B163-36DA9566E930}" sqref="N29" showErrorMessage="1" errorTitle="An invalid feedback was entered" error="Please choose feedback from drop down only.">
      <formula1>"Yes,No,FlexRET"</formula1>
    </dataValidation>
    <dataValidation type="list" xr:uid="{24CE4E22-1775-4221-A04D-81DB426B59C1}" sqref="O29" showErrorMessage="1" errorTitle="An invalid feedback was entered" error="Please choose feedback from drop down only.">
      <formula1>"Yes,No,FlexRET"</formula1>
    </dataValidation>
    <dataValidation type="list" xr:uid="{484B2A7A-11CA-4E90-8478-AD13594ECC68}" sqref="P29" showErrorMessage="1" errorTitle="An invalid feedback was entered" error="Please choose feedback from drop down only.">
      <formula1>"Yes,No,FlexRET"</formula1>
    </dataValidation>
    <dataValidation type="list" xr:uid="{808B6CD7-75DC-42A4-97E1-73A88DB7D578}" sqref="Q29" showErrorMessage="1" errorTitle="An invalid feedback was entered" error="Please choose feedback from drop down only.">
      <formula1>"Yes,No,FlexRET"</formula1>
    </dataValidation>
    <dataValidation type="list" xr:uid="{4E4D3507-8A14-4024-BB6A-E1B0BF04D6B5}" sqref="C25" showErrorMessage="1" errorTitle="An invalid feedback was entered" error="Please choose feedback from drop down only.">
      <formula1>"G,U,L,NR,GU,UL,GL,GUL,LNR,ULNR,None"</formula1>
    </dataValidation>
    <dataValidation type="list" xr:uid="{7C34EC20-D27C-4CC0-AB9B-3C555145353F}" sqref="D25" showErrorMessage="1" errorTitle="An invalid feedback was entered" error="Please choose feedback from drop down only.">
      <formula1>"G,U,L,NR,GU,UL,GL,GUL,LNR,ULNR,None"</formula1>
    </dataValidation>
    <dataValidation type="list" xr:uid="{801C8C6F-D799-42FE-A3A7-D8D72E68E513}" sqref="E25" showErrorMessage="1" errorTitle="An invalid feedback was entered" error="Please choose feedback from drop down only.">
      <formula1>"G,U,L,NR,GU,UL,GL,GUL,LNR,ULNR,None"</formula1>
    </dataValidation>
    <dataValidation type="list" xr:uid="{2C63E5FB-CE8E-41E7-ACC6-570B47B303C5}" sqref="F25" showErrorMessage="1" errorTitle="An invalid feedback was entered" error="Please choose feedback from drop down only.">
      <formula1>"G,U,L,NR,GU,UL,GL,GUL,LNR,ULNR,None"</formula1>
    </dataValidation>
    <dataValidation type="list" xr:uid="{60D90E89-A3CE-4C63-B5A9-36BE001F5DF4}" sqref="G25" showErrorMessage="1" errorTitle="An invalid feedback was entered" error="Please choose feedback from drop down only.">
      <formula1>"G,U,L,NR,GU,UL,GL,GUL,LNR,ULNR,None"</formula1>
    </dataValidation>
    <dataValidation type="list" xr:uid="{A821D70B-053F-4810-B382-77A75BBA42D2}" sqref="H25" showErrorMessage="1" errorTitle="An invalid feedback was entered" error="Please choose feedback from drop down only.">
      <formula1>"G,U,L,NR,GU,UL,GL,GUL,LNR,ULNR,None"</formula1>
    </dataValidation>
    <dataValidation type="list" xr:uid="{D0E50DE7-74B9-44A2-BC92-689AFE72FBCF}" sqref="I25" showErrorMessage="1" errorTitle="An invalid feedback was entered" error="Please choose feedback from drop down only.">
      <formula1>"G,U,L,NR,GU,UL,GL,GUL,LNR,ULNR,None"</formula1>
    </dataValidation>
    <dataValidation type="list" xr:uid="{95E740CB-0625-46FF-B686-A66620EF100E}" sqref="J25" showErrorMessage="1" errorTitle="An invalid feedback was entered" error="Please choose feedback from drop down only.">
      <formula1>"G,U,L,NR,GU,UL,GL,GUL,LNR,ULNR,None"</formula1>
    </dataValidation>
    <dataValidation type="list" xr:uid="{199E4A2C-8805-4455-9C27-7E9815BA5639}" sqref="K25" showErrorMessage="1" errorTitle="An invalid feedback was entered" error="Please choose feedback from drop down only.">
      <formula1>"G,U,L,NR,GU,UL,GL,GUL,LNR,ULNR,None"</formula1>
    </dataValidation>
    <dataValidation type="list" xr:uid="{8EF1FAA8-3EBC-44B6-888D-28DD667E070C}" sqref="L25" showErrorMessage="1" errorTitle="An invalid feedback was entered" error="Please choose feedback from drop down only.">
      <formula1>"G,U,L,NR,GU,UL,GL,GUL,LNR,ULNR,None"</formula1>
    </dataValidation>
    <dataValidation type="list" xr:uid="{139F6550-A7D5-4818-8BC6-E4945F743B54}" sqref="M25" showErrorMessage="1" errorTitle="An invalid feedback was entered" error="Please choose feedback from drop down only.">
      <formula1>"G,U,L,NR,GU,UL,GL,GUL,LNR,ULNR,None"</formula1>
    </dataValidation>
    <dataValidation type="list" xr:uid="{2506F8B3-2D03-45FE-A8F2-D9EC94F8C6FA}" sqref="N25" showErrorMessage="1" errorTitle="An invalid feedback was entered" error="Please choose feedback from drop down only.">
      <formula1>"G,U,L,NR,GU,UL,GL,GUL,LNR,ULNR,None"</formula1>
    </dataValidation>
    <dataValidation type="list" xr:uid="{A2AF5CC6-ACC5-419F-A6C9-32146A7218E2}" sqref="O25" showErrorMessage="1" errorTitle="An invalid feedback was entered" error="Please choose feedback from drop down only.">
      <formula1>"G,U,L,NR,GU,UL,GL,GUL,LNR,ULNR,None"</formula1>
    </dataValidation>
    <dataValidation type="list" xr:uid="{84A65F99-1975-4B59-A344-D80D255D245C}" sqref="P25" showErrorMessage="1" errorTitle="An invalid feedback was entered" error="Please choose feedback from drop down only.">
      <formula1>"G,U,L,NR,GU,UL,GL,GUL,LNR,ULNR,None"</formula1>
    </dataValidation>
    <dataValidation type="list" xr:uid="{82A2891D-5519-42F2-ABA0-D5CD6EC56916}" sqref="Q25" showErrorMessage="1" errorTitle="An invalid feedback was entered" error="Please choose feedback from drop down only.">
      <formula1>"G,U,L,NR,GU,UL,GL,GUL,LNR,ULNR,None"</formula1>
    </dataValidation>
    <dataValidation type="list" xr:uid="{F982CACF-45D9-4E67-ACE9-116615F6A893}" sqref="C37" showErrorMessage="1" errorTitle="An invalid feedback was entered" error="Please choose feedback from drop down only.">
      <formula1>"Yes,No,SASU,SASU/SASA,DCS/UMTS2100share,78210440,78211110,78210510,DTMA UMTS 12 ASIG,78211106,78210312,TMA 900 Tower amplifier,TMA900,MI-15832,MI-16331,MI-12731,MI-12031,N/A,Unknown,None"</formula1>
    </dataValidation>
    <dataValidation type="list" xr:uid="{E5B2F17B-EFEF-4F87-87B2-7673FACD9F2E}" sqref="D37" showErrorMessage="1" errorTitle="An invalid feedback was entered" error="Please choose feedback from drop down only.">
      <formula1>"Yes,No,SASU,SASU/SASA,DCS/UMTS2100share,78210440,78211110,78210510,DTMA UMTS 12 ASIG,78211106,78210312,TMA 900 Tower amplifier,TMA900,MI-15832,MI-16331,MI-12731,MI-12031,N/A,Unknown,None"</formula1>
    </dataValidation>
    <dataValidation type="list" xr:uid="{3A8811FD-1636-467D-AE31-9F751BD69AE2}" sqref="E37" showErrorMessage="1" errorTitle="An invalid feedback was entered" error="Please choose feedback from drop down only.">
      <formula1>"Yes,No,SASU,SASU/SASA,DCS/UMTS2100share,78210440,78211110,78210510,DTMA UMTS 12 ASIG,78211106,78210312,TMA 900 Tower amplifier,TMA900,MI-15832,MI-16331,MI-12731,MI-12031,N/A,Unknown,None"</formula1>
    </dataValidation>
    <dataValidation type="list" xr:uid="{EFF112E0-CA82-4EC3-B23F-1D0F0CA0C707}" sqref="F37" showErrorMessage="1" errorTitle="An invalid feedback was entered" error="Please choose feedback from drop down only.">
      <formula1>"Yes,No,SASU,SASU/SASA,DCS/UMTS2100share,78210440,78211110,78210510,DTMA UMTS 12 ASIG,78211106,78210312,TMA 900 Tower amplifier,TMA900,MI-15832,MI-16331,MI-12731,MI-12031,N/A,Unknown,None"</formula1>
    </dataValidation>
    <dataValidation type="list" xr:uid="{E84E0B38-F9C6-4987-B61B-41CBF1F461F3}" sqref="G37" showErrorMessage="1" errorTitle="An invalid feedback was entered" error="Please choose feedback from drop down only.">
      <formula1>"Yes,No,SASU,SASU/SASA,DCS/UMTS2100share,78210440,78211110,78210510,DTMA UMTS 12 ASIG,78211106,78210312,TMA 900 Tower amplifier,TMA900,MI-15832,MI-16331,MI-12731,MI-12031,N/A,Unknown,None"</formula1>
    </dataValidation>
    <dataValidation type="list" xr:uid="{415DDA51-35FE-408A-96FB-E4D416FB36AE}" sqref="H37" showErrorMessage="1" errorTitle="An invalid feedback was entered" error="Please choose feedback from drop down only.">
      <formula1>"Yes,No,SASU,SASU/SASA,DCS/UMTS2100share,78210440,78211110,78210510,DTMA UMTS 12 ASIG,78211106,78210312,TMA 900 Tower amplifier,TMA900,MI-15832,MI-16331,MI-12731,MI-12031,N/A,Unknown,None"</formula1>
    </dataValidation>
    <dataValidation type="list" xr:uid="{55D91F67-509E-4874-88BF-953F51BB3195}" sqref="I37" showErrorMessage="1" errorTitle="An invalid feedback was entered" error="Please choose feedback from drop down only.">
      <formula1>"Yes,No,SASU,SASU/SASA,DCS/UMTS2100share,78210440,78211110,78210510,DTMA UMTS 12 ASIG,78211106,78210312,TMA 900 Tower amplifier,TMA900,MI-15832,MI-16331,MI-12731,MI-12031,N/A,Unknown,None"</formula1>
    </dataValidation>
    <dataValidation type="list" xr:uid="{E49B8469-B1D4-41EF-9EA0-E631A7C47475}" sqref="J37" showErrorMessage="1" errorTitle="An invalid feedback was entered" error="Please choose feedback from drop down only.">
      <formula1>"Yes,No,SASU,SASU/SASA,DCS/UMTS2100share,78210440,78211110,78210510,DTMA UMTS 12 ASIG,78211106,78210312,TMA 900 Tower amplifier,TMA900,MI-15832,MI-16331,MI-12731,MI-12031,N/A,Unknown,None"</formula1>
    </dataValidation>
    <dataValidation type="list" xr:uid="{CCAB3E3C-B1F1-497D-B075-5E9D2F414270}" sqref="K37" showErrorMessage="1" errorTitle="An invalid feedback was entered" error="Please choose feedback from drop down only.">
      <formula1>"Yes,No,SASU,SASU/SASA,DCS/UMTS2100share,78210440,78211110,78210510,DTMA UMTS 12 ASIG,78211106,78210312,TMA 900 Tower amplifier,TMA900,MI-15832,MI-16331,MI-12731,MI-12031,N/A,Unknown,None"</formula1>
    </dataValidation>
    <dataValidation type="list" xr:uid="{4CDBDE17-F2E1-4C7D-8AA5-249C4E118D01}" sqref="L37" showErrorMessage="1" errorTitle="An invalid feedback was entered" error="Please choose feedback from drop down only.">
      <formula1>"Yes,No,SASU,SASU/SASA,DCS/UMTS2100share,78210440,78211110,78210510,DTMA UMTS 12 ASIG,78211106,78210312,TMA 900 Tower amplifier,TMA900,MI-15832,MI-16331,MI-12731,MI-12031,N/A,Unknown,None"</formula1>
    </dataValidation>
    <dataValidation type="list" xr:uid="{14C7C344-F054-4CAC-8B20-D513FB923B55}" sqref="M37" showErrorMessage="1" errorTitle="An invalid feedback was entered" error="Please choose feedback from drop down only.">
      <formula1>"Yes,No,SASU,SASU/SASA,DCS/UMTS2100share,78210440,78211110,78210510,DTMA UMTS 12 ASIG,78211106,78210312,TMA 900 Tower amplifier,TMA900,MI-15832,MI-16331,MI-12731,MI-12031,N/A,Unknown,None"</formula1>
    </dataValidation>
    <dataValidation type="list" xr:uid="{D4C8F0EE-6C74-426F-8D22-7AF30868EB43}" sqref="N37" showErrorMessage="1" errorTitle="An invalid feedback was entered" error="Please choose feedback from drop down only.">
      <formula1>"Yes,No,SASU,SASU/SASA,DCS/UMTS2100share,78210440,78211110,78210510,DTMA UMTS 12 ASIG,78211106,78210312,TMA 900 Tower amplifier,TMA900,MI-15832,MI-16331,MI-12731,MI-12031,N/A,Unknown,None"</formula1>
    </dataValidation>
    <dataValidation type="list" xr:uid="{D799D35C-C0A5-4600-B93B-8D9475DB5A4A}" sqref="O37" showErrorMessage="1" errorTitle="An invalid feedback was entered" error="Please choose feedback from drop down only.">
      <formula1>"Yes,No,SASU,SASU/SASA,DCS/UMTS2100share,78210440,78211110,78210510,DTMA UMTS 12 ASIG,78211106,78210312,TMA 900 Tower amplifier,TMA900,MI-15832,MI-16331,MI-12731,MI-12031,N/A,Unknown,None"</formula1>
    </dataValidation>
    <dataValidation type="list" xr:uid="{0C32D2D1-946D-47CF-BEE9-A068B24B4F02}" sqref="P37" showErrorMessage="1" errorTitle="An invalid feedback was entered" error="Please choose feedback from drop down only.">
      <formula1>"Yes,No,SASU,SASU/SASA,DCS/UMTS2100share,78210440,78211110,78210510,DTMA UMTS 12 ASIG,78211106,78210312,TMA 900 Tower amplifier,TMA900,MI-15832,MI-16331,MI-12731,MI-12031,N/A,Unknown,None"</formula1>
    </dataValidation>
    <dataValidation type="list" xr:uid="{E05DDEFC-8F58-435E-82F0-F22EA64A3944}" sqref="Q37" showErrorMessage="1" errorTitle="An invalid feedback was entered" error="Please choose feedback from drop down only.">
      <formula1>"Yes,No,SASU,SASU/SASA,DCS/UMTS2100share,78210440,78211110,78210510,DTMA UMTS 12 ASIG,78211106,78210312,TMA 900 Tower amplifier,TMA900,MI-15832,MI-16331,MI-12731,MI-12031,N/A,Unknown,None"</formula1>
    </dataValidation>
  </dataValidations>
  <pageMargins left="0.25" right="0.25" top="0.75" bottom="0.75" header="0.3" footer="0.3"/>
  <pageSetup paperSize="9" scale="56" fitToHeight="0" orientation="portrait"/>
  <headerFooter/>
  <extLst>
    <ext xmlns:x14="http://schemas.microsoft.com/office/spreadsheetml/2009/9/main" uri="{CCE6A557-97BC-4b89-ADB6-D9C93CAAB3DF}">
      <x14:dataValidations xmlns:xm="http://schemas.microsoft.com/office/excel/2006/main" count="60">
        <x14:dataValidation type="list" xr:uid="{DECA8C18-DDF9-4FAC-A120-01C365A0FD9A}" error="Please choose feedback from drop down only." errorTitle="An invalid feedback was entered" showErrorMessage="1">
          <x14:formula1>
            <xm:f>Antennas!A:A</xm:f>
          </x14:formula1>
          <xm:sqref>C8</xm:sqref>
        </x14:dataValidation>
        <x14:dataValidation type="list" xr:uid="{9BA7A202-C648-4BF9-B1B1-C7E4CE436F80}" error="Please choose feedback from drop down only." errorTitle="An invalid feedback was entered" showErrorMessage="1">
          <x14:formula1>
            <xm:f>Antennas!A:A</xm:f>
          </x14:formula1>
          <xm:sqref>D8</xm:sqref>
        </x14:dataValidation>
        <x14:dataValidation type="list" xr:uid="{599E1BBA-BAF5-4F06-9B77-9B948723F995}" error="Please choose feedback from drop down only." errorTitle="An invalid feedback was entered" showErrorMessage="1">
          <x14:formula1>
            <xm:f>Antennas!A:A</xm:f>
          </x14:formula1>
          <xm:sqref>E8</xm:sqref>
        </x14:dataValidation>
        <x14:dataValidation type="list" xr:uid="{83D7BF1A-6A2F-4888-8A16-57255A9A1C6C}" error="Please choose feedback from drop down only." errorTitle="An invalid feedback was entered" showErrorMessage="1">
          <x14:formula1>
            <xm:f>Antennas!A:A</xm:f>
          </x14:formula1>
          <xm:sqref>F8</xm:sqref>
        </x14:dataValidation>
        <x14:dataValidation type="list" xr:uid="{EBA338C7-227C-47EB-8E4A-BEB000DD4C8D}" error="Please choose feedback from drop down only." errorTitle="An invalid feedback was entered" showErrorMessage="1">
          <x14:formula1>
            <xm:f>Antennas!A:A</xm:f>
          </x14:formula1>
          <xm:sqref>G8</xm:sqref>
        </x14:dataValidation>
        <x14:dataValidation type="list" xr:uid="{D7B23B7E-966C-42BB-B028-F14879B16ADE}" error="Please choose feedback from drop down only." errorTitle="An invalid feedback was entered" showErrorMessage="1">
          <x14:formula1>
            <xm:f>Antennas!A:A</xm:f>
          </x14:formula1>
          <xm:sqref>H8</xm:sqref>
        </x14:dataValidation>
        <x14:dataValidation type="list" xr:uid="{81BCAA30-B69E-4CA2-A499-3130460DD359}" error="Please choose feedback from drop down only." errorTitle="An invalid feedback was entered" showErrorMessage="1">
          <x14:formula1>
            <xm:f>Antennas!A:A</xm:f>
          </x14:formula1>
          <xm:sqref>I8</xm:sqref>
        </x14:dataValidation>
        <x14:dataValidation type="list" xr:uid="{A9F05400-84F5-40A8-9633-35462E94BCF5}" error="Please choose feedback from drop down only." errorTitle="An invalid feedback was entered" showErrorMessage="1">
          <x14:formula1>
            <xm:f>Antennas!A:A</xm:f>
          </x14:formula1>
          <xm:sqref>J8</xm:sqref>
        </x14:dataValidation>
        <x14:dataValidation type="list" xr:uid="{BA4A1809-4A16-43D7-8BC7-E5622DC645AE}" error="Please choose feedback from drop down only." errorTitle="An invalid feedback was entered" showErrorMessage="1">
          <x14:formula1>
            <xm:f>Antennas!A:A</xm:f>
          </x14:formula1>
          <xm:sqref>K8</xm:sqref>
        </x14:dataValidation>
        <x14:dataValidation type="list" xr:uid="{384E03B3-9166-47DF-8E93-EAB27CF632AF}" error="Please choose feedback from drop down only." errorTitle="An invalid feedback was entered" showErrorMessage="1">
          <x14:formula1>
            <xm:f>Antennas!A:A</xm:f>
          </x14:formula1>
          <xm:sqref>L8</xm:sqref>
        </x14:dataValidation>
        <x14:dataValidation type="list" xr:uid="{C5DDE366-4CE7-426C-9196-657B4B1BB718}" error="Please choose feedback from drop down only." errorTitle="An invalid feedback was entered" showErrorMessage="1">
          <x14:formula1>
            <xm:f>Antennas!A:A</xm:f>
          </x14:formula1>
          <xm:sqref>M8</xm:sqref>
        </x14:dataValidation>
        <x14:dataValidation type="list" xr:uid="{33BA8395-B1FF-4560-81F7-43886B3A4C5D}" error="Please choose feedback from drop down only." errorTitle="An invalid feedback was entered" showErrorMessage="1">
          <x14:formula1>
            <xm:f>Antennas!A:A</xm:f>
          </x14:formula1>
          <xm:sqref>N8</xm:sqref>
        </x14:dataValidation>
        <x14:dataValidation type="list" xr:uid="{3EF631C8-1602-45B0-BCBD-27A9F31505EE}" error="Please choose feedback from drop down only." errorTitle="An invalid feedback was entered" showErrorMessage="1">
          <x14:formula1>
            <xm:f>Antennas!A:A</xm:f>
          </x14:formula1>
          <xm:sqref>O8</xm:sqref>
        </x14:dataValidation>
        <x14:dataValidation type="list" xr:uid="{3985164F-D08D-4A96-A2FA-A7ADA9E01A0D}" error="Please choose feedback from drop down only." errorTitle="An invalid feedback was entered" showErrorMessage="1">
          <x14:formula1>
            <xm:f>Antennas!A:A</xm:f>
          </x14:formula1>
          <xm:sqref>P8</xm:sqref>
        </x14:dataValidation>
        <x14:dataValidation type="list" xr:uid="{CECF5A2D-1E18-4DB2-B591-575EC525993D}" error="Please choose feedback from drop down only." errorTitle="An invalid feedback was entered" showErrorMessage="1">
          <x14:formula1>
            <xm:f>Antennas!A:A</xm:f>
          </x14:formula1>
          <xm:sqref>Q8</xm:sqref>
        </x14:dataValidation>
        <x14:dataValidation type="list" xr:uid="{A487BE8F-09FA-486D-A57B-45E95C469B38}" error="Please choose feedback from drop down only." errorTitle="An invalid feedback was entered" showErrorMessage="1">
          <x14:formula1>
            <xm:f>Combiners!A:A</xm:f>
          </x14:formula1>
          <xm:sqref>C39</xm:sqref>
        </x14:dataValidation>
        <x14:dataValidation type="list" xr:uid="{16EE0295-9606-4B42-8D37-196CEA6541C6}" error="Please choose feedback from drop down only." errorTitle="An invalid feedback was entered" showErrorMessage="1">
          <x14:formula1>
            <xm:f>Combiners!A:A</xm:f>
          </x14:formula1>
          <xm:sqref>D39</xm:sqref>
        </x14:dataValidation>
        <x14:dataValidation type="list" xr:uid="{0F2253DF-958C-4752-B4BF-B8B163433BC1}" error="Please choose feedback from drop down only." errorTitle="An invalid feedback was entered" showErrorMessage="1">
          <x14:formula1>
            <xm:f>Combiners!A:A</xm:f>
          </x14:formula1>
          <xm:sqref>E39</xm:sqref>
        </x14:dataValidation>
        <x14:dataValidation type="list" xr:uid="{25BA28FF-B9AE-4F1B-B825-52DE8A226238}" error="Please choose feedback from drop down only." errorTitle="An invalid feedback was entered" showErrorMessage="1">
          <x14:formula1>
            <xm:f>Combiners!A:A</xm:f>
          </x14:formula1>
          <xm:sqref>F39</xm:sqref>
        </x14:dataValidation>
        <x14:dataValidation type="list" xr:uid="{BDEEBE06-571C-4EE6-AEDE-4F77B9E53A32}" error="Please choose feedback from drop down only." errorTitle="An invalid feedback was entered" showErrorMessage="1">
          <x14:formula1>
            <xm:f>Combiners!A:A</xm:f>
          </x14:formula1>
          <xm:sqref>G39</xm:sqref>
        </x14:dataValidation>
        <x14:dataValidation type="list" xr:uid="{950D0BB2-E14D-4E25-83A9-F613452263A2}" error="Please choose feedback from drop down only." errorTitle="An invalid feedback was entered" showErrorMessage="1">
          <x14:formula1>
            <xm:f>Combiners!A:A</xm:f>
          </x14:formula1>
          <xm:sqref>H39</xm:sqref>
        </x14:dataValidation>
        <x14:dataValidation type="list" xr:uid="{E2E098EA-E346-40CD-B5DE-CEBE5C4250FF}" error="Please choose feedback from drop down only." errorTitle="An invalid feedback was entered" showErrorMessage="1">
          <x14:formula1>
            <xm:f>Combiners!A:A</xm:f>
          </x14:formula1>
          <xm:sqref>I39</xm:sqref>
        </x14:dataValidation>
        <x14:dataValidation type="list" xr:uid="{2AFEF689-B422-4605-8550-534C4489CDA9}" error="Please choose feedback from drop down only." errorTitle="An invalid feedback was entered" showErrorMessage="1">
          <x14:formula1>
            <xm:f>Combiners!A:A</xm:f>
          </x14:formula1>
          <xm:sqref>J39</xm:sqref>
        </x14:dataValidation>
        <x14:dataValidation type="list" xr:uid="{B51CA7EC-1BC8-450B-9A2D-759DBDFD7C01}" error="Please choose feedback from drop down only." errorTitle="An invalid feedback was entered" showErrorMessage="1">
          <x14:formula1>
            <xm:f>Combiners!A:A</xm:f>
          </x14:formula1>
          <xm:sqref>K39</xm:sqref>
        </x14:dataValidation>
        <x14:dataValidation type="list" xr:uid="{F04EB3F8-B7CA-440C-ADFE-A9390E20DDA4}" error="Please choose feedback from drop down only." errorTitle="An invalid feedback was entered" showErrorMessage="1">
          <x14:formula1>
            <xm:f>Combiners!A:A</xm:f>
          </x14:formula1>
          <xm:sqref>L39</xm:sqref>
        </x14:dataValidation>
        <x14:dataValidation type="list" xr:uid="{C201C8FF-7C5B-4D32-BEB6-5BF998825EC0}" error="Please choose feedback from drop down only." errorTitle="An invalid feedback was entered" showErrorMessage="1">
          <x14:formula1>
            <xm:f>Combiners!A:A</xm:f>
          </x14:formula1>
          <xm:sqref>M39</xm:sqref>
        </x14:dataValidation>
        <x14:dataValidation type="list" xr:uid="{BAD172D7-A264-471E-BC02-6A16F917A340}" error="Please choose feedback from drop down only." errorTitle="An invalid feedback was entered" showErrorMessage="1">
          <x14:formula1>
            <xm:f>Combiners!A:A</xm:f>
          </x14:formula1>
          <xm:sqref>N39</xm:sqref>
        </x14:dataValidation>
        <x14:dataValidation type="list" xr:uid="{017A7BDE-22ED-4CC7-AEF6-3185DD9E1F06}" error="Please choose feedback from drop down only." errorTitle="An invalid feedback was entered" showErrorMessage="1">
          <x14:formula1>
            <xm:f>Combiners!A:A</xm:f>
          </x14:formula1>
          <xm:sqref>O39</xm:sqref>
        </x14:dataValidation>
        <x14:dataValidation type="list" xr:uid="{E024D5B5-3049-445E-B17D-9E770585474D}" error="Please choose feedback from drop down only." errorTitle="An invalid feedback was entered" showErrorMessage="1">
          <x14:formula1>
            <xm:f>Combiners!A:A</xm:f>
          </x14:formula1>
          <xm:sqref>P39</xm:sqref>
        </x14:dataValidation>
        <x14:dataValidation type="list" xr:uid="{417D5666-03CE-47A7-9849-1D79EA411B56}" error="Please choose feedback from drop down only." errorTitle="An invalid feedback was entered" showErrorMessage="1">
          <x14:formula1>
            <xm:f>Combiners!A:A</xm:f>
          </x14:formula1>
          <xm:sqref>Q39</xm:sqref>
        </x14:dataValidation>
        <x14:dataValidation type="list" xr:uid="{724183A7-4131-44DA-8DC9-3AC551CA6A4C}" error="Please choose feedback from drop down only." errorTitle="An invalid feedback was entered" showErrorMessage="0">
          <x14:formula1>
            <xm:f>RRUs!A:A</xm:f>
          </x14:formula1>
          <xm:sqref>C35</xm:sqref>
        </x14:dataValidation>
        <x14:dataValidation type="list" xr:uid="{D89640B2-4A5C-4C77-8538-D25D898F63CF}" error="Please choose feedback from drop down only." errorTitle="An invalid feedback was entered" showErrorMessage="0">
          <x14:formula1>
            <xm:f>RRUs!A:A</xm:f>
          </x14:formula1>
          <xm:sqref>D35</xm:sqref>
        </x14:dataValidation>
        <x14:dataValidation type="list" xr:uid="{0417AE7B-6B09-4437-B11C-A528FB435A45}" error="Please choose feedback from drop down only." errorTitle="An invalid feedback was entered" showErrorMessage="0">
          <x14:formula1>
            <xm:f>RRUs!A:A</xm:f>
          </x14:formula1>
          <xm:sqref>E35</xm:sqref>
        </x14:dataValidation>
        <x14:dataValidation type="list" xr:uid="{A94B6EEB-D58E-40C8-9DB8-AA6171D44337}" error="Please choose feedback from drop down only." errorTitle="An invalid feedback was entered" showErrorMessage="0">
          <x14:formula1>
            <xm:f>RRUs!A:A</xm:f>
          </x14:formula1>
          <xm:sqref>F35</xm:sqref>
        </x14:dataValidation>
        <x14:dataValidation type="list" xr:uid="{7673E57E-6032-4CBF-917F-B1E4C0AA17C7}" error="Please choose feedback from drop down only." errorTitle="An invalid feedback was entered" showErrorMessage="0">
          <x14:formula1>
            <xm:f>RRUs!A:A</xm:f>
          </x14:formula1>
          <xm:sqref>G35</xm:sqref>
        </x14:dataValidation>
        <x14:dataValidation type="list" xr:uid="{747724C7-EE15-429B-BA2E-C8215543B1CC}" error="Please choose feedback from drop down only." errorTitle="An invalid feedback was entered" showErrorMessage="0">
          <x14:formula1>
            <xm:f>RRUs!A:A</xm:f>
          </x14:formula1>
          <xm:sqref>H35</xm:sqref>
        </x14:dataValidation>
        <x14:dataValidation type="list" xr:uid="{F508696D-A54A-4BCC-B71C-70B7315362B5}" error="Please choose feedback from drop down only." errorTitle="An invalid feedback was entered" showErrorMessage="0">
          <x14:formula1>
            <xm:f>RRUs!A:A</xm:f>
          </x14:formula1>
          <xm:sqref>I35</xm:sqref>
        </x14:dataValidation>
        <x14:dataValidation type="list" xr:uid="{03FCC5EF-F276-4107-84FE-F84F22857300}" error="Please choose feedback from drop down only." errorTitle="An invalid feedback was entered" showErrorMessage="0">
          <x14:formula1>
            <xm:f>RRUs!A:A</xm:f>
          </x14:formula1>
          <xm:sqref>J35</xm:sqref>
        </x14:dataValidation>
        <x14:dataValidation type="list" xr:uid="{5F05E357-55F1-4BB3-B9F7-AFB71F85D79F}" error="Please choose feedback from drop down only." errorTitle="An invalid feedback was entered" showErrorMessage="0">
          <x14:formula1>
            <xm:f>RRUs!A:A</xm:f>
          </x14:formula1>
          <xm:sqref>K35</xm:sqref>
        </x14:dataValidation>
        <x14:dataValidation type="list" xr:uid="{54374FC1-5DB0-4CCA-8612-12AEC05ECD1C}" error="Please choose feedback from drop down only." errorTitle="An invalid feedback was entered" showErrorMessage="0">
          <x14:formula1>
            <xm:f>RRUs!A:A</xm:f>
          </x14:formula1>
          <xm:sqref>L35</xm:sqref>
        </x14:dataValidation>
        <x14:dataValidation type="list" xr:uid="{7A8DC3D9-8090-42E5-8A24-331874E2E8C2}" error="Please choose feedback from drop down only." errorTitle="An invalid feedback was entered" showErrorMessage="0">
          <x14:formula1>
            <xm:f>RRUs!A:A</xm:f>
          </x14:formula1>
          <xm:sqref>M35</xm:sqref>
        </x14:dataValidation>
        <x14:dataValidation type="list" xr:uid="{15824B08-4A2D-4B1E-9392-84A804E6814A}" error="Please choose feedback from drop down only." errorTitle="An invalid feedback was entered" showErrorMessage="0">
          <x14:formula1>
            <xm:f>RRUs!A:A</xm:f>
          </x14:formula1>
          <xm:sqref>N35</xm:sqref>
        </x14:dataValidation>
        <x14:dataValidation type="list" xr:uid="{49F1F3E6-6DF7-4E36-9409-0B7424530F82}" error="Please choose feedback from drop down only." errorTitle="An invalid feedback was entered" showErrorMessage="0">
          <x14:formula1>
            <xm:f>RRUs!A:A</xm:f>
          </x14:formula1>
          <xm:sqref>O35</xm:sqref>
        </x14:dataValidation>
        <x14:dataValidation type="list" xr:uid="{F5328101-A7BF-4D37-8BB3-95517D05152A}" error="Please choose feedback from drop down only." errorTitle="An invalid feedback was entered" showErrorMessage="0">
          <x14:formula1>
            <xm:f>RRUs!A:A</xm:f>
          </x14:formula1>
          <xm:sqref>P35</xm:sqref>
        </x14:dataValidation>
        <x14:dataValidation type="list" xr:uid="{556F3A03-35DC-416B-AC31-E168E8BDCE87}" error="Please choose feedback from drop down only." errorTitle="An invalid feedback was entered" showErrorMessage="0">
          <x14:formula1>
            <xm:f>RRUs!A:A</xm:f>
          </x14:formula1>
          <xm:sqref>Q35</xm:sqref>
        </x14:dataValidation>
        <x14:dataValidation type="list" xr:uid="{604373B2-7E3F-4C98-AC61-7EC64126A1EF}" error="Please choose feedback from drop down only." errorTitle="An invalid feedback was entered" showErrorMessage="1">
          <x14:formula1>
            <xm:f>Combiners!A:A</xm:f>
          </x14:formula1>
          <xm:sqref>C41</xm:sqref>
        </x14:dataValidation>
        <x14:dataValidation type="list" xr:uid="{E1D934C3-1E72-405F-BEE3-DA3F99F4546B}" error="Please choose feedback from drop down only." errorTitle="An invalid feedback was entered" showErrorMessage="1">
          <x14:formula1>
            <xm:f>Combiners!A:A</xm:f>
          </x14:formula1>
          <xm:sqref>D41</xm:sqref>
        </x14:dataValidation>
        <x14:dataValidation type="list" xr:uid="{66FDF0A7-5771-4844-B595-08E953371575}" error="Please choose feedback from drop down only." errorTitle="An invalid feedback was entered" showErrorMessage="1">
          <x14:formula1>
            <xm:f>Combiners!A:A</xm:f>
          </x14:formula1>
          <xm:sqref>E41</xm:sqref>
        </x14:dataValidation>
        <x14:dataValidation type="list" xr:uid="{D58ABC45-4E4A-4EC1-8A8B-62561EE1B7D8}" error="Please choose feedback from drop down only." errorTitle="An invalid feedback was entered" showErrorMessage="1">
          <x14:formula1>
            <xm:f>Combiners!A:A</xm:f>
          </x14:formula1>
          <xm:sqref>F41</xm:sqref>
        </x14:dataValidation>
        <x14:dataValidation type="list" xr:uid="{D38F8E97-FF8E-4728-B6EE-1809A5FDD540}" error="Please choose feedback from drop down only." errorTitle="An invalid feedback was entered" showErrorMessage="1">
          <x14:formula1>
            <xm:f>Combiners!A:A</xm:f>
          </x14:formula1>
          <xm:sqref>G41</xm:sqref>
        </x14:dataValidation>
        <x14:dataValidation type="list" xr:uid="{7ECD0272-FA28-45BF-A738-4219EFCF045F}" error="Please choose feedback from drop down only." errorTitle="An invalid feedback was entered" showErrorMessage="1">
          <x14:formula1>
            <xm:f>Combiners!A:A</xm:f>
          </x14:formula1>
          <xm:sqref>H41</xm:sqref>
        </x14:dataValidation>
        <x14:dataValidation type="list" xr:uid="{96733520-74BA-4173-8EFD-893915ABF943}" error="Please choose feedback from drop down only." errorTitle="An invalid feedback was entered" showErrorMessage="1">
          <x14:formula1>
            <xm:f>Combiners!A:A</xm:f>
          </x14:formula1>
          <xm:sqref>I41</xm:sqref>
        </x14:dataValidation>
        <x14:dataValidation type="list" xr:uid="{577C1972-A70B-4651-A7ED-D2D2EC6B7B5B}" error="Please choose feedback from drop down only." errorTitle="An invalid feedback was entered" showErrorMessage="1">
          <x14:formula1>
            <xm:f>Combiners!A:A</xm:f>
          </x14:formula1>
          <xm:sqref>J41</xm:sqref>
        </x14:dataValidation>
        <x14:dataValidation type="list" xr:uid="{22FC4A39-7AE2-4B96-A338-7DD22DD97E34}" error="Please choose feedback from drop down only." errorTitle="An invalid feedback was entered" showErrorMessage="1">
          <x14:formula1>
            <xm:f>Combiners!A:A</xm:f>
          </x14:formula1>
          <xm:sqref>K41</xm:sqref>
        </x14:dataValidation>
        <x14:dataValidation type="list" xr:uid="{3CFAE60E-C042-4B89-9F3E-7B4546C86D54}" error="Please choose feedback from drop down only." errorTitle="An invalid feedback was entered" showErrorMessage="1">
          <x14:formula1>
            <xm:f>Combiners!A:A</xm:f>
          </x14:formula1>
          <xm:sqref>L41</xm:sqref>
        </x14:dataValidation>
        <x14:dataValidation type="list" xr:uid="{B3F1BB34-721A-4542-8526-FC55E2DB63A8}" error="Please choose feedback from drop down only." errorTitle="An invalid feedback was entered" showErrorMessage="1">
          <x14:formula1>
            <xm:f>Combiners!A:A</xm:f>
          </x14:formula1>
          <xm:sqref>M41</xm:sqref>
        </x14:dataValidation>
        <x14:dataValidation type="list" xr:uid="{F6880DFC-70BB-45D6-B710-3E7FF7D5178C}" error="Please choose feedback from drop down only." errorTitle="An invalid feedback was entered" showErrorMessage="1">
          <x14:formula1>
            <xm:f>Combiners!A:A</xm:f>
          </x14:formula1>
          <xm:sqref>N41</xm:sqref>
        </x14:dataValidation>
        <x14:dataValidation type="list" xr:uid="{352E8C48-8A62-449B-BE16-665CAC478141}" error="Please choose feedback from drop down only." errorTitle="An invalid feedback was entered" showErrorMessage="1">
          <x14:formula1>
            <xm:f>Combiners!A:A</xm:f>
          </x14:formula1>
          <xm:sqref>O41</xm:sqref>
        </x14:dataValidation>
        <x14:dataValidation type="list" xr:uid="{BB403F3C-127B-487E-A2C7-F0EACB9CA065}" error="Please choose feedback from drop down only." errorTitle="An invalid feedback was entered" showErrorMessage="1">
          <x14:formula1>
            <xm:f>Combiners!A:A</xm:f>
          </x14:formula1>
          <xm:sqref>P41</xm:sqref>
        </x14:dataValidation>
        <x14:dataValidation type="list" xr:uid="{B458754D-0DC1-4D41-A5D0-70FC5F6770FF}" error="Please choose feedback from drop down only." errorTitle="An invalid feedback was entered" showErrorMessage="1">
          <x14:formula1>
            <xm:f>Combiners!A:A</xm:f>
          </x14:formula1>
          <xm:sqref>Q41</xm:sqref>
        </x14:dataValidation>
      </x14:dataValidations>
    </ext>
  </extLst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mc:Ignorable="x14ac xr">
  <sheetPr codeName="Sheet3">
    <pageSetUpPr fitToPage="1"/>
  </sheetPr>
  <dimension ref="A1:U45"/>
  <sheetViews>
    <sheetView zoomScale="90" zoomScaleNormal="90" workbookViewId="0">
      <selection sqref="A1:B1"/>
    </sheetView>
  </sheetViews>
  <sheetFormatPr defaultColWidth="9.1328125" defaultRowHeight="12.75"/>
  <cols>
    <col min="1" max="1" bestFit="1" width="10.265625" customWidth="1" style="6"/>
    <col min="2" max="2" bestFit="1" width="40.1328125" customWidth="1" style="7"/>
    <col min="3" max="7" width="9.1328125" customWidth="1" style="21"/>
    <col min="8" max="8" bestFit="1" width="9.3984375" customWidth="1" style="21"/>
    <col min="9" max="16384" width="9.1328125" customWidth="1" style="21"/>
  </cols>
  <sheetData>
    <row r="1" ht="25.15" customHeight="1">
      <c r="A1" s="197">
        <f>Common!B2</f>
        <v>0</v>
      </c>
      <c r="B1" s="198"/>
      <c r="C1" s="257" t="s">
        <v>71</v>
      </c>
      <c r="D1" s="258"/>
      <c r="E1" s="258"/>
      <c r="F1" s="258"/>
      <c r="G1" s="258"/>
      <c r="H1" s="258"/>
      <c r="I1" s="258"/>
      <c r="J1" s="258"/>
      <c r="K1" s="258"/>
      <c r="L1" s="258"/>
      <c r="M1" s="258"/>
      <c r="N1" s="258"/>
      <c r="O1" s="258"/>
      <c r="P1" s="259"/>
    </row>
    <row r="2" ht="18">
      <c r="A2" s="33"/>
      <c r="B2" s="14" t="s">
        <v>1</v>
      </c>
      <c r="C2" s="217">
        <v>1</v>
      </c>
      <c r="D2" s="251"/>
      <c r="E2" s="251"/>
      <c r="F2" s="251"/>
      <c r="G2" s="251"/>
      <c r="H2" s="219"/>
      <c r="I2" s="252">
        <v>2</v>
      </c>
      <c r="J2" s="253"/>
      <c r="K2" s="253"/>
      <c r="L2" s="254"/>
      <c r="M2" s="252">
        <v>3</v>
      </c>
      <c r="N2" s="253"/>
      <c r="O2" s="255"/>
      <c r="P2" s="72">
        <v>4</v>
      </c>
    </row>
    <row r="3" ht="17.25">
      <c r="A3" s="241"/>
      <c r="B3" s="12" t="s">
        <v>2</v>
      </c>
      <c r="C3" s="226"/>
      <c r="D3" s="227"/>
      <c r="E3" s="227"/>
      <c r="F3" s="227"/>
      <c r="G3" s="227"/>
      <c r="H3" s="227"/>
      <c r="I3" s="227"/>
      <c r="J3" s="227"/>
      <c r="K3" s="227"/>
      <c r="L3" s="227"/>
      <c r="M3" s="227"/>
      <c r="N3" s="227"/>
      <c r="O3" s="227"/>
      <c r="P3" s="228"/>
    </row>
    <row r="4" ht="25.15" s="22" customFormat="1">
      <c r="A4" s="241"/>
      <c r="B4" s="9" t="s">
        <v>3</v>
      </c>
      <c r="C4" s="248"/>
      <c r="D4" s="249"/>
      <c r="E4" s="249"/>
      <c r="F4" s="249"/>
      <c r="G4" s="249"/>
      <c r="H4" s="249"/>
      <c r="I4" s="249"/>
      <c r="J4" s="249"/>
      <c r="K4" s="249"/>
      <c r="L4" s="249"/>
      <c r="M4" s="249"/>
      <c r="N4" s="249"/>
      <c r="O4" s="249"/>
      <c r="P4" s="250"/>
    </row>
    <row r="5" ht="24.75">
      <c r="A5" s="241"/>
      <c r="B5" s="13" t="s">
        <v>4</v>
      </c>
      <c r="C5" s="245">
        <v>170</v>
      </c>
      <c r="D5" s="246"/>
      <c r="E5" s="246"/>
      <c r="F5" s="246"/>
      <c r="G5" s="246"/>
      <c r="H5" s="246"/>
      <c r="I5" s="246"/>
      <c r="J5" s="246"/>
      <c r="K5" s="246"/>
      <c r="L5" s="246"/>
      <c r="M5" s="246"/>
      <c r="N5" s="246"/>
      <c r="O5" s="246"/>
      <c r="P5" s="247"/>
    </row>
    <row r="6" ht="25.15" s="22" customFormat="1">
      <c r="A6" s="241"/>
      <c r="B6" s="32" t="s">
        <v>5</v>
      </c>
      <c r="C6" s="260"/>
      <c r="D6" s="261"/>
      <c r="E6" s="261"/>
      <c r="F6" s="261"/>
      <c r="G6" s="261"/>
      <c r="H6" s="261"/>
      <c r="I6" s="261"/>
      <c r="J6" s="261"/>
      <c r="K6" s="261"/>
      <c r="L6" s="261"/>
      <c r="M6" s="261"/>
      <c r="N6" s="261"/>
      <c r="O6" s="261"/>
      <c r="P6" s="262"/>
    </row>
    <row r="7" ht="17.25">
      <c r="A7" s="241"/>
      <c r="B7" s="8" t="s">
        <v>6</v>
      </c>
      <c r="C7" s="226" t="s">
        <v>7</v>
      </c>
      <c r="D7" s="227"/>
      <c r="E7" s="227"/>
      <c r="F7" s="227"/>
      <c r="G7" s="227"/>
      <c r="H7" s="228"/>
      <c r="I7" s="227"/>
      <c r="J7" s="227"/>
      <c r="K7" s="227"/>
      <c r="L7" s="228"/>
      <c r="M7" s="227"/>
      <c r="N7" s="227"/>
      <c r="O7" s="228"/>
      <c r="P7" s="90"/>
    </row>
    <row r="8" ht="17.65" s="22" customFormat="1">
      <c r="A8" s="241"/>
      <c r="B8" s="9" t="s">
        <v>8</v>
      </c>
      <c r="C8" s="229" t="s">
        <v>7</v>
      </c>
      <c r="D8" s="230"/>
      <c r="E8" s="230"/>
      <c r="F8" s="230"/>
      <c r="G8" s="230"/>
      <c r="H8" s="231"/>
      <c r="I8" s="229"/>
      <c r="J8" s="230"/>
      <c r="K8" s="230"/>
      <c r="L8" s="231"/>
      <c r="M8" s="229"/>
      <c r="N8" s="230"/>
      <c r="O8" s="231"/>
      <c r="P8" s="91"/>
    </row>
    <row r="9" ht="17.25">
      <c r="A9" s="241"/>
      <c r="B9" s="8" t="s">
        <v>9</v>
      </c>
      <c r="C9" s="211" t="s">
        <v>10</v>
      </c>
      <c r="D9" s="212"/>
      <c r="E9" s="212"/>
      <c r="F9" s="212"/>
      <c r="G9" s="212"/>
      <c r="H9" s="213"/>
      <c r="I9" s="212"/>
      <c r="J9" s="212"/>
      <c r="K9" s="212"/>
      <c r="L9" s="213"/>
      <c r="M9" s="212"/>
      <c r="N9" s="212"/>
      <c r="O9" s="213"/>
      <c r="P9" s="90"/>
    </row>
    <row r="10" ht="17.65" s="22" customFormat="1">
      <c r="A10" s="241"/>
      <c r="B10" s="10" t="s">
        <v>11</v>
      </c>
      <c r="C10" s="229"/>
      <c r="D10" s="230"/>
      <c r="E10" s="230"/>
      <c r="F10" s="230"/>
      <c r="G10" s="230"/>
      <c r="H10" s="231"/>
      <c r="I10" s="229"/>
      <c r="J10" s="230"/>
      <c r="K10" s="230"/>
      <c r="L10" s="231"/>
      <c r="M10" s="229"/>
      <c r="N10" s="230"/>
      <c r="O10" s="231"/>
      <c r="P10" s="91"/>
    </row>
    <row r="11" ht="17.25">
      <c r="A11" s="241"/>
      <c r="B11" s="8" t="s">
        <v>12</v>
      </c>
      <c r="C11" s="211">
        <v>24</v>
      </c>
      <c r="D11" s="212"/>
      <c r="E11" s="212"/>
      <c r="F11" s="212"/>
      <c r="G11" s="212"/>
      <c r="H11" s="213"/>
      <c r="I11" s="212"/>
      <c r="J11" s="212"/>
      <c r="K11" s="212"/>
      <c r="L11" s="213"/>
      <c r="M11" s="212"/>
      <c r="N11" s="212"/>
      <c r="O11" s="213"/>
      <c r="P11" s="90"/>
    </row>
    <row r="12" ht="17.65" s="22" customFormat="1">
      <c r="A12" s="241"/>
      <c r="B12" s="10" t="s">
        <v>13</v>
      </c>
      <c r="C12" s="214"/>
      <c r="D12" s="215"/>
      <c r="E12" s="215"/>
      <c r="F12" s="215"/>
      <c r="G12" s="215"/>
      <c r="H12" s="216"/>
      <c r="I12" s="214"/>
      <c r="J12" s="215"/>
      <c r="K12" s="215"/>
      <c r="L12" s="216"/>
      <c r="M12" s="214"/>
      <c r="N12" s="215"/>
      <c r="O12" s="216"/>
      <c r="P12" s="91"/>
    </row>
    <row r="13" ht="17.25">
      <c r="A13" s="241"/>
      <c r="B13" s="8" t="s">
        <v>14</v>
      </c>
      <c r="C13" s="211"/>
      <c r="D13" s="212"/>
      <c r="E13" s="212"/>
      <c r="F13" s="212"/>
      <c r="G13" s="212"/>
      <c r="H13" s="213"/>
      <c r="I13" s="212"/>
      <c r="J13" s="212"/>
      <c r="K13" s="212"/>
      <c r="L13" s="213"/>
      <c r="M13" s="212"/>
      <c r="N13" s="212"/>
      <c r="O13" s="213"/>
      <c r="P13" s="90"/>
    </row>
    <row r="14" ht="17.65" s="22" customFormat="1">
      <c r="A14" s="241"/>
      <c r="B14" s="10" t="s">
        <v>15</v>
      </c>
      <c r="C14" s="208"/>
      <c r="D14" s="209"/>
      <c r="E14" s="209"/>
      <c r="F14" s="209"/>
      <c r="G14" s="209"/>
      <c r="H14" s="210"/>
      <c r="I14" s="208"/>
      <c r="J14" s="209"/>
      <c r="K14" s="209"/>
      <c r="L14" s="210"/>
      <c r="M14" s="208"/>
      <c r="N14" s="209"/>
      <c r="O14" s="210"/>
      <c r="P14" s="92"/>
    </row>
    <row r="15" ht="17.25">
      <c r="A15" s="241"/>
      <c r="B15" s="8" t="s">
        <v>16</v>
      </c>
      <c r="C15" s="211">
        <v>-1</v>
      </c>
      <c r="D15" s="212"/>
      <c r="E15" s="212"/>
      <c r="F15" s="212"/>
      <c r="G15" s="212"/>
      <c r="H15" s="213"/>
      <c r="I15" s="212"/>
      <c r="J15" s="212"/>
      <c r="K15" s="212"/>
      <c r="L15" s="213"/>
      <c r="M15" s="212"/>
      <c r="N15" s="212"/>
      <c r="O15" s="213"/>
      <c r="P15" s="93"/>
    </row>
    <row r="16" ht="17.25" s="22" customFormat="1">
      <c r="A16" s="241"/>
      <c r="B16" s="68" t="s">
        <v>17</v>
      </c>
      <c r="C16" s="199"/>
      <c r="D16" s="200"/>
      <c r="E16" s="200"/>
      <c r="F16" s="200"/>
      <c r="G16" s="200"/>
      <c r="H16" s="201"/>
      <c r="I16" s="202"/>
      <c r="J16" s="203"/>
      <c r="K16" s="203"/>
      <c r="L16" s="204"/>
      <c r="M16" s="202"/>
      <c r="N16" s="203"/>
      <c r="O16" s="204"/>
      <c r="P16" s="75"/>
    </row>
    <row r="17" ht="17.25">
      <c r="A17" s="256"/>
      <c r="B17" s="70" t="s">
        <v>18</v>
      </c>
      <c r="C17" s="65" t="s">
        <v>19</v>
      </c>
      <c r="D17" s="65" t="s">
        <v>20</v>
      </c>
      <c r="E17" s="65" t="s">
        <v>21</v>
      </c>
      <c r="F17" s="65" t="s">
        <v>22</v>
      </c>
      <c r="G17" s="65" t="s">
        <v>23</v>
      </c>
      <c r="H17" s="65" t="s">
        <v>24</v>
      </c>
      <c r="I17" s="65" t="s">
        <v>19</v>
      </c>
      <c r="J17" s="65" t="s">
        <v>20</v>
      </c>
      <c r="K17" s="65" t="s">
        <v>21</v>
      </c>
      <c r="L17" s="65" t="s">
        <v>22</v>
      </c>
      <c r="M17" s="65" t="s">
        <v>19</v>
      </c>
      <c r="N17" s="65" t="s">
        <v>20</v>
      </c>
      <c r="O17" s="65" t="s">
        <v>21</v>
      </c>
      <c r="P17" s="76" t="s">
        <v>19</v>
      </c>
    </row>
    <row r="18" ht="17.25">
      <c r="A18" s="256"/>
      <c r="B18" s="70" t="s">
        <v>25</v>
      </c>
      <c r="C18" s="63" t="s">
        <v>26</v>
      </c>
      <c r="D18" s="64" t="s">
        <v>27</v>
      </c>
      <c r="E18" s="64" t="s">
        <v>28</v>
      </c>
      <c r="F18" s="64" t="s">
        <v>29</v>
      </c>
      <c r="G18" s="64" t="s">
        <v>30</v>
      </c>
      <c r="H18" s="65" t="s">
        <v>31</v>
      </c>
      <c r="I18" s="63"/>
      <c r="J18" s="64"/>
      <c r="K18" s="64"/>
      <c r="L18" s="65"/>
      <c r="M18" s="63"/>
      <c r="N18" s="64"/>
      <c r="O18" s="65"/>
      <c r="P18" s="77"/>
    </row>
    <row r="19" ht="17.25">
      <c r="A19" s="256"/>
      <c r="B19" s="71" t="s">
        <v>32</v>
      </c>
      <c r="C19" s="99">
        <f>VLOOKUP(C8,AntennasPortName!A:H,2,FALSE)</f>
      </c>
      <c r="D19" s="99">
        <f>VLOOKUP(C8,AntennasPortName!A:H,3,FALSE)</f>
      </c>
      <c r="E19" s="99">
        <f>VLOOKUP(C8,AntennasPortName!A:H,4,FALSE)</f>
      </c>
      <c r="F19" s="99">
        <f>VLOOKUP(C8,AntennasPortName!A:H,5,FALSE)</f>
      </c>
      <c r="G19" s="99">
        <f>VLOOKUP(C8,AntennasPortName!A:H,6,FALSE)</f>
      </c>
      <c r="H19" s="99">
        <f>VLOOKUP(C8,AntennasPortName!A:H,7,FALSE)</f>
      </c>
      <c r="I19" s="99">
        <f>VLOOKUP(I8,AntennasPortName!A:H,2,FALSE)</f>
      </c>
      <c r="J19" s="99">
        <f>VLOOKUP(I8,AntennasPortName!A:H,3,FALSE)</f>
      </c>
      <c r="K19" s="99">
        <f>VLOOKUP(I8,AntennasPortName!A:H,4,FALSE)</f>
      </c>
      <c r="L19" s="99">
        <f>VLOOKUP(I8,AntennasPortName!A:H,5,FALSE)</f>
      </c>
      <c r="M19" s="99">
        <f>VLOOKUP(M8,AntennasPortName!A:H,2,FALSE)</f>
      </c>
      <c r="N19" s="99">
        <f>VLOOKUP(M8,AntennasPortName!A:H,3,FALSE)</f>
      </c>
      <c r="O19" s="99">
        <f>VLOOKUP(M8,AntennasPortName!A:H,4,FALSE)</f>
      </c>
      <c r="P19" s="99">
        <f>VLOOKUP(P8,AntennasPortName!A:H,2,FALSE)</f>
      </c>
    </row>
    <row r="20" ht="17.25">
      <c r="A20" s="241"/>
      <c r="B20" s="69" t="s">
        <v>33</v>
      </c>
      <c r="C20" s="61" t="s">
        <v>34</v>
      </c>
      <c r="D20" s="62" t="s">
        <v>34</v>
      </c>
      <c r="E20" s="62" t="s">
        <v>35</v>
      </c>
      <c r="F20" s="62" t="s">
        <v>35</v>
      </c>
      <c r="G20" s="62" t="s">
        <v>35</v>
      </c>
      <c r="H20" s="62" t="s">
        <v>35</v>
      </c>
      <c r="I20" s="61"/>
      <c r="J20" s="62"/>
      <c r="K20" s="62"/>
      <c r="L20" s="66"/>
      <c r="M20" s="67"/>
      <c r="N20" s="62"/>
      <c r="O20" s="66"/>
      <c r="P20" s="66"/>
    </row>
    <row r="21" ht="17.65">
      <c r="A21" s="241"/>
      <c r="B21" s="18" t="s">
        <v>36</v>
      </c>
      <c r="C21" s="42">
        <f>VLOOKUP(C8,Antennas!A:H,2,FALSE)</f>
      </c>
      <c r="D21" s="43">
        <f>VLOOKUP(C8,Antennas!A:H,3,FALSE)</f>
      </c>
      <c r="E21" s="43">
        <f>VLOOKUP(C8,Antennas!A:H,4,FALSE)</f>
      </c>
      <c r="F21" s="43">
        <f>VLOOKUP(C8,Antennas!A:H,5,FALSE)</f>
      </c>
      <c r="G21" s="43">
        <f>VLOOKUP(C8,Antennas!A:H,6,FALSE)</f>
      </c>
      <c r="H21" s="43">
        <f>VLOOKUP(C8,Antennas!A:H,7,FALSE)</f>
      </c>
      <c r="I21" s="43">
        <f>VLOOKUP(I8,Antennas!A:H,2,FALSE)</f>
      </c>
      <c r="J21" s="43">
        <f>VLOOKUP(I8,Antennas!A:H,3,FALSE)</f>
      </c>
      <c r="K21" s="43">
        <f>VLOOKUP(I8,Antennas!A:H,4,FALSE)</f>
      </c>
      <c r="L21" s="44">
        <f>VLOOKUP(I8,Antennas!A:H,5,FALSE)</f>
      </c>
      <c r="M21" s="45">
        <f>VLOOKUP(M8,Antennas!A:H,2,FALSE)</f>
      </c>
      <c r="N21" s="43">
        <f>VLOOKUP(M8,Antennas!A:H,3,FALSE)</f>
      </c>
      <c r="O21" s="42">
        <f>VLOOKUP(M8,Antennas!A:H,4,FALSE)</f>
      </c>
      <c r="P21" s="42">
        <f>VLOOKUP(P8,Antennas!A:H,2,FALSE)</f>
      </c>
      <c r="R21" s="17"/>
    </row>
    <row r="22" ht="17.65" s="22" customFormat="1">
      <c r="A22" s="241"/>
      <c r="B22" s="28" t="s">
        <v>37</v>
      </c>
      <c r="C22" s="46"/>
      <c r="D22" s="47"/>
      <c r="E22" s="47"/>
      <c r="F22" s="47"/>
      <c r="G22" s="47"/>
      <c r="H22" s="47"/>
      <c r="I22" s="47"/>
      <c r="J22" s="47"/>
      <c r="K22" s="47"/>
      <c r="L22" s="48"/>
      <c r="M22" s="49"/>
      <c r="N22" s="47"/>
      <c r="O22" s="50"/>
      <c r="P22" s="50"/>
    </row>
    <row r="23" ht="17.65" s="22" customFormat="1">
      <c r="A23" s="241"/>
      <c r="B23" s="28" t="s">
        <v>38</v>
      </c>
      <c r="C23" s="46"/>
      <c r="D23" s="46"/>
      <c r="E23" s="46"/>
      <c r="F23" s="46"/>
      <c r="G23" s="46"/>
      <c r="H23" s="46"/>
      <c r="I23" s="46"/>
      <c r="J23" s="46"/>
      <c r="K23" s="46"/>
      <c r="L23" s="46"/>
      <c r="M23" s="46"/>
      <c r="N23" s="46"/>
      <c r="O23" s="46"/>
      <c r="P23" s="46"/>
    </row>
    <row r="24" ht="17.25">
      <c r="A24" s="241"/>
      <c r="B24" s="11" t="s">
        <v>39</v>
      </c>
      <c r="C24" s="25" t="s">
        <v>40</v>
      </c>
      <c r="D24" s="25" t="s">
        <v>41</v>
      </c>
      <c r="E24" s="25" t="s">
        <v>41</v>
      </c>
      <c r="F24" s="25" t="s">
        <v>41</v>
      </c>
      <c r="G24" s="25" t="s">
        <v>42</v>
      </c>
      <c r="H24" s="25" t="s">
        <v>41</v>
      </c>
      <c r="I24" s="25"/>
      <c r="J24" s="25"/>
      <c r="K24" s="25"/>
      <c r="L24" s="25"/>
      <c r="M24" s="25"/>
      <c r="N24" s="25"/>
      <c r="O24" s="25"/>
      <c r="P24" s="25"/>
    </row>
    <row r="25" ht="17.65" s="22" customFormat="1">
      <c r="A25" s="241"/>
      <c r="B25" s="29" t="s">
        <v>43</v>
      </c>
      <c r="C25" s="51"/>
      <c r="D25" s="51"/>
      <c r="E25" s="51"/>
      <c r="F25" s="51"/>
      <c r="G25" s="51"/>
      <c r="H25" s="51"/>
      <c r="I25" s="51"/>
      <c r="J25" s="51"/>
      <c r="K25" s="51"/>
      <c r="L25" s="51"/>
      <c r="M25" s="51"/>
      <c r="N25" s="51"/>
      <c r="O25" s="51"/>
      <c r="P25" s="78"/>
    </row>
    <row r="26" ht="17.25">
      <c r="A26" s="241"/>
      <c r="B26" s="27" t="s">
        <v>44</v>
      </c>
      <c r="C26" s="24">
        <v>1</v>
      </c>
      <c r="D26" s="24">
        <v>0</v>
      </c>
      <c r="E26" s="24">
        <v>0</v>
      </c>
      <c r="F26" s="24">
        <v>0</v>
      </c>
      <c r="G26" s="24">
        <v>2</v>
      </c>
      <c r="H26" s="24">
        <v>0</v>
      </c>
      <c r="I26" s="24"/>
      <c r="J26" s="24"/>
      <c r="K26" s="24"/>
      <c r="L26" s="24"/>
      <c r="M26" s="24"/>
      <c r="N26" s="24"/>
      <c r="O26" s="24"/>
      <c r="P26" s="24"/>
    </row>
    <row r="27" ht="17.65" s="22" customFormat="1">
      <c r="A27" s="241"/>
      <c r="B27" s="30" t="s">
        <v>45</v>
      </c>
      <c r="C27" s="52"/>
      <c r="D27" s="52"/>
      <c r="E27" s="52"/>
      <c r="F27" s="52"/>
      <c r="G27" s="52"/>
      <c r="H27" s="52"/>
      <c r="I27" s="52"/>
      <c r="J27" s="52"/>
      <c r="K27" s="52"/>
      <c r="L27" s="52"/>
      <c r="M27" s="52"/>
      <c r="N27" s="52"/>
      <c r="O27" s="52"/>
      <c r="P27" s="52"/>
    </row>
    <row r="28" ht="17.25">
      <c r="A28" s="241"/>
      <c r="B28" s="11" t="s">
        <v>46</v>
      </c>
      <c r="C28" s="24"/>
      <c r="D28" s="24"/>
      <c r="E28" s="24"/>
      <c r="F28" s="24"/>
      <c r="G28" s="24"/>
      <c r="H28" s="24"/>
      <c r="I28" s="24"/>
      <c r="J28" s="24"/>
      <c r="K28" s="24"/>
      <c r="L28" s="24"/>
      <c r="M28" s="24"/>
      <c r="N28" s="24"/>
      <c r="O28" s="24"/>
      <c r="P28" s="24"/>
    </row>
    <row r="29" ht="17.65" s="22" customFormat="1">
      <c r="A29" s="241"/>
      <c r="B29" s="31" t="s">
        <v>47</v>
      </c>
      <c r="C29" s="51"/>
      <c r="D29" s="51"/>
      <c r="E29" s="51"/>
      <c r="F29" s="51"/>
      <c r="G29" s="51"/>
      <c r="H29" s="51"/>
      <c r="I29" s="51"/>
      <c r="J29" s="51"/>
      <c r="K29" s="51"/>
      <c r="L29" s="51"/>
      <c r="M29" s="51"/>
      <c r="N29" s="51"/>
      <c r="O29" s="51"/>
      <c r="P29" s="78"/>
    </row>
    <row r="30" ht="17.25">
      <c r="A30" s="241"/>
      <c r="B30" s="27" t="s">
        <v>48</v>
      </c>
      <c r="C30" s="24" t="s">
        <v>49</v>
      </c>
      <c r="D30" s="24"/>
      <c r="E30" s="24"/>
      <c r="F30" s="24"/>
      <c r="G30" s="24" t="s">
        <v>49</v>
      </c>
      <c r="H30" s="24"/>
      <c r="I30" s="24"/>
      <c r="J30" s="24"/>
      <c r="K30" s="24"/>
      <c r="L30" s="24"/>
      <c r="M30" s="24"/>
      <c r="N30" s="24"/>
      <c r="O30" s="24"/>
      <c r="P30" s="24"/>
    </row>
    <row r="31" ht="17.65" s="22" customFormat="1">
      <c r="A31" s="241"/>
      <c r="B31" s="30" t="s">
        <v>50</v>
      </c>
      <c r="C31" s="53"/>
      <c r="D31" s="53"/>
      <c r="E31" s="53"/>
      <c r="F31" s="53"/>
      <c r="G31" s="53"/>
      <c r="H31" s="53"/>
      <c r="I31" s="53"/>
      <c r="J31" s="53"/>
      <c r="K31" s="53"/>
      <c r="L31" s="53"/>
      <c r="M31" s="53"/>
      <c r="N31" s="53"/>
      <c r="O31" s="53"/>
      <c r="P31" s="79"/>
    </row>
    <row r="32" ht="17.25">
      <c r="A32" s="241"/>
      <c r="B32" s="11" t="s">
        <v>51</v>
      </c>
      <c r="C32" s="25">
        <v>15</v>
      </c>
      <c r="D32" s="25">
        <v>0</v>
      </c>
      <c r="E32" s="25">
        <v>0</v>
      </c>
      <c r="F32" s="25">
        <v>0</v>
      </c>
      <c r="G32" s="25">
        <v>22</v>
      </c>
      <c r="H32" s="25">
        <v>0</v>
      </c>
      <c r="I32" s="25"/>
      <c r="J32" s="25"/>
      <c r="K32" s="25"/>
      <c r="L32" s="25"/>
      <c r="M32" s="25"/>
      <c r="N32" s="25"/>
      <c r="O32" s="25"/>
      <c r="P32" s="25"/>
    </row>
    <row r="33" ht="17.65" s="22" customFormat="1">
      <c r="A33" s="241"/>
      <c r="B33" s="30" t="s">
        <v>52</v>
      </c>
      <c r="C33" s="51"/>
      <c r="D33" s="51"/>
      <c r="E33" s="51"/>
      <c r="F33" s="51"/>
      <c r="G33" s="51"/>
      <c r="H33" s="51"/>
      <c r="I33" s="51"/>
      <c r="J33" s="51"/>
      <c r="K33" s="51"/>
      <c r="L33" s="51"/>
      <c r="M33" s="51"/>
      <c r="N33" s="51"/>
      <c r="O33" s="51"/>
      <c r="P33" s="78"/>
    </row>
    <row r="34" ht="17.25">
      <c r="A34" s="241"/>
      <c r="B34" s="27" t="s">
        <v>53</v>
      </c>
      <c r="C34" s="24" t="s">
        <v>54</v>
      </c>
      <c r="D34" s="24"/>
      <c r="E34" s="24"/>
      <c r="F34" s="24"/>
      <c r="G34" s="24" t="s">
        <v>72</v>
      </c>
      <c r="H34" s="24"/>
      <c r="I34" s="24"/>
      <c r="J34" s="24"/>
      <c r="K34" s="24"/>
      <c r="L34" s="24"/>
      <c r="M34" s="24"/>
      <c r="N34" s="24"/>
      <c r="O34" s="24"/>
      <c r="P34" s="24"/>
      <c r="U34" s="22"/>
    </row>
    <row r="35" ht="17.65" s="22" customFormat="1">
      <c r="A35" s="241"/>
      <c r="B35" s="28" t="s">
        <v>56</v>
      </c>
      <c r="C35" s="51"/>
      <c r="D35" s="51"/>
      <c r="E35" s="51"/>
      <c r="F35" s="51"/>
      <c r="G35" s="51"/>
      <c r="H35" s="51"/>
      <c r="I35" s="51"/>
      <c r="J35" s="51"/>
      <c r="K35" s="51"/>
      <c r="L35" s="51"/>
      <c r="M35" s="51"/>
      <c r="N35" s="51"/>
      <c r="O35" s="51"/>
      <c r="P35" s="78"/>
      <c r="U35" s="21"/>
    </row>
    <row r="36" ht="17.25">
      <c r="A36" s="241"/>
      <c r="B36" s="11" t="s">
        <v>57</v>
      </c>
      <c r="C36" s="25" t="s">
        <v>58</v>
      </c>
      <c r="D36" s="25"/>
      <c r="E36" s="25"/>
      <c r="F36" s="25"/>
      <c r="G36" s="25" t="s">
        <v>59</v>
      </c>
      <c r="H36" s="25"/>
      <c r="I36" s="25"/>
      <c r="J36" s="25"/>
      <c r="K36" s="25"/>
      <c r="L36" s="25"/>
      <c r="M36" s="25"/>
      <c r="N36" s="25"/>
      <c r="O36" s="25"/>
      <c r="P36" s="25"/>
    </row>
    <row r="37" ht="17.65" s="22" customFormat="1">
      <c r="A37" s="241"/>
      <c r="B37" s="28" t="s">
        <v>60</v>
      </c>
      <c r="C37" s="51"/>
      <c r="D37" s="51"/>
      <c r="E37" s="51"/>
      <c r="F37" s="51"/>
      <c r="G37" s="51"/>
      <c r="H37" s="51"/>
      <c r="I37" s="51"/>
      <c r="J37" s="51"/>
      <c r="K37" s="51"/>
      <c r="L37" s="51"/>
      <c r="M37" s="51"/>
      <c r="N37" s="51"/>
      <c r="O37" s="51"/>
      <c r="P37" s="78"/>
    </row>
    <row r="38" ht="17.25">
      <c r="A38" s="241"/>
      <c r="B38" s="11" t="s">
        <v>61</v>
      </c>
      <c r="C38" s="25" t="s">
        <v>62</v>
      </c>
      <c r="D38" s="25"/>
      <c r="E38" s="25"/>
      <c r="F38" s="25"/>
      <c r="G38" s="25" t="s">
        <v>70</v>
      </c>
      <c r="H38" s="25"/>
      <c r="I38" s="25"/>
      <c r="J38" s="25"/>
      <c r="K38" s="25"/>
      <c r="L38" s="25"/>
      <c r="M38" s="25"/>
      <c r="N38" s="25"/>
      <c r="O38" s="25"/>
      <c r="P38" s="25"/>
    </row>
    <row r="39" ht="17.65" s="22" customFormat="1">
      <c r="A39" s="241"/>
      <c r="B39" s="28" t="s">
        <v>64</v>
      </c>
      <c r="C39" s="51"/>
      <c r="D39" s="51"/>
      <c r="E39" s="51"/>
      <c r="F39" s="51"/>
      <c r="G39" s="51"/>
      <c r="H39" s="51"/>
      <c r="I39" s="51"/>
      <c r="J39" s="51"/>
      <c r="K39" s="51"/>
      <c r="L39" s="51"/>
      <c r="M39" s="51"/>
      <c r="N39" s="51"/>
      <c r="O39" s="51"/>
      <c r="P39" s="78"/>
    </row>
    <row r="40" ht="17.25">
      <c r="A40" s="241"/>
      <c r="B40" s="11" t="s">
        <v>65</v>
      </c>
      <c r="C40" s="26" t="s">
        <v>62</v>
      </c>
      <c r="D40" s="26"/>
      <c r="E40" s="26"/>
      <c r="F40" s="26"/>
      <c r="G40" s="26" t="s">
        <v>62</v>
      </c>
      <c r="H40" s="26"/>
      <c r="I40" s="26"/>
      <c r="J40" s="26"/>
      <c r="K40" s="26"/>
      <c r="L40" s="26"/>
      <c r="M40" s="26"/>
      <c r="N40" s="26"/>
      <c r="O40" s="26"/>
      <c r="P40" s="26"/>
    </row>
    <row r="41" ht="17.65" s="22" customFormat="1">
      <c r="A41" s="241"/>
      <c r="B41" s="29" t="s">
        <v>66</v>
      </c>
      <c r="C41" s="51"/>
      <c r="D41" s="51"/>
      <c r="E41" s="51"/>
      <c r="F41" s="51"/>
      <c r="G41" s="51"/>
      <c r="H41" s="51"/>
      <c r="I41" s="51"/>
      <c r="J41" s="51"/>
      <c r="K41" s="51"/>
      <c r="L41" s="51"/>
      <c r="M41" s="51"/>
      <c r="N41" s="51"/>
      <c r="O41" s="51"/>
      <c r="P41" s="78"/>
    </row>
    <row r="42" ht="12.75" customHeight="1">
      <c r="A42" s="223" t="s">
        <v>67</v>
      </c>
      <c r="B42" s="280"/>
      <c r="C42" s="233"/>
      <c r="D42" s="233"/>
      <c r="E42" s="233"/>
      <c r="F42" s="233"/>
      <c r="G42" s="233"/>
      <c r="H42" s="233"/>
      <c r="I42" s="233"/>
      <c r="J42" s="233"/>
      <c r="K42" s="233"/>
      <c r="L42" s="233"/>
      <c r="M42" s="233"/>
      <c r="N42" s="233"/>
      <c r="O42" s="233"/>
      <c r="P42" s="234"/>
      <c r="Q42" s="22"/>
      <c r="R42" s="22"/>
      <c r="S42" s="22"/>
    </row>
    <row r="43" ht="13.15" customHeight="1">
      <c r="A43" s="224"/>
      <c r="B43" s="235"/>
      <c r="C43" s="236"/>
      <c r="D43" s="236"/>
      <c r="E43" s="236"/>
      <c r="F43" s="236"/>
      <c r="G43" s="236"/>
      <c r="H43" s="236"/>
      <c r="I43" s="236"/>
      <c r="J43" s="236"/>
      <c r="K43" s="236"/>
      <c r="L43" s="236"/>
      <c r="M43" s="236"/>
      <c r="N43" s="236"/>
      <c r="O43" s="236"/>
      <c r="P43" s="237"/>
      <c r="Q43" s="22"/>
      <c r="R43" s="22"/>
      <c r="S43" s="22"/>
    </row>
    <row r="44" ht="13.15" customHeight="1">
      <c r="A44" s="224"/>
      <c r="B44" s="235"/>
      <c r="C44" s="236"/>
      <c r="D44" s="236"/>
      <c r="E44" s="236"/>
      <c r="F44" s="236"/>
      <c r="G44" s="236"/>
      <c r="H44" s="236"/>
      <c r="I44" s="236"/>
      <c r="J44" s="236"/>
      <c r="K44" s="236"/>
      <c r="L44" s="236"/>
      <c r="M44" s="236"/>
      <c r="N44" s="236"/>
      <c r="O44" s="236"/>
      <c r="P44" s="237"/>
      <c r="Q44" s="22"/>
      <c r="R44" s="22"/>
      <c r="S44" s="22"/>
    </row>
    <row r="45" ht="13.9" customHeight="1">
      <c r="A45" s="225"/>
      <c r="B45" s="238"/>
      <c r="C45" s="239"/>
      <c r="D45" s="239"/>
      <c r="E45" s="239"/>
      <c r="F45" s="239"/>
      <c r="G45" s="239"/>
      <c r="H45" s="239"/>
      <c r="I45" s="239"/>
      <c r="J45" s="239"/>
      <c r="K45" s="239"/>
      <c r="L45" s="239"/>
      <c r="M45" s="239"/>
      <c r="N45" s="239"/>
      <c r="O45" s="239"/>
      <c r="P45" s="240"/>
      <c r="Q45" s="22"/>
      <c r="R45" s="22"/>
      <c r="S45" s="22"/>
    </row>
  </sheetData>
  <mergeCells>
    <mergeCell ref="C1:P1"/>
    <mergeCell ref="C3:P3"/>
    <mergeCell ref="C4:P4"/>
    <mergeCell ref="C5:P5"/>
    <mergeCell ref="C6:P6"/>
    <mergeCell ref="C16:H16"/>
    <mergeCell ref="I16:L16"/>
    <mergeCell ref="M16:O16"/>
    <mergeCell ref="B42:P45"/>
    <mergeCell ref="C12:H12"/>
    <mergeCell ref="I12:L12"/>
    <mergeCell ref="M12:O12"/>
    <mergeCell ref="C13:H13"/>
    <mergeCell ref="I13:L13"/>
    <mergeCell ref="M13:O13"/>
    <mergeCell ref="C14:H14"/>
    <mergeCell ref="I14:L14"/>
    <mergeCell ref="M14:O14"/>
    <mergeCell ref="C15:H15"/>
    <mergeCell ref="I15:L15"/>
    <mergeCell ref="M15:O15"/>
    <mergeCell ref="C10:H10"/>
    <mergeCell ref="I10:L10"/>
    <mergeCell ref="M10:O10"/>
    <mergeCell ref="C11:H11"/>
    <mergeCell ref="I11:L11"/>
    <mergeCell ref="M11:O11"/>
    <mergeCell ref="C8:H8"/>
    <mergeCell ref="I8:L8"/>
    <mergeCell ref="M8:O8"/>
    <mergeCell ref="C9:H9"/>
    <mergeCell ref="I9:L9"/>
    <mergeCell ref="M9:O9"/>
    <mergeCell ref="A1:B1"/>
    <mergeCell ref="A42:A45"/>
    <mergeCell ref="A36:A41"/>
    <mergeCell ref="A34:A35"/>
    <mergeCell ref="A3:A33"/>
    <mergeCell ref="C7:H7"/>
    <mergeCell ref="C2:H2"/>
    <mergeCell ref="I2:L2"/>
    <mergeCell ref="M2:O2"/>
    <mergeCell ref="I7:L7"/>
    <mergeCell ref="M7:O7"/>
  </mergeCells>
  <conditionalFormatting sqref="C22:E22 C4 H22:O22">
    <cfRule type="cellIs" dxfId="0" priority="43" operator="greaterThan">
      <formula>0</formula>
    </cfRule>
  </conditionalFormatting>
  <conditionalFormatting sqref="C21:E21 H21:O21">
    <cfRule type="expression" dxfId="1" priority="42">
      <formula>ISERROR(C21)</formula>
    </cfRule>
  </conditionalFormatting>
  <conditionalFormatting sqref="C21:E21 H21:O21">
    <cfRule type="cellIs" dxfId="1" priority="41" operator="equal">
      <formula>0</formula>
    </cfRule>
  </conditionalFormatting>
  <conditionalFormatting sqref="C21:E21 H21:O21">
    <cfRule type="cellIs" dxfId="3" priority="40" operator="greaterThan">
      <formula>0</formula>
    </cfRule>
  </conditionalFormatting>
  <conditionalFormatting sqref="C27:O27 D29:O29 D33:O33">
    <cfRule type="cellIs" dxfId="0" priority="39" operator="notEqual">
      <formula>VALUE(C26)</formula>
    </cfRule>
  </conditionalFormatting>
  <conditionalFormatting sqref="C8:O8 C10:O10 C12:O12 C14:O14 C16:O16 C27:O27 D29:O29 D31:O31 D33:O33 D35:O35 D37:O37 D25:O25 D39:O39 D41:O41">
    <cfRule type="expression" dxfId="10" priority="35">
      <formula>ISBLANK(C8)</formula>
    </cfRule>
  </conditionalFormatting>
  <conditionalFormatting sqref="C29">
    <cfRule type="cellIs" dxfId="0" priority="37" operator="notEqual">
      <formula>VALUE(C28)</formula>
    </cfRule>
  </conditionalFormatting>
  <conditionalFormatting sqref="C29">
    <cfRule type="expression" dxfId="10" priority="36">
      <formula>ISBLANK(C29)</formula>
    </cfRule>
  </conditionalFormatting>
  <conditionalFormatting sqref="C8:O8 C10:O10 C12:O12 C14:O14 C16:O16 C31:O31 D35:O35 D37:O37 D25:O25 D39:O39 D41:O41">
    <cfRule type="cellIs" dxfId="0" priority="38" operator="notEqual">
      <formula>C7</formula>
    </cfRule>
  </conditionalFormatting>
  <conditionalFormatting sqref="C31">
    <cfRule type="expression" dxfId="10" priority="34">
      <formula>ISBLANK(C31)</formula>
    </cfRule>
  </conditionalFormatting>
  <conditionalFormatting sqref="C33">
    <cfRule type="cellIs" dxfId="0" priority="33" operator="notEqual">
      <formula>VALUE(C32)</formula>
    </cfRule>
  </conditionalFormatting>
  <conditionalFormatting sqref="C33">
    <cfRule type="expression" dxfId="10" priority="32">
      <formula>ISBLANK(C33)</formula>
    </cfRule>
  </conditionalFormatting>
  <conditionalFormatting sqref="C35">
    <cfRule type="cellIs" dxfId="0" priority="31" operator="notEqual">
      <formula>C34</formula>
    </cfRule>
  </conditionalFormatting>
  <conditionalFormatting sqref="C35">
    <cfRule type="expression" dxfId="10" priority="30">
      <formula>ISBLANK(C35)</formula>
    </cfRule>
  </conditionalFormatting>
  <conditionalFormatting sqref="C37">
    <cfRule type="cellIs" dxfId="0" priority="29" operator="notEqual">
      <formula>C36</formula>
    </cfRule>
  </conditionalFormatting>
  <conditionalFormatting sqref="C37">
    <cfRule type="expression" dxfId="10" priority="28">
      <formula>ISBLANK(C37)</formula>
    </cfRule>
  </conditionalFormatting>
  <conditionalFormatting sqref="C6">
    <cfRule type="expression" dxfId="10" priority="26">
      <formula>ISBLANK(C6)</formula>
    </cfRule>
    <cfRule type="cellIs" dxfId="0" priority="27" operator="notEqual">
      <formula>C5</formula>
    </cfRule>
  </conditionalFormatting>
  <conditionalFormatting sqref="C25">
    <cfRule type="cellIs" dxfId="0" priority="25" operator="notEqual">
      <formula>C24</formula>
    </cfRule>
  </conditionalFormatting>
  <conditionalFormatting sqref="C25">
    <cfRule type="expression" dxfId="10" priority="24">
      <formula>ISBLANK(C25)</formula>
    </cfRule>
  </conditionalFormatting>
  <conditionalFormatting sqref="C39">
    <cfRule type="cellIs" dxfId="0" priority="23" operator="notEqual">
      <formula>C38</formula>
    </cfRule>
  </conditionalFormatting>
  <conditionalFormatting sqref="C39">
    <cfRule type="expression" dxfId="10" priority="22">
      <formula>ISBLANK(C39)</formula>
    </cfRule>
  </conditionalFormatting>
  <conditionalFormatting sqref="C41">
    <cfRule type="cellIs" dxfId="0" priority="21" operator="notEqual">
      <formula>C40</formula>
    </cfRule>
  </conditionalFormatting>
  <conditionalFormatting sqref="C41">
    <cfRule type="expression" dxfId="10" priority="20">
      <formula>ISBLANK(C41)</formula>
    </cfRule>
  </conditionalFormatting>
  <conditionalFormatting sqref="C24:O41">
    <cfRule type="expression" dxfId="1" priority="19" stopIfTrue="1">
      <formula>OR(C$22="Free",C$22="Telenor",C$22="Mtel",C$22="Telenor&amp;Mtel")</formula>
    </cfRule>
  </conditionalFormatting>
  <conditionalFormatting sqref="F22:G22">
    <cfRule type="cellIs" dxfId="0" priority="18" operator="greaterThan">
      <formula>0</formula>
    </cfRule>
  </conditionalFormatting>
  <conditionalFormatting sqref="F21:G21">
    <cfRule type="expression" dxfId="1" priority="17">
      <formula>ISERROR(F21)</formula>
    </cfRule>
  </conditionalFormatting>
  <conditionalFormatting sqref="F21:G21">
    <cfRule type="cellIs" dxfId="1" priority="16" operator="equal">
      <formula>0</formula>
    </cfRule>
  </conditionalFormatting>
  <conditionalFormatting sqref="F21:G21">
    <cfRule type="cellIs" dxfId="3" priority="15" operator="greaterThan">
      <formula>0</formula>
    </cfRule>
  </conditionalFormatting>
  <conditionalFormatting sqref="P22">
    <cfRule type="cellIs" dxfId="0" priority="14" operator="greaterThan">
      <formula>0</formula>
    </cfRule>
  </conditionalFormatting>
  <conditionalFormatting sqref="P21">
    <cfRule type="expression" dxfId="1" priority="13">
      <formula>ISERROR(P21)</formula>
    </cfRule>
  </conditionalFormatting>
  <conditionalFormatting sqref="P21">
    <cfRule type="cellIs" dxfId="1" priority="12" operator="equal">
      <formula>0</formula>
    </cfRule>
  </conditionalFormatting>
  <conditionalFormatting sqref="P21">
    <cfRule type="cellIs" dxfId="3" priority="11" operator="greaterThan">
      <formula>0</formula>
    </cfRule>
  </conditionalFormatting>
  <conditionalFormatting sqref="P27 P29 P33">
    <cfRule type="cellIs" dxfId="0" priority="10" operator="notEqual">
      <formula>VALUE(P26)</formula>
    </cfRule>
  </conditionalFormatting>
  <conditionalFormatting sqref="P8 P10 P12 P14 P16 P27 P29 P31 P33 P35 P37 P25 P39 P41">
    <cfRule type="expression" dxfId="10" priority="8">
      <formula>ISBLANK(P8)</formula>
    </cfRule>
  </conditionalFormatting>
  <conditionalFormatting sqref="P8 P10 P12 P14 P16 P31 P35 P37 P25 P39 P41">
    <cfRule type="cellIs" dxfId="0" priority="9" operator="notEqual">
      <formula>P7</formula>
    </cfRule>
  </conditionalFormatting>
  <conditionalFormatting sqref="P24:P41">
    <cfRule type="expression" dxfId="1" priority="7" stopIfTrue="1">
      <formula>OR(P$22="Free",P$22="Telenor",P$22="Mtel",P$22="Telenor&amp;Mtel")</formula>
    </cfRule>
  </conditionalFormatting>
  <conditionalFormatting sqref="C19">
    <cfRule type="cellIs" dxfId="1" priority="4" operator="equal">
      <formula>0</formula>
    </cfRule>
    <cfRule type="expression" dxfId="1" priority="6">
      <formula>ISERROR(C19)</formula>
    </cfRule>
  </conditionalFormatting>
  <conditionalFormatting sqref="D19:P19">
    <cfRule type="cellIs" dxfId="1" priority="2" operator="equal">
      <formula>0</formula>
    </cfRule>
    <cfRule type="expression" dxfId="1" priority="3">
      <formula>ISERROR(D19)</formula>
    </cfRule>
  </conditionalFormatting>
  <conditionalFormatting sqref="C23:P23">
    <cfRule type="cellIs" dxfId="0" priority="1" operator="greaterThan">
      <formula>0</formula>
    </cfRule>
  </conditionalFormatting>
  <dataValidations count="165">
    <dataValidation type="list" xr:uid="{F246473A-24F6-4CBB-9ED9-31056A811D86}" sqref="C2" showErrorMessage="1" errorTitle="An invalid feedback was entered" error="Please choose feedback from drop down only.">
      <formula1>"1,2,3"</formula1>
    </dataValidation>
    <dataValidation type="list" xr:uid="{108209A0-90F7-4E89-A252-6D6B43ACE5AE}" sqref="D2" showErrorMessage="1" errorTitle="An invalid feedback was entered" error="Please choose feedback from drop down only.">
      <formula1>"1,2,3"</formula1>
    </dataValidation>
    <dataValidation type="list" xr:uid="{BEDE6F08-3F3D-4AE6-950B-FA97B5F95AA7}" sqref="E2" showErrorMessage="1" errorTitle="An invalid feedback was entered" error="Please choose feedback from drop down only.">
      <formula1>"1,2,3"</formula1>
    </dataValidation>
    <dataValidation type="list" xr:uid="{216B15FA-A83D-4683-AD5C-18BD909E185D}" sqref="F2" showErrorMessage="1" errorTitle="An invalid feedback was entered" error="Please choose feedback from drop down only.">
      <formula1>"1,2,3"</formula1>
    </dataValidation>
    <dataValidation type="list" xr:uid="{3387DB3D-69C9-4279-B1AB-833C04F9C0AE}" sqref="G2" showErrorMessage="1" errorTitle="An invalid feedback was entered" error="Please choose feedback from drop down only.">
      <formula1>"1,2,3"</formula1>
    </dataValidation>
    <dataValidation type="list" xr:uid="{E57957CF-F955-4AC6-967B-D484CBB57C71}" sqref="H2" showErrorMessage="1" errorTitle="An invalid feedback was entered" error="Please choose feedback from drop down only.">
      <formula1>"1,2,3"</formula1>
    </dataValidation>
    <dataValidation type="list" xr:uid="{82F136FD-9554-4171-BCD3-D834BBB0D6C5}" sqref="I2" showErrorMessage="1" errorTitle="An invalid feedback was entered" error="Please choose feedback from drop down only.">
      <formula1>"1,2,3"</formula1>
    </dataValidation>
    <dataValidation type="list" xr:uid="{3BB4896D-4504-4553-83CD-2F3CF23867DB}" sqref="J2" showErrorMessage="1" errorTitle="An invalid feedback was entered" error="Please choose feedback from drop down only.">
      <formula1>"1,2,3"</formula1>
    </dataValidation>
    <dataValidation type="list" xr:uid="{CB775BC5-B385-4BD2-AF63-CAF20F8B0604}" sqref="K2" showErrorMessage="1" errorTitle="An invalid feedback was entered" error="Please choose feedback from drop down only.">
      <formula1>"1,2,3"</formula1>
    </dataValidation>
    <dataValidation type="list" xr:uid="{F2A118AD-1DD0-4A1C-935C-2FE90C2F3851}" sqref="L2" showErrorMessage="1" errorTitle="An invalid feedback was entered" error="Please choose feedback from drop down only.">
      <formula1>"1,2,3"</formula1>
    </dataValidation>
    <dataValidation type="list" xr:uid="{19580295-2FCA-4A87-AFEA-412E3D30D7AB}" sqref="M2" showErrorMessage="1" errorTitle="An invalid feedback was entered" error="Please choose feedback from drop down only.">
      <formula1>"1,2,3"</formula1>
    </dataValidation>
    <dataValidation type="list" xr:uid="{20C80E37-91A9-46D6-A12E-3FAE94C041DB}" sqref="N2" showErrorMessage="1" errorTitle="An invalid feedback was entered" error="Please choose feedback from drop down only.">
      <formula1>"1,2,3"</formula1>
    </dataValidation>
    <dataValidation type="list" xr:uid="{003631E4-2BBC-4FD8-86B6-77D8FBF676B7}" sqref="O2" showErrorMessage="1" errorTitle="An invalid feedback was entered" error="Please choose feedback from drop down only.">
      <formula1>"1,2,3"</formula1>
    </dataValidation>
    <dataValidation type="list" xr:uid="{C7456988-0589-4450-B149-A566FAA4C117}" sqref="P2" showErrorMessage="1" errorTitle="An invalid feedback was entered" error="Please choose feedback from drop down only.">
      <formula1>"1,2,3"</formula1>
    </dataValidation>
    <dataValidation type="list" xr:uid="{645464AD-8027-44BA-9034-09EF63A0E8C2}" sqref="Q2" showErrorMessage="1" errorTitle="An invalid feedback was entered" error="Please choose feedback from drop down only.">
      <formula1>"1,2,3"</formula1>
    </dataValidation>
    <dataValidation type="list" xr:uid="{66F29967-6623-487A-A923-9032AF1D4047}" sqref="C17" showErrorMessage="1" errorTitle="An invalid feedback was entered" error="Please choose feedback from drop down only.">
      <formula1>"1-2,3-4,5-6,7-8,9-10,N/A"</formula1>
    </dataValidation>
    <dataValidation type="list" xr:uid="{F29655C1-9A5E-41C6-B257-C1D414E12825}" sqref="D17" showErrorMessage="1" errorTitle="An invalid feedback was entered" error="Please choose feedback from drop down only.">
      <formula1>"1-2,3-4,5-6,7-8,9-10,N/A"</formula1>
    </dataValidation>
    <dataValidation type="list" xr:uid="{870FA9C6-3933-4536-9B0A-0788D8475CF7}" sqref="E17" showErrorMessage="1" errorTitle="An invalid feedback was entered" error="Please choose feedback from drop down only.">
      <formula1>"1-2,3-4,5-6,7-8,9-10,N/A"</formula1>
    </dataValidation>
    <dataValidation type="list" xr:uid="{F5E76AA9-E072-45AD-B6DA-B5AA75B395D2}" sqref="F17" showErrorMessage="1" errorTitle="An invalid feedback was entered" error="Please choose feedback from drop down only.">
      <formula1>"1-2,3-4,5-6,7-8,9-10,N/A"</formula1>
    </dataValidation>
    <dataValidation type="list" xr:uid="{9D356BDE-992F-4C31-A6BC-4B7405BF7C62}" sqref="G17" showErrorMessage="1" errorTitle="An invalid feedback was entered" error="Please choose feedback from drop down only.">
      <formula1>"1-2,3-4,5-6,7-8,9-10,N/A"</formula1>
    </dataValidation>
    <dataValidation type="list" xr:uid="{39E0BF5A-B07B-4134-8CA5-75FB305A52F7}" sqref="H17" showErrorMessage="1" errorTitle="An invalid feedback was entered" error="Please choose feedback from drop down only.">
      <formula1>"1-2,3-4,5-6,7-8,9-10,N/A"</formula1>
    </dataValidation>
    <dataValidation type="list" xr:uid="{C1570634-24CA-4D86-9222-06A8FAE6104F}" sqref="I17" showErrorMessage="1" errorTitle="An invalid feedback was entered" error="Please choose feedback from drop down only.">
      <formula1>"1-2,3-4,5-6,7-8,9-10,N/A"</formula1>
    </dataValidation>
    <dataValidation type="list" xr:uid="{6A0820E2-D066-4046-9C4A-613EBA0B228D}" sqref="J17" showErrorMessage="1" errorTitle="An invalid feedback was entered" error="Please choose feedback from drop down only.">
      <formula1>"1-2,3-4,5-6,7-8,9-10,N/A"</formula1>
    </dataValidation>
    <dataValidation type="list" xr:uid="{52AD735B-1A99-4446-836C-3D556FBE5023}" sqref="K17" showErrorMessage="1" errorTitle="An invalid feedback was entered" error="Please choose feedback from drop down only.">
      <formula1>"1-2,3-4,5-6,7-8,9-10,N/A"</formula1>
    </dataValidation>
    <dataValidation type="list" xr:uid="{A0B8C31B-48D8-4079-B3B3-2DA6AEA30F1E}" sqref="L17" showErrorMessage="1" errorTitle="An invalid feedback was entered" error="Please choose feedback from drop down only.">
      <formula1>"1-2,3-4,5-6,7-8,9-10,N/A"</formula1>
    </dataValidation>
    <dataValidation type="list" xr:uid="{4D5B1D7C-B5A5-462F-90F6-F5CA6DAB1174}" sqref="M17" showErrorMessage="1" errorTitle="An invalid feedback was entered" error="Please choose feedback from drop down only.">
      <formula1>"1-2,3-4,5-6,7-8,9-10,N/A"</formula1>
    </dataValidation>
    <dataValidation type="list" xr:uid="{15D9B463-96B6-4F83-9E71-133321919EC0}" sqref="N17" showErrorMessage="1" errorTitle="An invalid feedback was entered" error="Please choose feedback from drop down only.">
      <formula1>"1-2,3-4,5-6,7-8,9-10,N/A"</formula1>
    </dataValidation>
    <dataValidation type="list" xr:uid="{3D3C0FB4-8E24-4799-91E0-1CB4E4A21B89}" sqref="O17" showErrorMessage="1" errorTitle="An invalid feedback was entered" error="Please choose feedback from drop down only.">
      <formula1>"1-2,3-4,5-6,7-8,9-10,N/A"</formula1>
    </dataValidation>
    <dataValidation type="list" xr:uid="{DC500433-F2C0-4B89-8B9B-3C16F2A664B2}" sqref="P17" showErrorMessage="1" errorTitle="An invalid feedback was entered" error="Please choose feedback from drop down only.">
      <formula1>"1-2,3-4,5-6,7-8,9-10,N/A"</formula1>
    </dataValidation>
    <dataValidation type="list" xr:uid="{3EC8F21E-BEE4-4464-894C-9D96EA710006}" sqref="Q17" showErrorMessage="1" errorTitle="An invalid feedback was entered" error="Please choose feedback from drop down only.">
      <formula1>"1-2,3-4,5-6,7-8,9-10,N/A"</formula1>
    </dataValidation>
    <dataValidation type="list" xr:uid="{86141E93-C6A3-48F7-AA08-46D5B03BC885}" sqref="C10" showErrorMessage="1" errorTitle="An invalid feedback was entered" error="Please choose feedback from drop down only.">
      <formula1>"STK Top,STK Bottom,STKx2,DTK Top,DTK Bottom,DTKx2,None"</formula1>
    </dataValidation>
    <dataValidation type="list" xr:uid="{54F6D376-FC24-4DD1-B559-67B2881A02D0}" sqref="D10" showErrorMessage="1" errorTitle="An invalid feedback was entered" error="Please choose feedback from drop down only.">
      <formula1>"STK Top,STK Bottom,STKx2,DTK Top,DTK Bottom,DTKx2,None"</formula1>
    </dataValidation>
    <dataValidation type="list" xr:uid="{DBEEEFC4-9086-4706-A2DE-5493E2E60FCF}" sqref="E10" showErrorMessage="1" errorTitle="An invalid feedback was entered" error="Please choose feedback from drop down only.">
      <formula1>"STK Top,STK Bottom,STKx2,DTK Top,DTK Bottom,DTKx2,None"</formula1>
    </dataValidation>
    <dataValidation type="list" xr:uid="{0E755555-E2F0-4D8E-9A07-B032CB432B28}" sqref="F10" showErrorMessage="1" errorTitle="An invalid feedback was entered" error="Please choose feedback from drop down only.">
      <formula1>"STK Top,STK Bottom,STKx2,DTK Top,DTK Bottom,DTKx2,None"</formula1>
    </dataValidation>
    <dataValidation type="list" xr:uid="{28DB0A3D-AFC0-466D-83A2-0B709B61EB47}" sqref="G10" showErrorMessage="1" errorTitle="An invalid feedback was entered" error="Please choose feedback from drop down only.">
      <formula1>"STK Top,STK Bottom,STKx2,DTK Top,DTK Bottom,DTKx2,None"</formula1>
    </dataValidation>
    <dataValidation type="list" xr:uid="{E134BDCE-2AF5-4E71-8F98-0D6C7CE258B6}" sqref="H10" showErrorMessage="1" errorTitle="An invalid feedback was entered" error="Please choose feedback from drop down only.">
      <formula1>"STK Top,STK Bottom,STKx2,DTK Top,DTK Bottom,DTKx2,None"</formula1>
    </dataValidation>
    <dataValidation type="list" xr:uid="{1EE13396-1D2D-4902-9554-8B47195793CA}" sqref="I10" showErrorMessage="1" errorTitle="An invalid feedback was entered" error="Please choose feedback from drop down only.">
      <formula1>"STK Top,STK Bottom,STKx2,DTK Top,DTK Bottom,DTKx2,None"</formula1>
    </dataValidation>
    <dataValidation type="list" xr:uid="{8C5A7394-474C-4388-8EC6-67D93D15C4D6}" sqref="J10" showErrorMessage="1" errorTitle="An invalid feedback was entered" error="Please choose feedback from drop down only.">
      <formula1>"STK Top,STK Bottom,STKx2,DTK Top,DTK Bottom,DTKx2,None"</formula1>
    </dataValidation>
    <dataValidation type="list" xr:uid="{FB55CEC5-732A-4511-81E5-D8660F5EB578}" sqref="K10" showErrorMessage="1" errorTitle="An invalid feedback was entered" error="Please choose feedback from drop down only.">
      <formula1>"STK Top,STK Bottom,STKx2,DTK Top,DTK Bottom,DTKx2,None"</formula1>
    </dataValidation>
    <dataValidation type="list" xr:uid="{584CEFB6-722D-4126-93B2-E20AE81ED8F0}" sqref="L10" showErrorMessage="1" errorTitle="An invalid feedback was entered" error="Please choose feedback from drop down only.">
      <formula1>"STK Top,STK Bottom,STKx2,DTK Top,DTK Bottom,DTKx2,None"</formula1>
    </dataValidation>
    <dataValidation type="list" xr:uid="{4FF297F0-DCC6-4047-96A5-DF67D0CF9EAD}" sqref="M10" showErrorMessage="1" errorTitle="An invalid feedback was entered" error="Please choose feedback from drop down only.">
      <formula1>"STK Top,STK Bottom,STKx2,DTK Top,DTK Bottom,DTKx2,None"</formula1>
    </dataValidation>
    <dataValidation type="list" xr:uid="{9464AD01-F963-4D93-A123-CE791D68452D}" sqref="N10" showErrorMessage="1" errorTitle="An invalid feedback was entered" error="Please choose feedback from drop down only.">
      <formula1>"STK Top,STK Bottom,STKx2,DTK Top,DTK Bottom,DTKx2,None"</formula1>
    </dataValidation>
    <dataValidation type="list" xr:uid="{6A8672BC-A348-46EA-A54E-ADFBA96B9D5A}" sqref="O10" showErrorMessage="1" errorTitle="An invalid feedback was entered" error="Please choose feedback from drop down only.">
      <formula1>"STK Top,STK Bottom,STKx2,DTK Top,DTK Bottom,DTKx2,None"</formula1>
    </dataValidation>
    <dataValidation type="list" xr:uid="{90DF7E61-FA2B-43C4-B7B6-5CC308C4EC5D}" sqref="P10" showErrorMessage="1" errorTitle="An invalid feedback was entered" error="Please choose feedback from drop down only.">
      <formula1>"STK Top,STK Bottom,STKx2,DTK Top,DTK Bottom,DTKx2,None"</formula1>
    </dataValidation>
    <dataValidation type="list" xr:uid="{DF8D5F2A-D441-4071-A49A-91C2E8D63813}" sqref="Q10" showErrorMessage="1" errorTitle="An invalid feedback was entered" error="Please choose feedback from drop down only.">
      <formula1>"STK Top,STK Bottom,STKx2,DTK Top,DTK Bottom,DTKx2,None"</formula1>
    </dataValidation>
    <dataValidation type="list" xr:uid="{E63D7A0F-3B7B-4885-81A9-3E5EB976A05E}" sqref="C23" showErrorMessage="1" errorTitle="An invalid feedback was entered" error="Please choose feedback from drop down only.">
      <formula1>"Yetel,Bulsatcom,A1,Yetel&amp;A1,N/A"</formula1>
    </dataValidation>
    <dataValidation type="list" xr:uid="{9670C0E5-CB9A-4418-94AA-378FDC4F470E}" sqref="D23" showErrorMessage="1" errorTitle="An invalid feedback was entered" error="Please choose feedback from drop down only.">
      <formula1>"Yetel,Bulsatcom,A1,Yetel&amp;A1,N/A"</formula1>
    </dataValidation>
    <dataValidation type="list" xr:uid="{534BE62F-164B-4466-A761-51FB3FA3E9E5}" sqref="E23" showErrorMessage="1" errorTitle="An invalid feedback was entered" error="Please choose feedback from drop down only.">
      <formula1>"Yetel,Bulsatcom,A1,Yetel&amp;A1,N/A"</formula1>
    </dataValidation>
    <dataValidation type="list" xr:uid="{7E9B8A25-B0CE-4415-89B6-B74A91897D4F}" sqref="F23" showErrorMessage="1" errorTitle="An invalid feedback was entered" error="Please choose feedback from drop down only.">
      <formula1>"Yetel,Bulsatcom,A1,Yetel&amp;A1,N/A"</formula1>
    </dataValidation>
    <dataValidation type="list" xr:uid="{C58E7409-FA91-4CDF-B025-62FF6BBC665C}" sqref="G23" showErrorMessage="1" errorTitle="An invalid feedback was entered" error="Please choose feedback from drop down only.">
      <formula1>"Yetel,Bulsatcom,A1,Yetel&amp;A1,N/A"</formula1>
    </dataValidation>
    <dataValidation type="list" xr:uid="{8D4D2A51-2048-45EF-84AE-83CC03B798FD}" sqref="H23" showErrorMessage="1" errorTitle="An invalid feedback was entered" error="Please choose feedback from drop down only.">
      <formula1>"Yetel,Bulsatcom,A1,Yetel&amp;A1,N/A"</formula1>
    </dataValidation>
    <dataValidation type="list" xr:uid="{17EA93BA-B5CD-48DE-A534-D774C4C49DD3}" sqref="I23" showErrorMessage="1" errorTitle="An invalid feedback was entered" error="Please choose feedback from drop down only.">
      <formula1>"Yetel,Bulsatcom,A1,Yetel&amp;A1,N/A"</formula1>
    </dataValidation>
    <dataValidation type="list" xr:uid="{4484B604-3807-476B-A9CB-C4A329E538CA}" sqref="J23" showErrorMessage="1" errorTitle="An invalid feedback was entered" error="Please choose feedback from drop down only.">
      <formula1>"Yetel,Bulsatcom,A1,Yetel&amp;A1,N/A"</formula1>
    </dataValidation>
    <dataValidation type="list" xr:uid="{76A26D7C-1BCC-40B7-B6DC-78A7374DCC70}" sqref="K23" showErrorMessage="1" errorTitle="An invalid feedback was entered" error="Please choose feedback from drop down only.">
      <formula1>"Yetel,Bulsatcom,A1,Yetel&amp;A1,N/A"</formula1>
    </dataValidation>
    <dataValidation type="list" xr:uid="{9B780BA3-1DE4-4415-8EE5-8E3BDB37828B}" sqref="L23" showErrorMessage="1" errorTitle="An invalid feedback was entered" error="Please choose feedback from drop down only.">
      <formula1>"Yetel,Bulsatcom,A1,Yetel&amp;A1,N/A"</formula1>
    </dataValidation>
    <dataValidation type="list" xr:uid="{9B107DB3-C59E-4504-A4BE-2992CBB2C5B5}" sqref="M23" showErrorMessage="1" errorTitle="An invalid feedback was entered" error="Please choose feedback from drop down only.">
      <formula1>"Yetel,Bulsatcom,A1,Yetel&amp;A1,N/A"</formula1>
    </dataValidation>
    <dataValidation type="list" xr:uid="{8E830ABB-86BF-4696-A257-6FB6F715FA29}" sqref="N23" showErrorMessage="1" errorTitle="An invalid feedback was entered" error="Please choose feedback from drop down only.">
      <formula1>"Yetel,Bulsatcom,A1,Yetel&amp;A1,N/A"</formula1>
    </dataValidation>
    <dataValidation type="list" xr:uid="{3EA4E4B5-A2EE-4158-89E5-B78BEEEE6109}" sqref="O23" showErrorMessage="1" errorTitle="An invalid feedback was entered" error="Please choose feedback from drop down only.">
      <formula1>"Yetel,Bulsatcom,A1,Yetel&amp;A1,N/A"</formula1>
    </dataValidation>
    <dataValidation type="list" xr:uid="{AA0CDB0C-969E-47A6-B254-64A3AE802511}" sqref="P23" showErrorMessage="1" errorTitle="An invalid feedback was entered" error="Please choose feedback from drop down only.">
      <formula1>"Yetel,Bulsatcom,A1,Yetel&amp;A1,N/A"</formula1>
    </dataValidation>
    <dataValidation type="list" xr:uid="{4900C10E-39D3-4E5D-9817-5C8917C77BFD}" sqref="Q23" showErrorMessage="1" errorTitle="An invalid feedback was entered" error="Please choose feedback from drop down only.">
      <formula1>"Yetel,Bulsatcom,A1,Yetel&amp;A1,N/A"</formula1>
    </dataValidation>
    <dataValidation type="list" xr:uid="{F6E428F7-7954-449A-A1E1-E6DF6068D607}" sqref="C31" showErrorMessage="1" errorTitle="An invalid feedback was entered" error="Please choose feedback from drop down only.">
      <formula1>"1/2,5/4,7/8,RRU TOP JUMPER,N/A"</formula1>
    </dataValidation>
    <dataValidation type="list" xr:uid="{3963F008-6559-4D55-A437-5F8BBFD6FA11}" sqref="D31" showErrorMessage="1" errorTitle="An invalid feedback was entered" error="Please choose feedback from drop down only.">
      <formula1>"1/2,5/4,7/8,RRU TOP JUMPER,N/A"</formula1>
    </dataValidation>
    <dataValidation type="list" xr:uid="{85375B3C-3A34-4651-BA4C-EF0A89C27108}" sqref="E31" showErrorMessage="1" errorTitle="An invalid feedback was entered" error="Please choose feedback from drop down only.">
      <formula1>"1/2,5/4,7/8,RRU TOP JUMPER,N/A"</formula1>
    </dataValidation>
    <dataValidation type="list" xr:uid="{4DEC75A2-46D1-4B77-A449-E43B9FC5ADB9}" sqref="F31" showErrorMessage="1" errorTitle="An invalid feedback was entered" error="Please choose feedback from drop down only.">
      <formula1>"1/2,5/4,7/8,RRU TOP JUMPER,N/A"</formula1>
    </dataValidation>
    <dataValidation type="list" xr:uid="{1A51CCC2-45A2-4DB6-8EC7-61D0E0D84FED}" sqref="G31" showErrorMessage="1" errorTitle="An invalid feedback was entered" error="Please choose feedback from drop down only.">
      <formula1>"1/2,5/4,7/8,RRU TOP JUMPER,N/A"</formula1>
    </dataValidation>
    <dataValidation type="list" xr:uid="{A769AD72-B917-4E53-A542-3D5869AC8DAA}" sqref="H31" showErrorMessage="1" errorTitle="An invalid feedback was entered" error="Please choose feedback from drop down only.">
      <formula1>"1/2,5/4,7/8,RRU TOP JUMPER,N/A"</formula1>
    </dataValidation>
    <dataValidation type="list" xr:uid="{4B71B6C8-B4E8-4671-A418-E3A870EF9E04}" sqref="I31" showErrorMessage="1" errorTitle="An invalid feedback was entered" error="Please choose feedback from drop down only.">
      <formula1>"1/2,5/4,7/8,RRU TOP JUMPER,N/A"</formula1>
    </dataValidation>
    <dataValidation type="list" xr:uid="{E456424E-4668-4548-B51B-400579E6289D}" sqref="J31" showErrorMessage="1" errorTitle="An invalid feedback was entered" error="Please choose feedback from drop down only.">
      <formula1>"1/2,5/4,7/8,RRU TOP JUMPER,N/A"</formula1>
    </dataValidation>
    <dataValidation type="list" xr:uid="{DD34E103-2E03-4B53-88C3-50A34721424C}" sqref="K31" showErrorMessage="1" errorTitle="An invalid feedback was entered" error="Please choose feedback from drop down only.">
      <formula1>"1/2,5/4,7/8,RRU TOP JUMPER,N/A"</formula1>
    </dataValidation>
    <dataValidation type="list" xr:uid="{E0FBB649-FB2B-448F-9882-66829589825C}" sqref="L31" showErrorMessage="1" errorTitle="An invalid feedback was entered" error="Please choose feedback from drop down only.">
      <formula1>"1/2,5/4,7/8,RRU TOP JUMPER,N/A"</formula1>
    </dataValidation>
    <dataValidation type="list" xr:uid="{638D44C3-2DD4-43AC-838D-B0993245B913}" sqref="M31" showErrorMessage="1" errorTitle="An invalid feedback was entered" error="Please choose feedback from drop down only.">
      <formula1>"1/2,5/4,7/8,RRU TOP JUMPER,N/A"</formula1>
    </dataValidation>
    <dataValidation type="list" xr:uid="{B391D3B5-8CBE-46CF-BDF5-DEFE648D4EEA}" sqref="N31" showErrorMessage="1" errorTitle="An invalid feedback was entered" error="Please choose feedback from drop down only.">
      <formula1>"1/2,5/4,7/8,RRU TOP JUMPER,N/A"</formula1>
    </dataValidation>
    <dataValidation type="list" xr:uid="{A5D3ADA8-3E23-4D26-8C93-150DF471ED01}" sqref="O31" showErrorMessage="1" errorTitle="An invalid feedback was entered" error="Please choose feedback from drop down only.">
      <formula1>"1/2,5/4,7/8,RRU TOP JUMPER,N/A"</formula1>
    </dataValidation>
    <dataValidation type="list" xr:uid="{512967D0-DD0B-4426-B112-CA827B7513C5}" sqref="P31" showErrorMessage="1" errorTitle="An invalid feedback was entered" error="Please choose feedback from drop down only.">
      <formula1>"1/2,5/4,7/8,RRU TOP JUMPER,N/A"</formula1>
    </dataValidation>
    <dataValidation type="list" xr:uid="{CE80220B-3B2A-4A3D-BFD5-8AEFC955C93E}" sqref="Q31" showErrorMessage="1" errorTitle="An invalid feedback was entered" error="Please choose feedback from drop down only.">
      <formula1>"1/2,5/4,7/8,RRU TOP JUMPER,N/A"</formula1>
    </dataValidation>
    <dataValidation type="list" xr:uid="{379E9BBF-FEA6-46A3-9A9C-0FD032A7027E}" sqref="C4" showErrorMessage="1" errorTitle="An invalid feedback was entered" error="Please choose feedback from drop down only.">
      <formula1>"1,2,3,4,5,6,N/A"</formula1>
    </dataValidation>
    <dataValidation type="list" xr:uid="{0F8A1B83-270C-4D50-80D1-35E56A0D1C59}" sqref="D4" showErrorMessage="1" errorTitle="An invalid feedback was entered" error="Please choose feedback from drop down only.">
      <formula1>"1,2,3,4,5,6,N/A"</formula1>
    </dataValidation>
    <dataValidation type="list" xr:uid="{03EB34EC-F228-4C91-856A-4D62AD3EDC53}" sqref="E4" showErrorMessage="1" errorTitle="An invalid feedback was entered" error="Please choose feedback from drop down only.">
      <formula1>"1,2,3,4,5,6,N/A"</formula1>
    </dataValidation>
    <dataValidation type="list" xr:uid="{D01AB554-17DA-4E37-8D8B-3A32812E25FA}" sqref="F4" showErrorMessage="1" errorTitle="An invalid feedback was entered" error="Please choose feedback from drop down only.">
      <formula1>"1,2,3,4,5,6,N/A"</formula1>
    </dataValidation>
    <dataValidation type="list" xr:uid="{AF7F83AE-43D3-4BD7-B538-3DB6A1560EEA}" sqref="G4" showErrorMessage="1" errorTitle="An invalid feedback was entered" error="Please choose feedback from drop down only.">
      <formula1>"1,2,3,4,5,6,N/A"</formula1>
    </dataValidation>
    <dataValidation type="list" xr:uid="{FCDD3F3D-BBBA-4454-AD86-CF6B9A59E523}" sqref="H4" showErrorMessage="1" errorTitle="An invalid feedback was entered" error="Please choose feedback from drop down only.">
      <formula1>"1,2,3,4,5,6,N/A"</formula1>
    </dataValidation>
    <dataValidation type="list" xr:uid="{F11B5229-6489-4C1C-B0D4-179151F4889A}" sqref="I4" showErrorMessage="1" errorTitle="An invalid feedback was entered" error="Please choose feedback from drop down only.">
      <formula1>"1,2,3,4,5,6,N/A"</formula1>
    </dataValidation>
    <dataValidation type="list" xr:uid="{145DA3AA-8CFB-45FA-95BC-9B56C15225D5}" sqref="J4" showErrorMessage="1" errorTitle="An invalid feedback was entered" error="Please choose feedback from drop down only.">
      <formula1>"1,2,3,4,5,6,N/A"</formula1>
    </dataValidation>
    <dataValidation type="list" xr:uid="{40222B17-C8A3-4ABA-88EB-66F0821E3EF8}" sqref="K4" showErrorMessage="1" errorTitle="An invalid feedback was entered" error="Please choose feedback from drop down only.">
      <formula1>"1,2,3,4,5,6,N/A"</formula1>
    </dataValidation>
    <dataValidation type="list" xr:uid="{295229E5-6085-47C9-A739-AC5FD3006242}" sqref="L4" showErrorMessage="1" errorTitle="An invalid feedback was entered" error="Please choose feedback from drop down only.">
      <formula1>"1,2,3,4,5,6,N/A"</formula1>
    </dataValidation>
    <dataValidation type="list" xr:uid="{10288CCF-500B-4C95-920B-1107ED7446B4}" sqref="M4" showErrorMessage="1" errorTitle="An invalid feedback was entered" error="Please choose feedback from drop down only.">
      <formula1>"1,2,3,4,5,6,N/A"</formula1>
    </dataValidation>
    <dataValidation type="list" xr:uid="{B2824480-046F-47A4-85A3-10AD1847AE30}" sqref="N4" showErrorMessage="1" errorTitle="An invalid feedback was entered" error="Please choose feedback from drop down only.">
      <formula1>"1,2,3,4,5,6,N/A"</formula1>
    </dataValidation>
    <dataValidation type="list" xr:uid="{93617A54-6389-4161-86ED-CB115C7342A9}" sqref="O4" showErrorMessage="1" errorTitle="An invalid feedback was entered" error="Please choose feedback from drop down only.">
      <formula1>"1,2,3,4,5,6,N/A"</formula1>
    </dataValidation>
    <dataValidation type="list" xr:uid="{A8554E20-DF8C-4A60-BC9D-39BC70F96E6A}" sqref="P4" showErrorMessage="1" errorTitle="An invalid feedback was entered" error="Please choose feedback from drop down only.">
      <formula1>"1,2,3,4,5,6,N/A"</formula1>
    </dataValidation>
    <dataValidation type="list" xr:uid="{AB417B36-F631-4903-AE1A-3474F66B440B}" sqref="Q4" showErrorMessage="1" errorTitle="An invalid feedback was entered" error="Please choose feedback from drop down only.">
      <formula1>"1,2,3,4,5,6,N/A"</formula1>
    </dataValidation>
    <dataValidation type="list" xr:uid="{9EE026FA-963C-41F2-96DC-EE8CA3F5320E}" sqref="C22" showErrorMessage="1" errorTitle="An invalid feedback was entered" error="Please choose feedback from drop down only.">
      <formula1>"700,800&amp;900,900,1800,2100,2600,3600,1800&amp;2100,1800&amp;2600,2100&amp;2600,18&amp;21&amp;26,Free,N/A,Yetel,A1,Yetel&amp;A1"</formula1>
    </dataValidation>
    <dataValidation type="list" xr:uid="{5694B943-109C-494C-AEA7-682E5617CDC6}" sqref="D22" showErrorMessage="1" errorTitle="An invalid feedback was entered" error="Please choose feedback from drop down only.">
      <formula1>"700,800&amp;900,900,1800,2100,2600,3600,1800&amp;2100,1800&amp;2600,2100&amp;2600,18&amp;21&amp;26,Free,N/A,Yetel,A1,Yetel&amp;A1"</formula1>
    </dataValidation>
    <dataValidation type="list" xr:uid="{9EBF57B2-E551-43F9-BAE0-9D912178F333}" sqref="E22" showErrorMessage="1" errorTitle="An invalid feedback was entered" error="Please choose feedback from drop down only.">
      <formula1>"700,800&amp;900,900,1800,2100,2600,3600,1800&amp;2100,1800&amp;2600,2100&amp;2600,18&amp;21&amp;26,Free,N/A,Yetel,A1,Yetel&amp;A1"</formula1>
    </dataValidation>
    <dataValidation type="list" xr:uid="{743E7711-AA7F-48DF-AF17-E29702810372}" sqref="F22" showErrorMessage="1" errorTitle="An invalid feedback was entered" error="Please choose feedback from drop down only.">
      <formula1>"700,800&amp;900,900,1800,2100,2600,3600,1800&amp;2100,1800&amp;2600,2100&amp;2600,18&amp;21&amp;26,Free,N/A,Yetel,A1,Yetel&amp;A1"</formula1>
    </dataValidation>
    <dataValidation type="list" xr:uid="{D418C536-870F-4527-ADD4-CB5F876B85C5}" sqref="G22" showErrorMessage="1" errorTitle="An invalid feedback was entered" error="Please choose feedback from drop down only.">
      <formula1>"700,800&amp;900,900,1800,2100,2600,3600,1800&amp;2100,1800&amp;2600,2100&amp;2600,18&amp;21&amp;26,Free,N/A,Yetel,A1,Yetel&amp;A1"</formula1>
    </dataValidation>
    <dataValidation type="list" xr:uid="{73D83997-DDEF-4E8E-A667-11CE037452C6}" sqref="H22" showErrorMessage="1" errorTitle="An invalid feedback was entered" error="Please choose feedback from drop down only.">
      <formula1>"700,800&amp;900,900,1800,2100,2600,3600,1800&amp;2100,1800&amp;2600,2100&amp;2600,18&amp;21&amp;26,Free,N/A,Yetel,A1,Yetel&amp;A1"</formula1>
    </dataValidation>
    <dataValidation type="list" xr:uid="{FC676A51-416D-4143-94EA-56CC9916130E}" sqref="I22" showErrorMessage="1" errorTitle="An invalid feedback was entered" error="Please choose feedback from drop down only.">
      <formula1>"700,800&amp;900,900,1800,2100,2600,3600,1800&amp;2100,1800&amp;2600,2100&amp;2600,18&amp;21&amp;26,Free,N/A,Yetel,A1,Yetel&amp;A1"</formula1>
    </dataValidation>
    <dataValidation type="list" xr:uid="{521ED4D8-2190-4CE8-81A1-F1F51140ED7B}" sqref="J22" showErrorMessage="1" errorTitle="An invalid feedback was entered" error="Please choose feedback from drop down only.">
      <formula1>"700,800&amp;900,900,1800,2100,2600,3600,1800&amp;2100,1800&amp;2600,2100&amp;2600,18&amp;21&amp;26,Free,N/A,Yetel,A1,Yetel&amp;A1"</formula1>
    </dataValidation>
    <dataValidation type="list" xr:uid="{4C0A3227-6B0D-4AA1-B70B-F1AF0F152709}" sqref="K22" showErrorMessage="1" errorTitle="An invalid feedback was entered" error="Please choose feedback from drop down only.">
      <formula1>"700,800&amp;900,900,1800,2100,2600,3600,1800&amp;2100,1800&amp;2600,2100&amp;2600,18&amp;21&amp;26,Free,N/A,Yetel,A1,Yetel&amp;A1"</formula1>
    </dataValidation>
    <dataValidation type="list" xr:uid="{509A824E-268F-4B37-9B07-ACE1D948362A}" sqref="L22" showErrorMessage="1" errorTitle="An invalid feedback was entered" error="Please choose feedback from drop down only.">
      <formula1>"700,800&amp;900,900,1800,2100,2600,3600,1800&amp;2100,1800&amp;2600,2100&amp;2600,18&amp;21&amp;26,Free,N/A,Yetel,A1,Yetel&amp;A1"</formula1>
    </dataValidation>
    <dataValidation type="list" xr:uid="{924981E1-CEB7-4E78-A640-27C1975A8F79}" sqref="M22" showErrorMessage="1" errorTitle="An invalid feedback was entered" error="Please choose feedback from drop down only.">
      <formula1>"700,800&amp;900,900,1800,2100,2600,3600,1800&amp;2100,1800&amp;2600,2100&amp;2600,18&amp;21&amp;26,Free,N/A,Yetel,A1,Yetel&amp;A1"</formula1>
    </dataValidation>
    <dataValidation type="list" xr:uid="{BF722FA1-799E-4A10-A92B-B8860A3DAC97}" sqref="N22" showErrorMessage="1" errorTitle="An invalid feedback was entered" error="Please choose feedback from drop down only.">
      <formula1>"700,800&amp;900,900,1800,2100,2600,3600,1800&amp;2100,1800&amp;2600,2100&amp;2600,18&amp;21&amp;26,Free,N/A,Yetel,A1,Yetel&amp;A1"</formula1>
    </dataValidation>
    <dataValidation type="list" xr:uid="{ACCD1B63-0990-439D-A939-E5C59180F861}" sqref="O22" showErrorMessage="1" errorTitle="An invalid feedback was entered" error="Please choose feedback from drop down only.">
      <formula1>"700,800&amp;900,900,1800,2100,2600,3600,1800&amp;2100,1800&amp;2600,2100&amp;2600,18&amp;21&amp;26,Free,N/A,Yetel,A1,Yetel&amp;A1"</formula1>
    </dataValidation>
    <dataValidation type="list" xr:uid="{6956B693-1BF2-48BB-8B4E-DD24AA0E6174}" sqref="P22" showErrorMessage="1" errorTitle="An invalid feedback was entered" error="Please choose feedback from drop down only.">
      <formula1>"700,800&amp;900,900,1800,2100,2600,3600,1800&amp;2100,1800&amp;2600,2100&amp;2600,18&amp;21&amp;26,Free,N/A,Yetel,A1,Yetel&amp;A1"</formula1>
    </dataValidation>
    <dataValidation type="list" xr:uid="{2C9F8FC7-9827-4ED3-90C4-67FF0CA58D7A}" sqref="Q22" showErrorMessage="1" errorTitle="An invalid feedback was entered" error="Please choose feedback from drop down only.">
      <formula1>"700,800&amp;900,900,1800,2100,2600,3600,1800&amp;2100,1800&amp;2600,2100&amp;2600,18&amp;21&amp;26,Free,N/A,Yetel,A1,Yetel&amp;A1"</formula1>
    </dataValidation>
    <dataValidation type="list" xr:uid="{3E640E9C-1970-46E3-9212-732DA1083785}" sqref="C28" showErrorMessage="1" errorTitle="An invalid feedback was entered" error="Please choose feedback from drop down only.">
      <formula1>"Yes,No,FlexRET"</formula1>
    </dataValidation>
    <dataValidation type="list" xr:uid="{39D60B3E-D045-4E6E-82D7-82ECE5874186}" sqref="D28" showErrorMessage="1" errorTitle="An invalid feedback was entered" error="Please choose feedback from drop down only.">
      <formula1>"Yes,No,FlexRET"</formula1>
    </dataValidation>
    <dataValidation type="list" xr:uid="{B8CCD152-20B6-425A-88F1-E2591C766EA9}" sqref="E28" showErrorMessage="1" errorTitle="An invalid feedback was entered" error="Please choose feedback from drop down only.">
      <formula1>"Yes,No,FlexRET"</formula1>
    </dataValidation>
    <dataValidation type="list" xr:uid="{3575F5B5-DF8F-423F-AAFE-F06E9CEB5C3B}" sqref="F28" showErrorMessage="1" errorTitle="An invalid feedback was entered" error="Please choose feedback from drop down only.">
      <formula1>"Yes,No,FlexRET"</formula1>
    </dataValidation>
    <dataValidation type="list" xr:uid="{D6727F3A-1CF2-492F-95C0-46D126159D49}" sqref="G28" showErrorMessage="1" errorTitle="An invalid feedback was entered" error="Please choose feedback from drop down only.">
      <formula1>"Yes,No,FlexRET"</formula1>
    </dataValidation>
    <dataValidation type="list" xr:uid="{E1E43E22-FDBE-4CED-A1CD-63DE04F6B20E}" sqref="H28" showErrorMessage="1" errorTitle="An invalid feedback was entered" error="Please choose feedback from drop down only.">
      <formula1>"Yes,No,FlexRET"</formula1>
    </dataValidation>
    <dataValidation type="list" xr:uid="{40694857-3098-4FDC-9128-9D4BC87829D9}" sqref="I28" showErrorMessage="1" errorTitle="An invalid feedback was entered" error="Please choose feedback from drop down only.">
      <formula1>"Yes,No,FlexRET"</formula1>
    </dataValidation>
    <dataValidation type="list" xr:uid="{9E8B3E73-8EC4-48BC-A259-C49202070FAE}" sqref="J28" showErrorMessage="1" errorTitle="An invalid feedback was entered" error="Please choose feedback from drop down only.">
      <formula1>"Yes,No,FlexRET"</formula1>
    </dataValidation>
    <dataValidation type="list" xr:uid="{F9792CED-B7EE-40C0-A8C8-87B64C8F2B3F}" sqref="K28" showErrorMessage="1" errorTitle="An invalid feedback was entered" error="Please choose feedback from drop down only.">
      <formula1>"Yes,No,FlexRET"</formula1>
    </dataValidation>
    <dataValidation type="list" xr:uid="{E3A9D4AD-A750-4665-B2D4-189DE175BC65}" sqref="L28" showErrorMessage="1" errorTitle="An invalid feedback was entered" error="Please choose feedback from drop down only.">
      <formula1>"Yes,No,FlexRET"</formula1>
    </dataValidation>
    <dataValidation type="list" xr:uid="{19AAE8EF-097A-4154-9DB4-5C876999850F}" sqref="M28" showErrorMessage="1" errorTitle="An invalid feedback was entered" error="Please choose feedback from drop down only.">
      <formula1>"Yes,No,FlexRET"</formula1>
    </dataValidation>
    <dataValidation type="list" xr:uid="{8C4C4A54-799D-4483-AC54-DF5DA92BF948}" sqref="N28" showErrorMessage="1" errorTitle="An invalid feedback was entered" error="Please choose feedback from drop down only.">
      <formula1>"Yes,No,FlexRET"</formula1>
    </dataValidation>
    <dataValidation type="list" xr:uid="{EC7CBE86-7004-4ADA-B619-706533EFAAEA}" sqref="O28" showErrorMessage="1" errorTitle="An invalid feedback was entered" error="Please choose feedback from drop down only.">
      <formula1>"Yes,No,FlexRET"</formula1>
    </dataValidation>
    <dataValidation type="list" xr:uid="{73AE2426-85B5-4B35-8BC3-13A0311B2257}" sqref="P28" showErrorMessage="1" errorTitle="An invalid feedback was entered" error="Please choose feedback from drop down only.">
      <formula1>"Yes,No,FlexRET"</formula1>
    </dataValidation>
    <dataValidation type="list" xr:uid="{0B3D061A-034F-4E0A-9A6A-DCED74360F13}" sqref="Q28" showErrorMessage="1" errorTitle="An invalid feedback was entered" error="Please choose feedback from drop down only.">
      <formula1>"Yes,No,FlexRET"</formula1>
    </dataValidation>
    <dataValidation type="list" xr:uid="{3E3E7F04-0AE6-40A2-AAB2-7535DBCFF7C9}" sqref="C29" showErrorMessage="1" errorTitle="An invalid feedback was entered" error="Please choose feedback from drop down only.">
      <formula1>"Yes,No,FlexRET"</formula1>
    </dataValidation>
    <dataValidation type="list" xr:uid="{37817D3C-89E1-4471-AAB8-C5F66E7B8EE6}" sqref="D29" showErrorMessage="1" errorTitle="An invalid feedback was entered" error="Please choose feedback from drop down only.">
      <formula1>"Yes,No,FlexRET"</formula1>
    </dataValidation>
    <dataValidation type="list" xr:uid="{D9DBB6FD-89B7-407D-B397-CEFE31CB2882}" sqref="E29" showErrorMessage="1" errorTitle="An invalid feedback was entered" error="Please choose feedback from drop down only.">
      <formula1>"Yes,No,FlexRET"</formula1>
    </dataValidation>
    <dataValidation type="list" xr:uid="{4D51F20E-EF24-4EEE-8B07-F0206F1A0E69}" sqref="F29" showErrorMessage="1" errorTitle="An invalid feedback was entered" error="Please choose feedback from drop down only.">
      <formula1>"Yes,No,FlexRET"</formula1>
    </dataValidation>
    <dataValidation type="list" xr:uid="{1F472D58-08F3-4F6D-9C9D-E01A753288DA}" sqref="G29" showErrorMessage="1" errorTitle="An invalid feedback was entered" error="Please choose feedback from drop down only.">
      <formula1>"Yes,No,FlexRET"</formula1>
    </dataValidation>
    <dataValidation type="list" xr:uid="{4A7BE06B-86E4-46B4-89CF-D6CD58733C22}" sqref="H29" showErrorMessage="1" errorTitle="An invalid feedback was entered" error="Please choose feedback from drop down only.">
      <formula1>"Yes,No,FlexRET"</formula1>
    </dataValidation>
    <dataValidation type="list" xr:uid="{5E962C19-E699-4C2E-A543-AE19419D181E}" sqref="I29" showErrorMessage="1" errorTitle="An invalid feedback was entered" error="Please choose feedback from drop down only.">
      <formula1>"Yes,No,FlexRET"</formula1>
    </dataValidation>
    <dataValidation type="list" xr:uid="{A4CC6BC5-AD48-4713-89C7-34FE3BAB3089}" sqref="J29" showErrorMessage="1" errorTitle="An invalid feedback was entered" error="Please choose feedback from drop down only.">
      <formula1>"Yes,No,FlexRET"</formula1>
    </dataValidation>
    <dataValidation type="list" xr:uid="{D6DAB612-1713-40AA-97ED-783567E67EB7}" sqref="K29" showErrorMessage="1" errorTitle="An invalid feedback was entered" error="Please choose feedback from drop down only.">
      <formula1>"Yes,No,FlexRET"</formula1>
    </dataValidation>
    <dataValidation type="list" xr:uid="{DCE8D3FE-EB80-44E5-A25A-95D48C8D25F9}" sqref="L29" showErrorMessage="1" errorTitle="An invalid feedback was entered" error="Please choose feedback from drop down only.">
      <formula1>"Yes,No,FlexRET"</formula1>
    </dataValidation>
    <dataValidation type="list" xr:uid="{9CA6E750-083C-48A6-B20F-A4FB7FFFF575}" sqref="M29" showErrorMessage="1" errorTitle="An invalid feedback was entered" error="Please choose feedback from drop down only.">
      <formula1>"Yes,No,FlexRET"</formula1>
    </dataValidation>
    <dataValidation type="list" xr:uid="{EE656C30-C506-4A80-888B-45FF6AE86FCA}" sqref="N29" showErrorMessage="1" errorTitle="An invalid feedback was entered" error="Please choose feedback from drop down only.">
      <formula1>"Yes,No,FlexRET"</formula1>
    </dataValidation>
    <dataValidation type="list" xr:uid="{456B4B67-13FA-43FC-930E-F0BB5EF5C265}" sqref="O29" showErrorMessage="1" errorTitle="An invalid feedback was entered" error="Please choose feedback from drop down only.">
      <formula1>"Yes,No,FlexRET"</formula1>
    </dataValidation>
    <dataValidation type="list" xr:uid="{30649A68-EE92-41A0-A42C-3692DF722C25}" sqref="P29" showErrorMessage="1" errorTitle="An invalid feedback was entered" error="Please choose feedback from drop down only.">
      <formula1>"Yes,No,FlexRET"</formula1>
    </dataValidation>
    <dataValidation type="list" xr:uid="{3FADA5C0-269E-4213-B5FF-3BC9D6AB2931}" sqref="Q29" showErrorMessage="1" errorTitle="An invalid feedback was entered" error="Please choose feedback from drop down only.">
      <formula1>"Yes,No,FlexRET"</formula1>
    </dataValidation>
    <dataValidation type="list" xr:uid="{DBA9EA0B-1BAF-4E08-BC37-27EBA0A894F1}" sqref="C25" showErrorMessage="1" errorTitle="An invalid feedback was entered" error="Please choose feedback from drop down only.">
      <formula1>"G,U,L,NR,GU,UL,GL,GUL,LNR,ULNR,None"</formula1>
    </dataValidation>
    <dataValidation type="list" xr:uid="{649F299D-338A-4015-94D1-991656F66F60}" sqref="D25" showErrorMessage="1" errorTitle="An invalid feedback was entered" error="Please choose feedback from drop down only.">
      <formula1>"G,U,L,NR,GU,UL,GL,GUL,LNR,ULNR,None"</formula1>
    </dataValidation>
    <dataValidation type="list" xr:uid="{4EFA792C-6EDE-40FE-AB84-601D6B446204}" sqref="E25" showErrorMessage="1" errorTitle="An invalid feedback was entered" error="Please choose feedback from drop down only.">
      <formula1>"G,U,L,NR,GU,UL,GL,GUL,LNR,ULNR,None"</formula1>
    </dataValidation>
    <dataValidation type="list" xr:uid="{7C546FF0-B5D5-49F7-A5D8-43B53A4DF357}" sqref="F25" showErrorMessage="1" errorTitle="An invalid feedback was entered" error="Please choose feedback from drop down only.">
      <formula1>"G,U,L,NR,GU,UL,GL,GUL,LNR,ULNR,None"</formula1>
    </dataValidation>
    <dataValidation type="list" xr:uid="{5F6EAE95-DAB1-4DF8-8D30-2154588A7CBE}" sqref="G25" showErrorMessage="1" errorTitle="An invalid feedback was entered" error="Please choose feedback from drop down only.">
      <formula1>"G,U,L,NR,GU,UL,GL,GUL,LNR,ULNR,None"</formula1>
    </dataValidation>
    <dataValidation type="list" xr:uid="{872B96D4-726E-4D3C-AA32-4F60C9FD437F}" sqref="H25" showErrorMessage="1" errorTitle="An invalid feedback was entered" error="Please choose feedback from drop down only.">
      <formula1>"G,U,L,NR,GU,UL,GL,GUL,LNR,ULNR,None"</formula1>
    </dataValidation>
    <dataValidation type="list" xr:uid="{3F4E47CA-4A47-448B-9E4A-D812BD17E6BB}" sqref="I25" showErrorMessage="1" errorTitle="An invalid feedback was entered" error="Please choose feedback from drop down only.">
      <formula1>"G,U,L,NR,GU,UL,GL,GUL,LNR,ULNR,None"</formula1>
    </dataValidation>
    <dataValidation type="list" xr:uid="{B3574614-B310-4ACE-8162-71C6D7694546}" sqref="J25" showErrorMessage="1" errorTitle="An invalid feedback was entered" error="Please choose feedback from drop down only.">
      <formula1>"G,U,L,NR,GU,UL,GL,GUL,LNR,ULNR,None"</formula1>
    </dataValidation>
    <dataValidation type="list" xr:uid="{B1923BC4-35B6-455B-90C2-4516676DB2E8}" sqref="K25" showErrorMessage="1" errorTitle="An invalid feedback was entered" error="Please choose feedback from drop down only.">
      <formula1>"G,U,L,NR,GU,UL,GL,GUL,LNR,ULNR,None"</formula1>
    </dataValidation>
    <dataValidation type="list" xr:uid="{1F2E0235-7D41-4CFF-868D-A3EFBA9C6040}" sqref="L25" showErrorMessage="1" errorTitle="An invalid feedback was entered" error="Please choose feedback from drop down only.">
      <formula1>"G,U,L,NR,GU,UL,GL,GUL,LNR,ULNR,None"</formula1>
    </dataValidation>
    <dataValidation type="list" xr:uid="{4E419A46-D75E-402D-9AD5-81C482603479}" sqref="M25" showErrorMessage="1" errorTitle="An invalid feedback was entered" error="Please choose feedback from drop down only.">
      <formula1>"G,U,L,NR,GU,UL,GL,GUL,LNR,ULNR,None"</formula1>
    </dataValidation>
    <dataValidation type="list" xr:uid="{6F9B6C54-323C-4FE1-8C43-1F0D73E3CCFD}" sqref="N25" showErrorMessage="1" errorTitle="An invalid feedback was entered" error="Please choose feedback from drop down only.">
      <formula1>"G,U,L,NR,GU,UL,GL,GUL,LNR,ULNR,None"</formula1>
    </dataValidation>
    <dataValidation type="list" xr:uid="{1B7DCBBA-2903-4DC5-A959-A29993598C93}" sqref="O25" showErrorMessage="1" errorTitle="An invalid feedback was entered" error="Please choose feedback from drop down only.">
      <formula1>"G,U,L,NR,GU,UL,GL,GUL,LNR,ULNR,None"</formula1>
    </dataValidation>
    <dataValidation type="list" xr:uid="{4CA4AAE6-CE13-4BAB-A80C-B089C1BEBD20}" sqref="P25" showErrorMessage="1" errorTitle="An invalid feedback was entered" error="Please choose feedback from drop down only.">
      <formula1>"G,U,L,NR,GU,UL,GL,GUL,LNR,ULNR,None"</formula1>
    </dataValidation>
    <dataValidation type="list" xr:uid="{6E8A1B07-9C94-4E6D-991B-0210F7B06361}" sqref="Q25" showErrorMessage="1" errorTitle="An invalid feedback was entered" error="Please choose feedback from drop down only.">
      <formula1>"G,U,L,NR,GU,UL,GL,GUL,LNR,ULNR,None"</formula1>
    </dataValidation>
    <dataValidation type="list" xr:uid="{5647E240-6003-4EED-B635-183CC7137A45}" sqref="C37" showErrorMessage="1" errorTitle="An invalid feedback was entered" error="Please choose feedback from drop down only.">
      <formula1>"Yes,No,SASU,SASU/SASA,DCS/UMTS2100share,78210440,78211110,78210510,DTMA UMTS 12 ASIG,78211106,78210312,TMA 900 Tower amplifier,TMA900,MI-15832,MI-16331,MI-12731,MI-12031,N/A,Unknown,None"</formula1>
    </dataValidation>
    <dataValidation type="list" xr:uid="{CF456FD5-7CAF-4060-9BC2-DCAD3A1D28E6}" sqref="D37" showErrorMessage="1" errorTitle="An invalid feedback was entered" error="Please choose feedback from drop down only.">
      <formula1>"Yes,No,SASU,SASU/SASA,DCS/UMTS2100share,78210440,78211110,78210510,DTMA UMTS 12 ASIG,78211106,78210312,TMA 900 Tower amplifier,TMA900,MI-15832,MI-16331,MI-12731,MI-12031,N/A,Unknown,None"</formula1>
    </dataValidation>
    <dataValidation type="list" xr:uid="{A09E4963-C01A-40DC-A86F-C65E87F1C4EF}" sqref="E37" showErrorMessage="1" errorTitle="An invalid feedback was entered" error="Please choose feedback from drop down only.">
      <formula1>"Yes,No,SASU,SASU/SASA,DCS/UMTS2100share,78210440,78211110,78210510,DTMA UMTS 12 ASIG,78211106,78210312,TMA 900 Tower amplifier,TMA900,MI-15832,MI-16331,MI-12731,MI-12031,N/A,Unknown,None"</formula1>
    </dataValidation>
    <dataValidation type="list" xr:uid="{48EAD010-93F2-4597-8AF1-A9B5D4CE71B7}" sqref="F37" showErrorMessage="1" errorTitle="An invalid feedback was entered" error="Please choose feedback from drop down only.">
      <formula1>"Yes,No,SASU,SASU/SASA,DCS/UMTS2100share,78210440,78211110,78210510,DTMA UMTS 12 ASIG,78211106,78210312,TMA 900 Tower amplifier,TMA900,MI-15832,MI-16331,MI-12731,MI-12031,N/A,Unknown,None"</formula1>
    </dataValidation>
    <dataValidation type="list" xr:uid="{9ED7383B-657D-4F4F-BD21-99292E5C6CC1}" sqref="G37" showErrorMessage="1" errorTitle="An invalid feedback was entered" error="Please choose feedback from drop down only.">
      <formula1>"Yes,No,SASU,SASU/SASA,DCS/UMTS2100share,78210440,78211110,78210510,DTMA UMTS 12 ASIG,78211106,78210312,TMA 900 Tower amplifier,TMA900,MI-15832,MI-16331,MI-12731,MI-12031,N/A,Unknown,None"</formula1>
    </dataValidation>
    <dataValidation type="list" xr:uid="{7A0BA001-B2E3-48D3-8883-DB85C5CD950B}" sqref="H37" showErrorMessage="1" errorTitle="An invalid feedback was entered" error="Please choose feedback from drop down only.">
      <formula1>"Yes,No,SASU,SASU/SASA,DCS/UMTS2100share,78210440,78211110,78210510,DTMA UMTS 12 ASIG,78211106,78210312,TMA 900 Tower amplifier,TMA900,MI-15832,MI-16331,MI-12731,MI-12031,N/A,Unknown,None"</formula1>
    </dataValidation>
    <dataValidation type="list" xr:uid="{BA021875-85DF-4BE1-8FB1-8C94DE11EE04}" sqref="I37" showErrorMessage="1" errorTitle="An invalid feedback was entered" error="Please choose feedback from drop down only.">
      <formula1>"Yes,No,SASU,SASU/SASA,DCS/UMTS2100share,78210440,78211110,78210510,DTMA UMTS 12 ASIG,78211106,78210312,TMA 900 Tower amplifier,TMA900,MI-15832,MI-16331,MI-12731,MI-12031,N/A,Unknown,None"</formula1>
    </dataValidation>
    <dataValidation type="list" xr:uid="{5BE588F4-26D2-45C2-805F-B5D03C0EBA04}" sqref="J37" showErrorMessage="1" errorTitle="An invalid feedback was entered" error="Please choose feedback from drop down only.">
      <formula1>"Yes,No,SASU,SASU/SASA,DCS/UMTS2100share,78210440,78211110,78210510,DTMA UMTS 12 ASIG,78211106,78210312,TMA 900 Tower amplifier,TMA900,MI-15832,MI-16331,MI-12731,MI-12031,N/A,Unknown,None"</formula1>
    </dataValidation>
    <dataValidation type="list" xr:uid="{B43724E1-3617-4626-B5AC-C0D13E0FD794}" sqref="K37" showErrorMessage="1" errorTitle="An invalid feedback was entered" error="Please choose feedback from drop down only.">
      <formula1>"Yes,No,SASU,SASU/SASA,DCS/UMTS2100share,78210440,78211110,78210510,DTMA UMTS 12 ASIG,78211106,78210312,TMA 900 Tower amplifier,TMA900,MI-15832,MI-16331,MI-12731,MI-12031,N/A,Unknown,None"</formula1>
    </dataValidation>
    <dataValidation type="list" xr:uid="{77D46380-95FB-40E1-8864-94DF88BC2528}" sqref="L37" showErrorMessage="1" errorTitle="An invalid feedback was entered" error="Please choose feedback from drop down only.">
      <formula1>"Yes,No,SASU,SASU/SASA,DCS/UMTS2100share,78210440,78211110,78210510,DTMA UMTS 12 ASIG,78211106,78210312,TMA 900 Tower amplifier,TMA900,MI-15832,MI-16331,MI-12731,MI-12031,N/A,Unknown,None"</formula1>
    </dataValidation>
    <dataValidation type="list" xr:uid="{1F544A7C-D5BD-495E-929B-23FF1A32A558}" sqref="M37" showErrorMessage="1" errorTitle="An invalid feedback was entered" error="Please choose feedback from drop down only.">
      <formula1>"Yes,No,SASU,SASU/SASA,DCS/UMTS2100share,78210440,78211110,78210510,DTMA UMTS 12 ASIG,78211106,78210312,TMA 900 Tower amplifier,TMA900,MI-15832,MI-16331,MI-12731,MI-12031,N/A,Unknown,None"</formula1>
    </dataValidation>
    <dataValidation type="list" xr:uid="{0A4957DF-7BCD-4658-8D4E-0F5B4C5330ED}" sqref="N37" showErrorMessage="1" errorTitle="An invalid feedback was entered" error="Please choose feedback from drop down only.">
      <formula1>"Yes,No,SASU,SASU/SASA,DCS/UMTS2100share,78210440,78211110,78210510,DTMA UMTS 12 ASIG,78211106,78210312,TMA 900 Tower amplifier,TMA900,MI-15832,MI-16331,MI-12731,MI-12031,N/A,Unknown,None"</formula1>
    </dataValidation>
    <dataValidation type="list" xr:uid="{83F40868-F742-460A-BA6F-E1A13A02BC6A}" sqref="O37" showErrorMessage="1" errorTitle="An invalid feedback was entered" error="Please choose feedback from drop down only.">
      <formula1>"Yes,No,SASU,SASU/SASA,DCS/UMTS2100share,78210440,78211110,78210510,DTMA UMTS 12 ASIG,78211106,78210312,TMA 900 Tower amplifier,TMA900,MI-15832,MI-16331,MI-12731,MI-12031,N/A,Unknown,None"</formula1>
    </dataValidation>
    <dataValidation type="list" xr:uid="{1ED68D1D-49A8-42AA-9A60-361F3F3A8DAD}" sqref="P37" showErrorMessage="1" errorTitle="An invalid feedback was entered" error="Please choose feedback from drop down only.">
      <formula1>"Yes,No,SASU,SASU/SASA,DCS/UMTS2100share,78210440,78211110,78210510,DTMA UMTS 12 ASIG,78211106,78210312,TMA 900 Tower amplifier,TMA900,MI-15832,MI-16331,MI-12731,MI-12031,N/A,Unknown,None"</formula1>
    </dataValidation>
    <dataValidation type="list" xr:uid="{0EC13063-854B-458D-85CD-F8E8F20555C6}" sqref="Q37" showErrorMessage="1" errorTitle="An invalid feedback was entered" error="Please choose feedback from drop down only.">
      <formula1>"Yes,No,SASU,SASU/SASA,DCS/UMTS2100share,78210440,78211110,78210510,DTMA UMTS 12 ASIG,78211106,78210312,TMA 900 Tower amplifier,TMA900,MI-15832,MI-16331,MI-12731,MI-12031,N/A,Unknown,None"</formula1>
    </dataValidation>
  </dataValidations>
  <pageMargins left="0.25" right="0.25" top="0.75" bottom="0.75" header="0.3" footer="0.3"/>
  <pageSetup paperSize="9" scale="56" fitToHeight="0" orientation="portrait"/>
  <headerFooter/>
  <extLst>
    <ext xmlns:x14="http://schemas.microsoft.com/office/spreadsheetml/2009/9/main" uri="{CCE6A557-97BC-4b89-ADB6-D9C93CAAB3DF}">
      <x14:dataValidations xmlns:xm="http://schemas.microsoft.com/office/excel/2006/main" count="60">
        <x14:dataValidation type="list" xr:uid="{DDF1E5A4-345A-4131-96BD-CDE373557002}" error="Please choose feedback from drop down only." errorTitle="An invalid feedback was entered" showErrorMessage="1">
          <x14:formula1>
            <xm:f>Antennas!A:A</xm:f>
          </x14:formula1>
          <xm:sqref>C8</xm:sqref>
        </x14:dataValidation>
        <x14:dataValidation type="list" xr:uid="{7CD888B7-587F-4080-961D-5E480DD2A465}" error="Please choose feedback from drop down only." errorTitle="An invalid feedback was entered" showErrorMessage="1">
          <x14:formula1>
            <xm:f>Antennas!A:A</xm:f>
          </x14:formula1>
          <xm:sqref>D8</xm:sqref>
        </x14:dataValidation>
        <x14:dataValidation type="list" xr:uid="{61CDB07D-1DDD-4091-8C2E-57A60389B500}" error="Please choose feedback from drop down only." errorTitle="An invalid feedback was entered" showErrorMessage="1">
          <x14:formula1>
            <xm:f>Antennas!A:A</xm:f>
          </x14:formula1>
          <xm:sqref>E8</xm:sqref>
        </x14:dataValidation>
        <x14:dataValidation type="list" xr:uid="{A458F370-3650-4743-BE1E-BBF178D9A131}" error="Please choose feedback from drop down only." errorTitle="An invalid feedback was entered" showErrorMessage="1">
          <x14:formula1>
            <xm:f>Antennas!A:A</xm:f>
          </x14:formula1>
          <xm:sqref>F8</xm:sqref>
        </x14:dataValidation>
        <x14:dataValidation type="list" xr:uid="{4B4BDD07-77AB-4998-BCC5-DB08E86365AC}" error="Please choose feedback from drop down only." errorTitle="An invalid feedback was entered" showErrorMessage="1">
          <x14:formula1>
            <xm:f>Antennas!A:A</xm:f>
          </x14:formula1>
          <xm:sqref>G8</xm:sqref>
        </x14:dataValidation>
        <x14:dataValidation type="list" xr:uid="{919259D9-81B1-4B4D-A416-6BD5034C782C}" error="Please choose feedback from drop down only." errorTitle="An invalid feedback was entered" showErrorMessage="1">
          <x14:formula1>
            <xm:f>Antennas!A:A</xm:f>
          </x14:formula1>
          <xm:sqref>H8</xm:sqref>
        </x14:dataValidation>
        <x14:dataValidation type="list" xr:uid="{FE766830-1268-4D19-B755-80DB7C169C9E}" error="Please choose feedback from drop down only." errorTitle="An invalid feedback was entered" showErrorMessage="1">
          <x14:formula1>
            <xm:f>Antennas!A:A</xm:f>
          </x14:formula1>
          <xm:sqref>I8</xm:sqref>
        </x14:dataValidation>
        <x14:dataValidation type="list" xr:uid="{B21E1EEE-0305-4FD0-BE5E-B4431C650108}" error="Please choose feedback from drop down only." errorTitle="An invalid feedback was entered" showErrorMessage="1">
          <x14:formula1>
            <xm:f>Antennas!A:A</xm:f>
          </x14:formula1>
          <xm:sqref>J8</xm:sqref>
        </x14:dataValidation>
        <x14:dataValidation type="list" xr:uid="{2948B9A6-63E5-4577-A179-A4D19ABBDB79}" error="Please choose feedback from drop down only." errorTitle="An invalid feedback was entered" showErrorMessage="1">
          <x14:formula1>
            <xm:f>Antennas!A:A</xm:f>
          </x14:formula1>
          <xm:sqref>K8</xm:sqref>
        </x14:dataValidation>
        <x14:dataValidation type="list" xr:uid="{7C9D0A2A-9162-4303-9210-C84BB52BF2E8}" error="Please choose feedback from drop down only." errorTitle="An invalid feedback was entered" showErrorMessage="1">
          <x14:formula1>
            <xm:f>Antennas!A:A</xm:f>
          </x14:formula1>
          <xm:sqref>L8</xm:sqref>
        </x14:dataValidation>
        <x14:dataValidation type="list" xr:uid="{F5DEF78B-9AFA-46C0-AF22-40A6AC7AE24C}" error="Please choose feedback from drop down only." errorTitle="An invalid feedback was entered" showErrorMessage="1">
          <x14:formula1>
            <xm:f>Antennas!A:A</xm:f>
          </x14:formula1>
          <xm:sqref>M8</xm:sqref>
        </x14:dataValidation>
        <x14:dataValidation type="list" xr:uid="{427AA0B3-22AE-48A3-B604-48521E2A549E}" error="Please choose feedback from drop down only." errorTitle="An invalid feedback was entered" showErrorMessage="1">
          <x14:formula1>
            <xm:f>Antennas!A:A</xm:f>
          </x14:formula1>
          <xm:sqref>N8</xm:sqref>
        </x14:dataValidation>
        <x14:dataValidation type="list" xr:uid="{2BFA8D55-AC98-4366-8AB0-2490A06A1C8B}" error="Please choose feedback from drop down only." errorTitle="An invalid feedback was entered" showErrorMessage="1">
          <x14:formula1>
            <xm:f>Antennas!A:A</xm:f>
          </x14:formula1>
          <xm:sqref>O8</xm:sqref>
        </x14:dataValidation>
        <x14:dataValidation type="list" xr:uid="{D7EC97A2-8F98-4F06-9C08-59DCFE9EFD30}" error="Please choose feedback from drop down only." errorTitle="An invalid feedback was entered" showErrorMessage="1">
          <x14:formula1>
            <xm:f>Antennas!A:A</xm:f>
          </x14:formula1>
          <xm:sqref>P8</xm:sqref>
        </x14:dataValidation>
        <x14:dataValidation type="list" xr:uid="{C5892235-3824-4234-805A-581BDB6F13F3}" error="Please choose feedback from drop down only." errorTitle="An invalid feedback was entered" showErrorMessage="1">
          <x14:formula1>
            <xm:f>Antennas!A:A</xm:f>
          </x14:formula1>
          <xm:sqref>Q8</xm:sqref>
        </x14:dataValidation>
        <x14:dataValidation type="list" xr:uid="{9FEEF103-7305-4630-B978-65E91E2CEE59}" error="Please choose feedback from drop down only." errorTitle="An invalid feedback was entered" showErrorMessage="1">
          <x14:formula1>
            <xm:f>Combiners!A:A</xm:f>
          </x14:formula1>
          <xm:sqref>C39</xm:sqref>
        </x14:dataValidation>
        <x14:dataValidation type="list" xr:uid="{C127CC26-EB6A-43D3-878B-404A6CB5EF99}" error="Please choose feedback from drop down only." errorTitle="An invalid feedback was entered" showErrorMessage="1">
          <x14:formula1>
            <xm:f>Combiners!A:A</xm:f>
          </x14:formula1>
          <xm:sqref>D39</xm:sqref>
        </x14:dataValidation>
        <x14:dataValidation type="list" xr:uid="{30C02950-9B31-44F6-B824-17AE8EA444F2}" error="Please choose feedback from drop down only." errorTitle="An invalid feedback was entered" showErrorMessage="1">
          <x14:formula1>
            <xm:f>Combiners!A:A</xm:f>
          </x14:formula1>
          <xm:sqref>E39</xm:sqref>
        </x14:dataValidation>
        <x14:dataValidation type="list" xr:uid="{86D30FB8-2727-4474-835E-E2F236CBB2CF}" error="Please choose feedback from drop down only." errorTitle="An invalid feedback was entered" showErrorMessage="1">
          <x14:formula1>
            <xm:f>Combiners!A:A</xm:f>
          </x14:formula1>
          <xm:sqref>F39</xm:sqref>
        </x14:dataValidation>
        <x14:dataValidation type="list" xr:uid="{B1F04AEE-D6A3-403E-AA45-E23C1BD18463}" error="Please choose feedback from drop down only." errorTitle="An invalid feedback was entered" showErrorMessage="1">
          <x14:formula1>
            <xm:f>Combiners!A:A</xm:f>
          </x14:formula1>
          <xm:sqref>G39</xm:sqref>
        </x14:dataValidation>
        <x14:dataValidation type="list" xr:uid="{2D4FA1B7-E544-4FFC-ACE6-96BC012B46E5}" error="Please choose feedback from drop down only." errorTitle="An invalid feedback was entered" showErrorMessage="1">
          <x14:formula1>
            <xm:f>Combiners!A:A</xm:f>
          </x14:formula1>
          <xm:sqref>H39</xm:sqref>
        </x14:dataValidation>
        <x14:dataValidation type="list" xr:uid="{D213934F-4C69-4756-A163-531079594D34}" error="Please choose feedback from drop down only." errorTitle="An invalid feedback was entered" showErrorMessage="1">
          <x14:formula1>
            <xm:f>Combiners!A:A</xm:f>
          </x14:formula1>
          <xm:sqref>I39</xm:sqref>
        </x14:dataValidation>
        <x14:dataValidation type="list" xr:uid="{4601CD64-2BA1-40A8-810D-366AB91E74EA}" error="Please choose feedback from drop down only." errorTitle="An invalid feedback was entered" showErrorMessage="1">
          <x14:formula1>
            <xm:f>Combiners!A:A</xm:f>
          </x14:formula1>
          <xm:sqref>J39</xm:sqref>
        </x14:dataValidation>
        <x14:dataValidation type="list" xr:uid="{4DE900C9-73BD-4F11-9928-C836693611E8}" error="Please choose feedback from drop down only." errorTitle="An invalid feedback was entered" showErrorMessage="1">
          <x14:formula1>
            <xm:f>Combiners!A:A</xm:f>
          </x14:formula1>
          <xm:sqref>K39</xm:sqref>
        </x14:dataValidation>
        <x14:dataValidation type="list" xr:uid="{A058EBCB-515F-4EB3-AE73-E5BE6764BCDA}" error="Please choose feedback from drop down only." errorTitle="An invalid feedback was entered" showErrorMessage="1">
          <x14:formula1>
            <xm:f>Combiners!A:A</xm:f>
          </x14:formula1>
          <xm:sqref>L39</xm:sqref>
        </x14:dataValidation>
        <x14:dataValidation type="list" xr:uid="{9F8816F3-399D-4C5D-A1A3-87D6A2AE2C92}" error="Please choose feedback from drop down only." errorTitle="An invalid feedback was entered" showErrorMessage="1">
          <x14:formula1>
            <xm:f>Combiners!A:A</xm:f>
          </x14:formula1>
          <xm:sqref>M39</xm:sqref>
        </x14:dataValidation>
        <x14:dataValidation type="list" xr:uid="{19BBBAFD-B104-44F1-9A39-68EE051F1BA3}" error="Please choose feedback from drop down only." errorTitle="An invalid feedback was entered" showErrorMessage="1">
          <x14:formula1>
            <xm:f>Combiners!A:A</xm:f>
          </x14:formula1>
          <xm:sqref>N39</xm:sqref>
        </x14:dataValidation>
        <x14:dataValidation type="list" xr:uid="{166DDE81-048B-4E05-8AED-573A92C63494}" error="Please choose feedback from drop down only." errorTitle="An invalid feedback was entered" showErrorMessage="1">
          <x14:formula1>
            <xm:f>Combiners!A:A</xm:f>
          </x14:formula1>
          <xm:sqref>O39</xm:sqref>
        </x14:dataValidation>
        <x14:dataValidation type="list" xr:uid="{E2AC4DE1-D308-4C44-836F-6854FCD7617A}" error="Please choose feedback from drop down only." errorTitle="An invalid feedback was entered" showErrorMessage="1">
          <x14:formula1>
            <xm:f>Combiners!A:A</xm:f>
          </x14:formula1>
          <xm:sqref>P39</xm:sqref>
        </x14:dataValidation>
        <x14:dataValidation type="list" xr:uid="{80430A4B-3E1A-498B-9422-E86A13CD3E04}" error="Please choose feedback from drop down only." errorTitle="An invalid feedback was entered" showErrorMessage="1">
          <x14:formula1>
            <xm:f>Combiners!A:A</xm:f>
          </x14:formula1>
          <xm:sqref>Q39</xm:sqref>
        </x14:dataValidation>
        <x14:dataValidation type="list" xr:uid="{5F604C33-B1B5-4641-9474-999125801F9F}" error="Please choose feedback from drop down only." errorTitle="An invalid feedback was entered" showErrorMessage="0">
          <x14:formula1>
            <xm:f>RRUs!A:A</xm:f>
          </x14:formula1>
          <xm:sqref>C35</xm:sqref>
        </x14:dataValidation>
        <x14:dataValidation type="list" xr:uid="{680D5E1C-263D-4FE2-A332-7732ABCCD711}" error="Please choose feedback from drop down only." errorTitle="An invalid feedback was entered" showErrorMessage="0">
          <x14:formula1>
            <xm:f>RRUs!A:A</xm:f>
          </x14:formula1>
          <xm:sqref>D35</xm:sqref>
        </x14:dataValidation>
        <x14:dataValidation type="list" xr:uid="{246C3D96-E0DD-4FFF-88D5-FDC472B0B2A1}" error="Please choose feedback from drop down only." errorTitle="An invalid feedback was entered" showErrorMessage="0">
          <x14:formula1>
            <xm:f>RRUs!A:A</xm:f>
          </x14:formula1>
          <xm:sqref>E35</xm:sqref>
        </x14:dataValidation>
        <x14:dataValidation type="list" xr:uid="{54485BE7-CC2C-4ABD-B064-F8CD51ADB021}" error="Please choose feedback from drop down only." errorTitle="An invalid feedback was entered" showErrorMessage="0">
          <x14:formula1>
            <xm:f>RRUs!A:A</xm:f>
          </x14:formula1>
          <xm:sqref>F35</xm:sqref>
        </x14:dataValidation>
        <x14:dataValidation type="list" xr:uid="{6B9B1991-33CE-496D-A1C5-8FA42D2C1162}" error="Please choose feedback from drop down only." errorTitle="An invalid feedback was entered" showErrorMessage="0">
          <x14:formula1>
            <xm:f>RRUs!A:A</xm:f>
          </x14:formula1>
          <xm:sqref>G35</xm:sqref>
        </x14:dataValidation>
        <x14:dataValidation type="list" xr:uid="{52A4B9BA-423A-4393-A225-31F6BAAA6E1B}" error="Please choose feedback from drop down only." errorTitle="An invalid feedback was entered" showErrorMessage="0">
          <x14:formula1>
            <xm:f>RRUs!A:A</xm:f>
          </x14:formula1>
          <xm:sqref>H35</xm:sqref>
        </x14:dataValidation>
        <x14:dataValidation type="list" xr:uid="{12732754-A54C-444B-980A-EF5648BE1312}" error="Please choose feedback from drop down only." errorTitle="An invalid feedback was entered" showErrorMessage="0">
          <x14:formula1>
            <xm:f>RRUs!A:A</xm:f>
          </x14:formula1>
          <xm:sqref>I35</xm:sqref>
        </x14:dataValidation>
        <x14:dataValidation type="list" xr:uid="{C5F76578-92C3-471E-B512-E422E73779BD}" error="Please choose feedback from drop down only." errorTitle="An invalid feedback was entered" showErrorMessage="0">
          <x14:formula1>
            <xm:f>RRUs!A:A</xm:f>
          </x14:formula1>
          <xm:sqref>J35</xm:sqref>
        </x14:dataValidation>
        <x14:dataValidation type="list" xr:uid="{17D25201-E066-413F-B0EA-9E7273BBCEFD}" error="Please choose feedback from drop down only." errorTitle="An invalid feedback was entered" showErrorMessage="0">
          <x14:formula1>
            <xm:f>RRUs!A:A</xm:f>
          </x14:formula1>
          <xm:sqref>K35</xm:sqref>
        </x14:dataValidation>
        <x14:dataValidation type="list" xr:uid="{115544A9-8EDE-4FD8-84CF-436AFD0FCAF0}" error="Please choose feedback from drop down only." errorTitle="An invalid feedback was entered" showErrorMessage="0">
          <x14:formula1>
            <xm:f>RRUs!A:A</xm:f>
          </x14:formula1>
          <xm:sqref>L35</xm:sqref>
        </x14:dataValidation>
        <x14:dataValidation type="list" xr:uid="{534992ED-681E-40DB-B1A6-D7CF0A04AEED}" error="Please choose feedback from drop down only." errorTitle="An invalid feedback was entered" showErrorMessage="0">
          <x14:formula1>
            <xm:f>RRUs!A:A</xm:f>
          </x14:formula1>
          <xm:sqref>M35</xm:sqref>
        </x14:dataValidation>
        <x14:dataValidation type="list" xr:uid="{E3B029CF-A999-48A5-8F94-1A92B974B77C}" error="Please choose feedback from drop down only." errorTitle="An invalid feedback was entered" showErrorMessage="0">
          <x14:formula1>
            <xm:f>RRUs!A:A</xm:f>
          </x14:formula1>
          <xm:sqref>N35</xm:sqref>
        </x14:dataValidation>
        <x14:dataValidation type="list" xr:uid="{75C83184-F956-43BB-B349-D1413F7657AC}" error="Please choose feedback from drop down only." errorTitle="An invalid feedback was entered" showErrorMessage="0">
          <x14:formula1>
            <xm:f>RRUs!A:A</xm:f>
          </x14:formula1>
          <xm:sqref>O35</xm:sqref>
        </x14:dataValidation>
        <x14:dataValidation type="list" xr:uid="{3641AFDD-DB9B-4435-8D39-D328681E508A}" error="Please choose feedback from drop down only." errorTitle="An invalid feedback was entered" showErrorMessage="0">
          <x14:formula1>
            <xm:f>RRUs!A:A</xm:f>
          </x14:formula1>
          <xm:sqref>P35</xm:sqref>
        </x14:dataValidation>
        <x14:dataValidation type="list" xr:uid="{EEC3FA88-9CA1-4247-9B3E-B6286DF9D218}" error="Please choose feedback from drop down only." errorTitle="An invalid feedback was entered" showErrorMessage="0">
          <x14:formula1>
            <xm:f>RRUs!A:A</xm:f>
          </x14:formula1>
          <xm:sqref>Q35</xm:sqref>
        </x14:dataValidation>
        <x14:dataValidation type="list" xr:uid="{5F7EA0C9-719A-45B8-B3F0-B29E90F90B64}" error="Please choose feedback from drop down only." errorTitle="An invalid feedback was entered" showErrorMessage="1">
          <x14:formula1>
            <xm:f>Combiners!A:A</xm:f>
          </x14:formula1>
          <xm:sqref>C41</xm:sqref>
        </x14:dataValidation>
        <x14:dataValidation type="list" xr:uid="{6B59E5C4-B546-48CC-B570-4C58BD8E9552}" error="Please choose feedback from drop down only." errorTitle="An invalid feedback was entered" showErrorMessage="1">
          <x14:formula1>
            <xm:f>Combiners!A:A</xm:f>
          </x14:formula1>
          <xm:sqref>D41</xm:sqref>
        </x14:dataValidation>
        <x14:dataValidation type="list" xr:uid="{78090544-E4B3-481B-A372-37D2F089B8E3}" error="Please choose feedback from drop down only." errorTitle="An invalid feedback was entered" showErrorMessage="1">
          <x14:formula1>
            <xm:f>Combiners!A:A</xm:f>
          </x14:formula1>
          <xm:sqref>E41</xm:sqref>
        </x14:dataValidation>
        <x14:dataValidation type="list" xr:uid="{EDDA1BC7-F819-4CC4-8C9E-C1C243E0F9B7}" error="Please choose feedback from drop down only." errorTitle="An invalid feedback was entered" showErrorMessage="1">
          <x14:formula1>
            <xm:f>Combiners!A:A</xm:f>
          </x14:formula1>
          <xm:sqref>F41</xm:sqref>
        </x14:dataValidation>
        <x14:dataValidation type="list" xr:uid="{04F56915-1F6C-4713-BE59-6BF66DE138DB}" error="Please choose feedback from drop down only." errorTitle="An invalid feedback was entered" showErrorMessage="1">
          <x14:formula1>
            <xm:f>Combiners!A:A</xm:f>
          </x14:formula1>
          <xm:sqref>G41</xm:sqref>
        </x14:dataValidation>
        <x14:dataValidation type="list" xr:uid="{5D5B0BB0-A94D-423E-9A3E-92BB8F44A3B3}" error="Please choose feedback from drop down only." errorTitle="An invalid feedback was entered" showErrorMessage="1">
          <x14:formula1>
            <xm:f>Combiners!A:A</xm:f>
          </x14:formula1>
          <xm:sqref>H41</xm:sqref>
        </x14:dataValidation>
        <x14:dataValidation type="list" xr:uid="{E4D0DCF9-E711-427A-A7B7-6F1E018C75F2}" error="Please choose feedback from drop down only." errorTitle="An invalid feedback was entered" showErrorMessage="1">
          <x14:formula1>
            <xm:f>Combiners!A:A</xm:f>
          </x14:formula1>
          <xm:sqref>I41</xm:sqref>
        </x14:dataValidation>
        <x14:dataValidation type="list" xr:uid="{8CEF22E9-4B5C-448E-89EE-0C5CBD41445F}" error="Please choose feedback from drop down only." errorTitle="An invalid feedback was entered" showErrorMessage="1">
          <x14:formula1>
            <xm:f>Combiners!A:A</xm:f>
          </x14:formula1>
          <xm:sqref>J41</xm:sqref>
        </x14:dataValidation>
        <x14:dataValidation type="list" xr:uid="{7D751ED9-5E00-44A3-AD57-5A0B50B57A66}" error="Please choose feedback from drop down only." errorTitle="An invalid feedback was entered" showErrorMessage="1">
          <x14:formula1>
            <xm:f>Combiners!A:A</xm:f>
          </x14:formula1>
          <xm:sqref>K41</xm:sqref>
        </x14:dataValidation>
        <x14:dataValidation type="list" xr:uid="{E0E096F7-7F76-4B5D-AB64-07B7786782F0}" error="Please choose feedback from drop down only." errorTitle="An invalid feedback was entered" showErrorMessage="1">
          <x14:formula1>
            <xm:f>Combiners!A:A</xm:f>
          </x14:formula1>
          <xm:sqref>L41</xm:sqref>
        </x14:dataValidation>
        <x14:dataValidation type="list" xr:uid="{A8171D06-2E64-420E-81D4-8348C9AE5F48}" error="Please choose feedback from drop down only." errorTitle="An invalid feedback was entered" showErrorMessage="1">
          <x14:formula1>
            <xm:f>Combiners!A:A</xm:f>
          </x14:formula1>
          <xm:sqref>M41</xm:sqref>
        </x14:dataValidation>
        <x14:dataValidation type="list" xr:uid="{6E303685-47EA-4392-A70B-1FB515F0FBA8}" error="Please choose feedback from drop down only." errorTitle="An invalid feedback was entered" showErrorMessage="1">
          <x14:formula1>
            <xm:f>Combiners!A:A</xm:f>
          </x14:formula1>
          <xm:sqref>N41</xm:sqref>
        </x14:dataValidation>
        <x14:dataValidation type="list" xr:uid="{197E5241-AEA9-47F1-8A8B-6A79BE6792EB}" error="Please choose feedback from drop down only." errorTitle="An invalid feedback was entered" showErrorMessage="1">
          <x14:formula1>
            <xm:f>Combiners!A:A</xm:f>
          </x14:formula1>
          <xm:sqref>O41</xm:sqref>
        </x14:dataValidation>
        <x14:dataValidation type="list" xr:uid="{58525C1F-47FC-408B-AD03-25574ED7D337}" error="Please choose feedback from drop down only." errorTitle="An invalid feedback was entered" showErrorMessage="1">
          <x14:formula1>
            <xm:f>Combiners!A:A</xm:f>
          </x14:formula1>
          <xm:sqref>P41</xm:sqref>
        </x14:dataValidation>
        <x14:dataValidation type="list" xr:uid="{171C50A9-9530-4796-89FB-801EE12AE9FC}" error="Please choose feedback from drop down only." errorTitle="An invalid feedback was entered" showErrorMessage="1">
          <x14:formula1>
            <xm:f>Combiners!A:A</xm:f>
          </x14:formula1>
          <xm:sqref>Q41</xm:sqref>
        </x14:dataValidation>
      </x14:dataValidations>
    </ext>
  </extLst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mc:Ignorable="x14ac xr">
  <sheetPr codeName="Sheet4">
    <pageSetUpPr fitToPage="1"/>
  </sheetPr>
  <dimension ref="A1:U45"/>
  <sheetViews>
    <sheetView zoomScale="90" zoomScaleNormal="90" workbookViewId="0">
      <selection sqref="A1:B1"/>
    </sheetView>
  </sheetViews>
  <sheetFormatPr defaultColWidth="9.1328125" defaultRowHeight="12.75"/>
  <cols>
    <col min="1" max="1" bestFit="1" width="10.265625" customWidth="1" style="6"/>
    <col min="2" max="2" bestFit="1" width="40.1328125" customWidth="1" style="7"/>
    <col min="3" max="7" width="9.1328125" customWidth="1" style="21"/>
    <col min="8" max="8" bestFit="1" width="9.3984375" customWidth="1" style="21"/>
    <col min="9" max="16384" width="9.1328125" customWidth="1" style="21"/>
  </cols>
  <sheetData>
    <row r="1" ht="25.15" customHeight="1">
      <c r="A1" s="197">
        <f>Common!B2</f>
        <v>0</v>
      </c>
      <c r="B1" s="198"/>
      <c r="C1" s="258" t="s">
        <v>0</v>
      </c>
      <c r="D1" s="258"/>
      <c r="E1" s="258"/>
      <c r="F1" s="258"/>
      <c r="G1" s="258"/>
      <c r="H1" s="258"/>
      <c r="I1" s="258"/>
      <c r="J1" s="258"/>
      <c r="K1" s="258"/>
      <c r="L1" s="258"/>
      <c r="M1" s="258"/>
      <c r="N1" s="258"/>
      <c r="O1" s="258"/>
      <c r="P1" s="259"/>
    </row>
    <row r="2" ht="18">
      <c r="A2" s="33"/>
      <c r="B2" s="14" t="s">
        <v>1</v>
      </c>
      <c r="C2" s="217">
        <v>1</v>
      </c>
      <c r="D2" s="251"/>
      <c r="E2" s="251"/>
      <c r="F2" s="251"/>
      <c r="G2" s="251"/>
      <c r="H2" s="219"/>
      <c r="I2" s="252">
        <v>2</v>
      </c>
      <c r="J2" s="253"/>
      <c r="K2" s="253"/>
      <c r="L2" s="254"/>
      <c r="M2" s="252">
        <v>3</v>
      </c>
      <c r="N2" s="253"/>
      <c r="O2" s="255"/>
      <c r="P2" s="72">
        <v>4</v>
      </c>
    </row>
    <row r="3" ht="17.25">
      <c r="A3" s="241"/>
      <c r="B3" s="12" t="s">
        <v>2</v>
      </c>
      <c r="C3" s="226"/>
      <c r="D3" s="227"/>
      <c r="E3" s="227"/>
      <c r="F3" s="227"/>
      <c r="G3" s="227"/>
      <c r="H3" s="227"/>
      <c r="I3" s="227"/>
      <c r="J3" s="227"/>
      <c r="K3" s="227"/>
      <c r="L3" s="227"/>
      <c r="M3" s="227"/>
      <c r="N3" s="227"/>
      <c r="O3" s="227"/>
      <c r="P3" s="228"/>
    </row>
    <row r="4" ht="25.15" s="22" customFormat="1">
      <c r="A4" s="241"/>
      <c r="B4" s="9" t="s">
        <v>3</v>
      </c>
      <c r="C4" s="242"/>
      <c r="D4" s="243"/>
      <c r="E4" s="243"/>
      <c r="F4" s="243"/>
      <c r="G4" s="243"/>
      <c r="H4" s="243"/>
      <c r="I4" s="243"/>
      <c r="J4" s="243"/>
      <c r="K4" s="243"/>
      <c r="L4" s="243"/>
      <c r="M4" s="243"/>
      <c r="N4" s="243"/>
      <c r="O4" s="243"/>
      <c r="P4" s="244"/>
    </row>
    <row r="5" ht="24.75">
      <c r="A5" s="241"/>
      <c r="B5" s="13" t="s">
        <v>4</v>
      </c>
      <c r="C5" s="245">
        <v>290</v>
      </c>
      <c r="D5" s="246"/>
      <c r="E5" s="246"/>
      <c r="F5" s="246"/>
      <c r="G5" s="246"/>
      <c r="H5" s="246"/>
      <c r="I5" s="246"/>
      <c r="J5" s="246"/>
      <c r="K5" s="246"/>
      <c r="L5" s="246"/>
      <c r="M5" s="246"/>
      <c r="N5" s="246"/>
      <c r="O5" s="246"/>
      <c r="P5" s="247"/>
    </row>
    <row r="6" ht="25.15" s="22" customFormat="1">
      <c r="A6" s="241"/>
      <c r="B6" s="32" t="s">
        <v>5</v>
      </c>
      <c r="C6" s="260"/>
      <c r="D6" s="261"/>
      <c r="E6" s="261"/>
      <c r="F6" s="261"/>
      <c r="G6" s="261"/>
      <c r="H6" s="261"/>
      <c r="I6" s="261"/>
      <c r="J6" s="261"/>
      <c r="K6" s="261"/>
      <c r="L6" s="261"/>
      <c r="M6" s="261"/>
      <c r="N6" s="261"/>
      <c r="O6" s="261"/>
      <c r="P6" s="262"/>
    </row>
    <row r="7" ht="17.25">
      <c r="A7" s="241"/>
      <c r="B7" s="8" t="s">
        <v>6</v>
      </c>
      <c r="C7" s="226" t="s">
        <v>7</v>
      </c>
      <c r="D7" s="227"/>
      <c r="E7" s="227"/>
      <c r="F7" s="227"/>
      <c r="G7" s="227"/>
      <c r="H7" s="228"/>
      <c r="I7" s="227"/>
      <c r="J7" s="227"/>
      <c r="K7" s="227"/>
      <c r="L7" s="228"/>
      <c r="M7" s="227"/>
      <c r="N7" s="227"/>
      <c r="O7" s="228"/>
      <c r="P7" s="73"/>
    </row>
    <row r="8" ht="17.65" s="22" customFormat="1">
      <c r="A8" s="241"/>
      <c r="B8" s="9" t="s">
        <v>8</v>
      </c>
      <c r="C8" s="229" t="s">
        <v>7</v>
      </c>
      <c r="D8" s="230"/>
      <c r="E8" s="230"/>
      <c r="F8" s="230"/>
      <c r="G8" s="230"/>
      <c r="H8" s="231"/>
      <c r="I8" s="229"/>
      <c r="J8" s="230"/>
      <c r="K8" s="230"/>
      <c r="L8" s="231"/>
      <c r="M8" s="229"/>
      <c r="N8" s="230"/>
      <c r="O8" s="231"/>
      <c r="P8" s="74"/>
    </row>
    <row r="9" ht="17.25">
      <c r="A9" s="241"/>
      <c r="B9" s="8" t="s">
        <v>9</v>
      </c>
      <c r="C9" s="211" t="s">
        <v>10</v>
      </c>
      <c r="D9" s="212"/>
      <c r="E9" s="212"/>
      <c r="F9" s="212"/>
      <c r="G9" s="212"/>
      <c r="H9" s="213"/>
      <c r="I9" s="212"/>
      <c r="J9" s="212"/>
      <c r="K9" s="212"/>
      <c r="L9" s="213"/>
      <c r="M9" s="212"/>
      <c r="N9" s="212"/>
      <c r="O9" s="213"/>
      <c r="P9" s="73"/>
    </row>
    <row r="10" ht="17.65" s="22" customFormat="1">
      <c r="A10" s="241"/>
      <c r="B10" s="10" t="s">
        <v>11</v>
      </c>
      <c r="C10" s="229"/>
      <c r="D10" s="230"/>
      <c r="E10" s="230"/>
      <c r="F10" s="230"/>
      <c r="G10" s="230"/>
      <c r="H10" s="231"/>
      <c r="I10" s="229"/>
      <c r="J10" s="230"/>
      <c r="K10" s="230"/>
      <c r="L10" s="231"/>
      <c r="M10" s="229"/>
      <c r="N10" s="230"/>
      <c r="O10" s="231"/>
      <c r="P10" s="74"/>
    </row>
    <row r="11" ht="17.25">
      <c r="A11" s="241"/>
      <c r="B11" s="8" t="s">
        <v>12</v>
      </c>
      <c r="C11" s="211">
        <v>24</v>
      </c>
      <c r="D11" s="212"/>
      <c r="E11" s="212"/>
      <c r="F11" s="212"/>
      <c r="G11" s="212"/>
      <c r="H11" s="213"/>
      <c r="I11" s="212"/>
      <c r="J11" s="212"/>
      <c r="K11" s="212"/>
      <c r="L11" s="213"/>
      <c r="M11" s="212"/>
      <c r="N11" s="212"/>
      <c r="O11" s="213"/>
      <c r="P11" s="73"/>
    </row>
    <row r="12" ht="17.65" s="22" customFormat="1">
      <c r="A12" s="241"/>
      <c r="B12" s="10" t="s">
        <v>13</v>
      </c>
      <c r="C12" s="214"/>
      <c r="D12" s="215"/>
      <c r="E12" s="215"/>
      <c r="F12" s="215"/>
      <c r="G12" s="215"/>
      <c r="H12" s="216"/>
      <c r="I12" s="214"/>
      <c r="J12" s="215"/>
      <c r="K12" s="215"/>
      <c r="L12" s="216"/>
      <c r="M12" s="214"/>
      <c r="N12" s="215"/>
      <c r="O12" s="216"/>
      <c r="P12" s="74"/>
    </row>
    <row r="13" ht="17.25">
      <c r="A13" s="241"/>
      <c r="B13" s="8" t="s">
        <v>14</v>
      </c>
      <c r="C13" s="211"/>
      <c r="D13" s="212"/>
      <c r="E13" s="212"/>
      <c r="F13" s="212"/>
      <c r="G13" s="212"/>
      <c r="H13" s="213"/>
      <c r="I13" s="212"/>
      <c r="J13" s="212"/>
      <c r="K13" s="212"/>
      <c r="L13" s="213"/>
      <c r="M13" s="212"/>
      <c r="N13" s="212"/>
      <c r="O13" s="213"/>
      <c r="P13" s="73"/>
    </row>
    <row r="14" ht="17.65" s="22" customFormat="1">
      <c r="A14" s="241"/>
      <c r="B14" s="10" t="s">
        <v>15</v>
      </c>
      <c r="C14" s="208"/>
      <c r="D14" s="209"/>
      <c r="E14" s="209"/>
      <c r="F14" s="209"/>
      <c r="G14" s="209"/>
      <c r="H14" s="210"/>
      <c r="I14" s="208"/>
      <c r="J14" s="209"/>
      <c r="K14" s="209"/>
      <c r="L14" s="210"/>
      <c r="M14" s="208"/>
      <c r="N14" s="209"/>
      <c r="O14" s="210"/>
      <c r="P14" s="81"/>
    </row>
    <row r="15" ht="17.25">
      <c r="A15" s="241"/>
      <c r="B15" s="8" t="s">
        <v>16</v>
      </c>
      <c r="C15" s="211">
        <v>0</v>
      </c>
      <c r="D15" s="212"/>
      <c r="E15" s="212"/>
      <c r="F15" s="212"/>
      <c r="G15" s="212"/>
      <c r="H15" s="213"/>
      <c r="I15" s="212"/>
      <c r="J15" s="212"/>
      <c r="K15" s="212"/>
      <c r="L15" s="213"/>
      <c r="M15" s="212"/>
      <c r="N15" s="212"/>
      <c r="O15" s="213"/>
      <c r="P15" s="80"/>
    </row>
    <row r="16" ht="17.25" s="22" customFormat="1">
      <c r="A16" s="241"/>
      <c r="B16" s="68" t="s">
        <v>17</v>
      </c>
      <c r="C16" s="199"/>
      <c r="D16" s="200"/>
      <c r="E16" s="200"/>
      <c r="F16" s="200"/>
      <c r="G16" s="200"/>
      <c r="H16" s="201"/>
      <c r="I16" s="202"/>
      <c r="J16" s="203"/>
      <c r="K16" s="203"/>
      <c r="L16" s="204"/>
      <c r="M16" s="202"/>
      <c r="N16" s="203"/>
      <c r="O16" s="204"/>
      <c r="P16" s="75"/>
    </row>
    <row r="17" ht="17.25">
      <c r="A17" s="256"/>
      <c r="B17" s="70" t="s">
        <v>18</v>
      </c>
      <c r="C17" s="65" t="s">
        <v>19</v>
      </c>
      <c r="D17" s="65" t="s">
        <v>20</v>
      </c>
      <c r="E17" s="65" t="s">
        <v>21</v>
      </c>
      <c r="F17" s="65" t="s">
        <v>22</v>
      </c>
      <c r="G17" s="65" t="s">
        <v>23</v>
      </c>
      <c r="H17" s="65" t="s">
        <v>24</v>
      </c>
      <c r="I17" s="65" t="s">
        <v>19</v>
      </c>
      <c r="J17" s="65" t="s">
        <v>20</v>
      </c>
      <c r="K17" s="65" t="s">
        <v>21</v>
      </c>
      <c r="L17" s="65" t="s">
        <v>22</v>
      </c>
      <c r="M17" s="65" t="s">
        <v>19</v>
      </c>
      <c r="N17" s="65" t="s">
        <v>20</v>
      </c>
      <c r="O17" s="65" t="s">
        <v>21</v>
      </c>
      <c r="P17" s="76" t="s">
        <v>19</v>
      </c>
    </row>
    <row r="18" ht="17.25">
      <c r="A18" s="256"/>
      <c r="B18" s="70" t="s">
        <v>25</v>
      </c>
      <c r="C18" s="63" t="s">
        <v>26</v>
      </c>
      <c r="D18" s="64" t="s">
        <v>27</v>
      </c>
      <c r="E18" s="64" t="s">
        <v>28</v>
      </c>
      <c r="F18" s="64" t="s">
        <v>29</v>
      </c>
      <c r="G18" s="64" t="s">
        <v>30</v>
      </c>
      <c r="H18" s="65" t="s">
        <v>31</v>
      </c>
      <c r="I18" s="63"/>
      <c r="J18" s="64"/>
      <c r="K18" s="64"/>
      <c r="L18" s="65"/>
      <c r="M18" s="63"/>
      <c r="N18" s="64"/>
      <c r="O18" s="65"/>
      <c r="P18" s="77"/>
    </row>
    <row r="19" ht="17.25">
      <c r="A19" s="256"/>
      <c r="B19" s="71" t="s">
        <v>32</v>
      </c>
      <c r="C19" s="99">
        <f>VLOOKUP(C8,AntennasPortName!A:H,2,FALSE)</f>
      </c>
      <c r="D19" s="99">
        <f>VLOOKUP(C8,AntennasPortName!A:H,3,FALSE)</f>
      </c>
      <c r="E19" s="99">
        <f>VLOOKUP(C8,AntennasPortName!A:H,4,FALSE)</f>
      </c>
      <c r="F19" s="99">
        <f>VLOOKUP(C8,AntennasPortName!A:H,5,FALSE)</f>
      </c>
      <c r="G19" s="99">
        <f>VLOOKUP(C8,AntennasPortName!A:H,6,FALSE)</f>
      </c>
      <c r="H19" s="99">
        <f>VLOOKUP(C8,AntennasPortName!A:H,7,FALSE)</f>
      </c>
      <c r="I19" s="99">
        <f>VLOOKUP(I8,AntennasPortName!A:H,2,FALSE)</f>
      </c>
      <c r="J19" s="99">
        <f>VLOOKUP(I8,AntennasPortName!A:H,3,FALSE)</f>
      </c>
      <c r="K19" s="99">
        <f>VLOOKUP(I8,AntennasPortName!A:H,4,FALSE)</f>
      </c>
      <c r="L19" s="99">
        <f>VLOOKUP(I8,AntennasPortName!A:H,5,FALSE)</f>
      </c>
      <c r="M19" s="99">
        <f>VLOOKUP(M8,AntennasPortName!A:H,2,FALSE)</f>
      </c>
      <c r="N19" s="99">
        <f>VLOOKUP(M8,AntennasPortName!A:H,3,FALSE)</f>
      </c>
      <c r="O19" s="99">
        <f>VLOOKUP(M8,AntennasPortName!A:H,4,FALSE)</f>
      </c>
      <c r="P19" s="99">
        <f>VLOOKUP(P8,AntennasPortName!A:H,2,FALSE)</f>
      </c>
    </row>
    <row r="20" ht="17.25">
      <c r="A20" s="241"/>
      <c r="B20" s="69" t="s">
        <v>33</v>
      </c>
      <c r="C20" s="61" t="s">
        <v>34</v>
      </c>
      <c r="D20" s="62" t="s">
        <v>34</v>
      </c>
      <c r="E20" s="62" t="s">
        <v>35</v>
      </c>
      <c r="F20" s="62" t="s">
        <v>35</v>
      </c>
      <c r="G20" s="62" t="s">
        <v>35</v>
      </c>
      <c r="H20" s="62" t="s">
        <v>35</v>
      </c>
      <c r="I20" s="61"/>
      <c r="J20" s="62"/>
      <c r="K20" s="62"/>
      <c r="L20" s="66"/>
      <c r="M20" s="67"/>
      <c r="N20" s="62"/>
      <c r="O20" s="66"/>
      <c r="P20" s="66"/>
    </row>
    <row r="21" ht="17.65">
      <c r="A21" s="241"/>
      <c r="B21" s="18" t="s">
        <v>36</v>
      </c>
      <c r="C21" s="42">
        <f>VLOOKUP(C8,Antennas!A:H,2,FALSE)</f>
      </c>
      <c r="D21" s="43">
        <f>VLOOKUP(C8,Antennas!A:H,3,FALSE)</f>
      </c>
      <c r="E21" s="43">
        <f>VLOOKUP(C8,Antennas!A:H,4,FALSE)</f>
      </c>
      <c r="F21" s="43">
        <f>VLOOKUP(C8,Antennas!A:H,5,FALSE)</f>
      </c>
      <c r="G21" s="43">
        <f>VLOOKUP(C8,Antennas!A:H,6,FALSE)</f>
      </c>
      <c r="H21" s="43">
        <f>VLOOKUP(C8,Antennas!A:H,7,FALSE)</f>
      </c>
      <c r="I21" s="43">
        <f>VLOOKUP(I8,Antennas!A:H,2,FALSE)</f>
      </c>
      <c r="J21" s="43">
        <f>VLOOKUP(I8,Antennas!A:H,3,FALSE)</f>
      </c>
      <c r="K21" s="43">
        <f>VLOOKUP(I8,Antennas!A:H,4,FALSE)</f>
      </c>
      <c r="L21" s="44">
        <f>VLOOKUP(I8,Antennas!A:H,5,FALSE)</f>
      </c>
      <c r="M21" s="45">
        <f>VLOOKUP(M8,Antennas!A:H,2,FALSE)</f>
      </c>
      <c r="N21" s="43">
        <f>VLOOKUP(M8,Antennas!A:H,3,FALSE)</f>
      </c>
      <c r="O21" s="42">
        <f>VLOOKUP(M8,Antennas!A:H,4,FALSE)</f>
      </c>
      <c r="P21" s="42">
        <f>VLOOKUP(P8,Antennas!A:H,2,FALSE)</f>
      </c>
      <c r="R21" s="17"/>
    </row>
    <row r="22" ht="17.65" s="22" customFormat="1">
      <c r="A22" s="241"/>
      <c r="B22" s="28" t="s">
        <v>37</v>
      </c>
      <c r="C22" s="46"/>
      <c r="D22" s="47"/>
      <c r="E22" s="47"/>
      <c r="F22" s="47"/>
      <c r="G22" s="47"/>
      <c r="H22" s="47"/>
      <c r="I22" s="47"/>
      <c r="J22" s="47"/>
      <c r="K22" s="47"/>
      <c r="L22" s="48"/>
      <c r="M22" s="49"/>
      <c r="N22" s="47"/>
      <c r="O22" s="50"/>
      <c r="P22" s="50"/>
    </row>
    <row r="23" ht="17.65" s="22" customFormat="1">
      <c r="A23" s="241"/>
      <c r="B23" s="28" t="s">
        <v>38</v>
      </c>
      <c r="C23" s="46"/>
      <c r="D23" s="46"/>
      <c r="E23" s="46"/>
      <c r="F23" s="46"/>
      <c r="G23" s="46"/>
      <c r="H23" s="46"/>
      <c r="I23" s="46"/>
      <c r="J23" s="46"/>
      <c r="K23" s="46"/>
      <c r="L23" s="46"/>
      <c r="M23" s="46"/>
      <c r="N23" s="46"/>
      <c r="O23" s="46"/>
      <c r="P23" s="46"/>
    </row>
    <row r="24" ht="17.25">
      <c r="A24" s="241"/>
      <c r="B24" s="11" t="s">
        <v>39</v>
      </c>
      <c r="C24" s="25" t="s">
        <v>40</v>
      </c>
      <c r="D24" s="25" t="s">
        <v>41</v>
      </c>
      <c r="E24" s="25" t="s">
        <v>41</v>
      </c>
      <c r="F24" s="25" t="s">
        <v>41</v>
      </c>
      <c r="G24" s="25" t="s">
        <v>42</v>
      </c>
      <c r="H24" s="25" t="s">
        <v>41</v>
      </c>
      <c r="I24" s="25"/>
      <c r="J24" s="25"/>
      <c r="K24" s="25"/>
      <c r="L24" s="25"/>
      <c r="M24" s="25"/>
      <c r="N24" s="25"/>
      <c r="O24" s="25"/>
      <c r="P24" s="25"/>
    </row>
    <row r="25" ht="17.65" s="22" customFormat="1">
      <c r="A25" s="241"/>
      <c r="B25" s="29" t="s">
        <v>43</v>
      </c>
      <c r="C25" s="51"/>
      <c r="D25" s="51"/>
      <c r="E25" s="51"/>
      <c r="F25" s="51"/>
      <c r="G25" s="51"/>
      <c r="H25" s="51"/>
      <c r="I25" s="51"/>
      <c r="J25" s="51"/>
      <c r="K25" s="51"/>
      <c r="L25" s="51"/>
      <c r="M25" s="51"/>
      <c r="N25" s="51"/>
      <c r="O25" s="51"/>
      <c r="P25" s="78"/>
    </row>
    <row r="26" ht="17.25">
      <c r="A26" s="241"/>
      <c r="B26" s="27" t="s">
        <v>44</v>
      </c>
      <c r="C26" s="24">
        <v>6</v>
      </c>
      <c r="D26" s="24">
        <v>0</v>
      </c>
      <c r="E26" s="24">
        <v>0</v>
      </c>
      <c r="F26" s="24">
        <v>0</v>
      </c>
      <c r="G26" s="24">
        <v>5</v>
      </c>
      <c r="H26" s="24">
        <v>0</v>
      </c>
      <c r="I26" s="24"/>
      <c r="J26" s="24"/>
      <c r="K26" s="24"/>
      <c r="L26" s="24"/>
      <c r="M26" s="24"/>
      <c r="N26" s="24"/>
      <c r="O26" s="24"/>
      <c r="P26" s="24"/>
    </row>
    <row r="27" ht="17.65" s="22" customFormat="1">
      <c r="A27" s="241"/>
      <c r="B27" s="30" t="s">
        <v>45</v>
      </c>
      <c r="C27" s="52"/>
      <c r="D27" s="52"/>
      <c r="E27" s="52"/>
      <c r="F27" s="52"/>
      <c r="G27" s="52"/>
      <c r="H27" s="52"/>
      <c r="I27" s="52"/>
      <c r="J27" s="52"/>
      <c r="K27" s="52"/>
      <c r="L27" s="52"/>
      <c r="M27" s="52"/>
      <c r="N27" s="52"/>
      <c r="O27" s="52"/>
      <c r="P27" s="52"/>
    </row>
    <row r="28" ht="17.25">
      <c r="A28" s="241"/>
      <c r="B28" s="11" t="s">
        <v>46</v>
      </c>
      <c r="C28" s="24"/>
      <c r="D28" s="24"/>
      <c r="E28" s="24"/>
      <c r="F28" s="24"/>
      <c r="G28" s="24"/>
      <c r="H28" s="24"/>
      <c r="I28" s="24"/>
      <c r="J28" s="24"/>
      <c r="K28" s="24"/>
      <c r="L28" s="24"/>
      <c r="M28" s="24"/>
      <c r="N28" s="24"/>
      <c r="O28" s="24"/>
      <c r="P28" s="24"/>
    </row>
    <row r="29" ht="17.65" s="22" customFormat="1">
      <c r="A29" s="241"/>
      <c r="B29" s="31" t="s">
        <v>47</v>
      </c>
      <c r="C29" s="51"/>
      <c r="D29" s="51"/>
      <c r="E29" s="51"/>
      <c r="F29" s="51"/>
      <c r="G29" s="51"/>
      <c r="H29" s="51"/>
      <c r="I29" s="51"/>
      <c r="J29" s="51"/>
      <c r="K29" s="51"/>
      <c r="L29" s="51"/>
      <c r="M29" s="51"/>
      <c r="N29" s="51"/>
      <c r="O29" s="51"/>
      <c r="P29" s="78"/>
    </row>
    <row r="30" ht="17.25">
      <c r="A30" s="241"/>
      <c r="B30" s="27" t="s">
        <v>48</v>
      </c>
      <c r="C30" s="24" t="s">
        <v>49</v>
      </c>
      <c r="D30" s="24"/>
      <c r="E30" s="24"/>
      <c r="F30" s="24"/>
      <c r="G30" s="24" t="s">
        <v>49</v>
      </c>
      <c r="H30" s="24"/>
      <c r="I30" s="24"/>
      <c r="J30" s="24"/>
      <c r="K30" s="24"/>
      <c r="L30" s="24"/>
      <c r="M30" s="24"/>
      <c r="N30" s="24"/>
      <c r="O30" s="24"/>
      <c r="P30" s="24"/>
    </row>
    <row r="31" ht="17.65" s="22" customFormat="1">
      <c r="A31" s="241"/>
      <c r="B31" s="30" t="s">
        <v>50</v>
      </c>
      <c r="C31" s="53"/>
      <c r="D31" s="53"/>
      <c r="E31" s="53"/>
      <c r="F31" s="53"/>
      <c r="G31" s="53"/>
      <c r="H31" s="53"/>
      <c r="I31" s="53"/>
      <c r="J31" s="53"/>
      <c r="K31" s="53"/>
      <c r="L31" s="53"/>
      <c r="M31" s="53"/>
      <c r="N31" s="53"/>
      <c r="O31" s="53"/>
      <c r="P31" s="79"/>
    </row>
    <row r="32" ht="17.25">
      <c r="A32" s="241"/>
      <c r="B32" s="11" t="s">
        <v>51</v>
      </c>
      <c r="C32" s="25">
        <v>15</v>
      </c>
      <c r="D32" s="25">
        <v>0</v>
      </c>
      <c r="E32" s="25">
        <v>0</v>
      </c>
      <c r="F32" s="25">
        <v>0</v>
      </c>
      <c r="G32" s="25">
        <v>22</v>
      </c>
      <c r="H32" s="25">
        <v>0</v>
      </c>
      <c r="I32" s="25"/>
      <c r="J32" s="25"/>
      <c r="K32" s="25"/>
      <c r="L32" s="25"/>
      <c r="M32" s="25"/>
      <c r="N32" s="25"/>
      <c r="O32" s="25"/>
      <c r="P32" s="25"/>
    </row>
    <row r="33" ht="17.65" s="22" customFormat="1">
      <c r="A33" s="241"/>
      <c r="B33" s="30" t="s">
        <v>52</v>
      </c>
      <c r="C33" s="51"/>
      <c r="D33" s="51"/>
      <c r="E33" s="51"/>
      <c r="F33" s="51"/>
      <c r="G33" s="51"/>
      <c r="H33" s="51"/>
      <c r="I33" s="51"/>
      <c r="J33" s="51"/>
      <c r="K33" s="51"/>
      <c r="L33" s="51"/>
      <c r="M33" s="51"/>
      <c r="N33" s="51"/>
      <c r="O33" s="51"/>
      <c r="P33" s="78"/>
    </row>
    <row r="34" ht="17.25">
      <c r="A34" s="241"/>
      <c r="B34" s="27" t="s">
        <v>53</v>
      </c>
      <c r="C34" s="24" t="s">
        <v>54</v>
      </c>
      <c r="D34" s="24"/>
      <c r="E34" s="24"/>
      <c r="F34" s="24"/>
      <c r="G34" s="24" t="s">
        <v>55</v>
      </c>
      <c r="H34" s="24"/>
      <c r="I34" s="24"/>
      <c r="J34" s="24"/>
      <c r="K34" s="24"/>
      <c r="L34" s="24"/>
      <c r="M34" s="24"/>
      <c r="N34" s="24"/>
      <c r="O34" s="24"/>
      <c r="P34" s="24"/>
      <c r="U34" s="22"/>
    </row>
    <row r="35" ht="17.65" s="22" customFormat="1">
      <c r="A35" s="241"/>
      <c r="B35" s="28" t="s">
        <v>56</v>
      </c>
      <c r="C35" s="51"/>
      <c r="D35" s="51"/>
      <c r="E35" s="51"/>
      <c r="F35" s="51"/>
      <c r="G35" s="51"/>
      <c r="H35" s="51"/>
      <c r="I35" s="51"/>
      <c r="J35" s="51"/>
      <c r="K35" s="51"/>
      <c r="L35" s="51"/>
      <c r="M35" s="51"/>
      <c r="N35" s="51"/>
      <c r="O35" s="51"/>
      <c r="P35" s="78"/>
      <c r="U35" s="21"/>
    </row>
    <row r="36" ht="17.25">
      <c r="A36" s="241"/>
      <c r="B36" s="11" t="s">
        <v>57</v>
      </c>
      <c r="C36" s="25" t="s">
        <v>58</v>
      </c>
      <c r="D36" s="25"/>
      <c r="E36" s="25"/>
      <c r="F36" s="25"/>
      <c r="G36" s="25" t="s">
        <v>59</v>
      </c>
      <c r="H36" s="25"/>
      <c r="I36" s="25"/>
      <c r="J36" s="25"/>
      <c r="K36" s="25"/>
      <c r="L36" s="25"/>
      <c r="M36" s="25"/>
      <c r="N36" s="25"/>
      <c r="O36" s="25"/>
      <c r="P36" s="25"/>
    </row>
    <row r="37" ht="17.65" s="22" customFormat="1">
      <c r="A37" s="241"/>
      <c r="B37" s="28" t="s">
        <v>60</v>
      </c>
      <c r="C37" s="51"/>
      <c r="D37" s="51"/>
      <c r="E37" s="51"/>
      <c r="F37" s="51"/>
      <c r="G37" s="51"/>
      <c r="H37" s="51"/>
      <c r="I37" s="51"/>
      <c r="J37" s="51"/>
      <c r="K37" s="51"/>
      <c r="L37" s="51"/>
      <c r="M37" s="51"/>
      <c r="N37" s="51"/>
      <c r="O37" s="51"/>
      <c r="P37" s="78"/>
    </row>
    <row r="38" ht="17.25">
      <c r="A38" s="241"/>
      <c r="B38" s="11" t="s">
        <v>61</v>
      </c>
      <c r="C38" s="25" t="s">
        <v>62</v>
      </c>
      <c r="D38" s="25"/>
      <c r="E38" s="25"/>
      <c r="F38" s="25"/>
      <c r="G38" s="25" t="s">
        <v>63</v>
      </c>
      <c r="H38" s="25"/>
      <c r="I38" s="25"/>
      <c r="J38" s="25"/>
      <c r="K38" s="25"/>
      <c r="L38" s="25"/>
      <c r="M38" s="25"/>
      <c r="N38" s="25"/>
      <c r="O38" s="25"/>
      <c r="P38" s="25"/>
    </row>
    <row r="39" ht="17.65" s="22" customFormat="1">
      <c r="A39" s="241"/>
      <c r="B39" s="28" t="s">
        <v>64</v>
      </c>
      <c r="C39" s="51"/>
      <c r="D39" s="51"/>
      <c r="E39" s="51"/>
      <c r="F39" s="51"/>
      <c r="G39" s="51"/>
      <c r="H39" s="51"/>
      <c r="I39" s="51"/>
      <c r="J39" s="51"/>
      <c r="K39" s="51"/>
      <c r="L39" s="51"/>
      <c r="M39" s="51"/>
      <c r="N39" s="51"/>
      <c r="O39" s="51"/>
      <c r="P39" s="78"/>
    </row>
    <row r="40" ht="17.25">
      <c r="A40" s="241"/>
      <c r="B40" s="11" t="s">
        <v>65</v>
      </c>
      <c r="C40" s="26" t="s">
        <v>62</v>
      </c>
      <c r="D40" s="26"/>
      <c r="E40" s="26"/>
      <c r="F40" s="26"/>
      <c r="G40" s="26" t="s">
        <v>62</v>
      </c>
      <c r="H40" s="26"/>
      <c r="I40" s="26"/>
      <c r="J40" s="26"/>
      <c r="K40" s="26"/>
      <c r="L40" s="26"/>
      <c r="M40" s="26"/>
      <c r="N40" s="26"/>
      <c r="O40" s="26"/>
      <c r="P40" s="26"/>
    </row>
    <row r="41" ht="17.65" s="22" customFormat="1">
      <c r="A41" s="241"/>
      <c r="B41" s="29" t="s">
        <v>66</v>
      </c>
      <c r="C41" s="51"/>
      <c r="D41" s="51"/>
      <c r="E41" s="51"/>
      <c r="F41" s="51"/>
      <c r="G41" s="51"/>
      <c r="H41" s="51"/>
      <c r="I41" s="51"/>
      <c r="J41" s="51"/>
      <c r="K41" s="51"/>
      <c r="L41" s="51"/>
      <c r="M41" s="51"/>
      <c r="N41" s="51"/>
      <c r="O41" s="51"/>
      <c r="P41" s="78"/>
    </row>
    <row r="42" ht="12.75" customHeight="1">
      <c r="A42" s="223" t="s">
        <v>67</v>
      </c>
      <c r="B42" s="280"/>
      <c r="C42" s="233"/>
      <c r="D42" s="233"/>
      <c r="E42" s="233"/>
      <c r="F42" s="233"/>
      <c r="G42" s="233"/>
      <c r="H42" s="233"/>
      <c r="I42" s="233"/>
      <c r="J42" s="233"/>
      <c r="K42" s="233"/>
      <c r="L42" s="233"/>
      <c r="M42" s="233"/>
      <c r="N42" s="233"/>
      <c r="O42" s="233"/>
      <c r="P42" s="234"/>
      <c r="Q42" s="22"/>
      <c r="R42" s="22"/>
      <c r="S42" s="22"/>
    </row>
    <row r="43" ht="13.15" customHeight="1">
      <c r="A43" s="224"/>
      <c r="B43" s="235"/>
      <c r="C43" s="236"/>
      <c r="D43" s="236"/>
      <c r="E43" s="236"/>
      <c r="F43" s="236"/>
      <c r="G43" s="236"/>
      <c r="H43" s="236"/>
      <c r="I43" s="236"/>
      <c r="J43" s="236"/>
      <c r="K43" s="236"/>
      <c r="L43" s="236"/>
      <c r="M43" s="236"/>
      <c r="N43" s="236"/>
      <c r="O43" s="236"/>
      <c r="P43" s="237"/>
      <c r="Q43" s="22"/>
      <c r="R43" s="22"/>
      <c r="S43" s="22"/>
    </row>
    <row r="44" ht="13.15" customHeight="1">
      <c r="A44" s="224"/>
      <c r="B44" s="235"/>
      <c r="C44" s="236"/>
      <c r="D44" s="236"/>
      <c r="E44" s="236"/>
      <c r="F44" s="236"/>
      <c r="G44" s="236"/>
      <c r="H44" s="236"/>
      <c r="I44" s="236"/>
      <c r="J44" s="236"/>
      <c r="K44" s="236"/>
      <c r="L44" s="236"/>
      <c r="M44" s="236"/>
      <c r="N44" s="236"/>
      <c r="O44" s="236"/>
      <c r="P44" s="237"/>
      <c r="Q44" s="22"/>
      <c r="R44" s="22"/>
      <c r="S44" s="22"/>
    </row>
    <row r="45" ht="13.9" customHeight="1">
      <c r="A45" s="225"/>
      <c r="B45" s="238"/>
      <c r="C45" s="239"/>
      <c r="D45" s="239"/>
      <c r="E45" s="239"/>
      <c r="F45" s="239"/>
      <c r="G45" s="239"/>
      <c r="H45" s="239"/>
      <c r="I45" s="239"/>
      <c r="J45" s="239"/>
      <c r="K45" s="239"/>
      <c r="L45" s="239"/>
      <c r="M45" s="239"/>
      <c r="N45" s="239"/>
      <c r="O45" s="239"/>
      <c r="P45" s="240"/>
      <c r="Q45" s="22"/>
      <c r="R45" s="22"/>
      <c r="S45" s="22"/>
    </row>
  </sheetData>
  <mergeCells>
    <mergeCell ref="C1:P1"/>
    <mergeCell ref="C16:H16"/>
    <mergeCell ref="I16:L16"/>
    <mergeCell ref="M16:O16"/>
    <mergeCell ref="B42:P45"/>
    <mergeCell ref="C12:H12"/>
    <mergeCell ref="I12:L12"/>
    <mergeCell ref="M12:O12"/>
    <mergeCell ref="C13:H13"/>
    <mergeCell ref="I13:L13"/>
    <mergeCell ref="M13:O13"/>
    <mergeCell ref="C14:H14"/>
    <mergeCell ref="I14:L14"/>
    <mergeCell ref="M14:O14"/>
    <mergeCell ref="C15:H15"/>
    <mergeCell ref="I15:L15"/>
    <mergeCell ref="M15:O15"/>
    <mergeCell ref="C10:H10"/>
    <mergeCell ref="I10:L10"/>
    <mergeCell ref="M10:O10"/>
    <mergeCell ref="C11:H11"/>
    <mergeCell ref="I11:L11"/>
    <mergeCell ref="M11:O11"/>
    <mergeCell ref="C8:H8"/>
    <mergeCell ref="I8:L8"/>
    <mergeCell ref="M8:O8"/>
    <mergeCell ref="C9:H9"/>
    <mergeCell ref="I9:L9"/>
    <mergeCell ref="M9:O9"/>
    <mergeCell ref="A1:B1"/>
    <mergeCell ref="A42:A45"/>
    <mergeCell ref="A36:A41"/>
    <mergeCell ref="A34:A35"/>
    <mergeCell ref="A3:A33"/>
    <mergeCell ref="C7:H7"/>
    <mergeCell ref="C2:H2"/>
    <mergeCell ref="I2:L2"/>
    <mergeCell ref="M2:O2"/>
    <mergeCell ref="I7:L7"/>
    <mergeCell ref="M7:O7"/>
    <mergeCell ref="C3:P3"/>
    <mergeCell ref="C4:P4"/>
    <mergeCell ref="C5:P5"/>
    <mergeCell ref="C6:P6"/>
  </mergeCells>
  <conditionalFormatting sqref="C22:E22 C4 H22:O22">
    <cfRule type="cellIs" dxfId="0" priority="43" operator="greaterThan">
      <formula>0</formula>
    </cfRule>
  </conditionalFormatting>
  <conditionalFormatting sqref="C21:E21 H21:O21">
    <cfRule type="expression" dxfId="1" priority="42">
      <formula>ISERROR(C21)</formula>
    </cfRule>
  </conditionalFormatting>
  <conditionalFormatting sqref="C21:E21 H21:O21">
    <cfRule type="cellIs" dxfId="1" priority="41" operator="equal">
      <formula>0</formula>
    </cfRule>
  </conditionalFormatting>
  <conditionalFormatting sqref="C21:E21 H21:O21">
    <cfRule type="cellIs" dxfId="3" priority="40" operator="greaterThan">
      <formula>0</formula>
    </cfRule>
  </conditionalFormatting>
  <conditionalFormatting sqref="C27:O27 D29:O29 D33:O33">
    <cfRule type="cellIs" dxfId="0" priority="39" operator="notEqual">
      <formula>VALUE(C26)</formula>
    </cfRule>
  </conditionalFormatting>
  <conditionalFormatting sqref="C8:O8 C10:O10 C12:O12 C14:O14 C16:O16 C27:O27 D29:O29 D31:O31 D33:O33 D35:O35 D37:O37 D25:O25 D39:O39 D41:O41">
    <cfRule type="expression" dxfId="10" priority="35">
      <formula>ISBLANK(C8)</formula>
    </cfRule>
  </conditionalFormatting>
  <conditionalFormatting sqref="C29">
    <cfRule type="cellIs" dxfId="0" priority="37" operator="notEqual">
      <formula>VALUE(C28)</formula>
    </cfRule>
  </conditionalFormatting>
  <conditionalFormatting sqref="C29">
    <cfRule type="expression" dxfId="10" priority="36">
      <formula>ISBLANK(C29)</formula>
    </cfRule>
  </conditionalFormatting>
  <conditionalFormatting sqref="C8:O8 C10:O10 C12:O12 C14:O14 C16:O16 C31:O31 D35:O35 D37:O37 D25:O25 D39:O39 D41:O41">
    <cfRule type="cellIs" dxfId="0" priority="38" operator="notEqual">
      <formula>C7</formula>
    </cfRule>
  </conditionalFormatting>
  <conditionalFormatting sqref="C31">
    <cfRule type="expression" dxfId="10" priority="34">
      <formula>ISBLANK(C31)</formula>
    </cfRule>
  </conditionalFormatting>
  <conditionalFormatting sqref="C33">
    <cfRule type="cellIs" dxfId="0" priority="33" operator="notEqual">
      <formula>VALUE(C32)</formula>
    </cfRule>
  </conditionalFormatting>
  <conditionalFormatting sqref="C33">
    <cfRule type="expression" dxfId="10" priority="32">
      <formula>ISBLANK(C33)</formula>
    </cfRule>
  </conditionalFormatting>
  <conditionalFormatting sqref="C35">
    <cfRule type="cellIs" dxfId="0" priority="31" operator="notEqual">
      <formula>C34</formula>
    </cfRule>
  </conditionalFormatting>
  <conditionalFormatting sqref="C35">
    <cfRule type="expression" dxfId="10" priority="30">
      <formula>ISBLANK(C35)</formula>
    </cfRule>
  </conditionalFormatting>
  <conditionalFormatting sqref="C37">
    <cfRule type="cellIs" dxfId="0" priority="29" operator="notEqual">
      <formula>C36</formula>
    </cfRule>
  </conditionalFormatting>
  <conditionalFormatting sqref="C37">
    <cfRule type="expression" dxfId="10" priority="28">
      <formula>ISBLANK(C37)</formula>
    </cfRule>
  </conditionalFormatting>
  <conditionalFormatting sqref="C6">
    <cfRule type="expression" dxfId="10" priority="26">
      <formula>ISBLANK(C6)</formula>
    </cfRule>
    <cfRule type="cellIs" dxfId="0" priority="27" operator="notEqual">
      <formula>C5</formula>
    </cfRule>
  </conditionalFormatting>
  <conditionalFormatting sqref="C25">
    <cfRule type="cellIs" dxfId="0" priority="25" operator="notEqual">
      <formula>C24</formula>
    </cfRule>
  </conditionalFormatting>
  <conditionalFormatting sqref="C25">
    <cfRule type="expression" dxfId="10" priority="24">
      <formula>ISBLANK(C25)</formula>
    </cfRule>
  </conditionalFormatting>
  <conditionalFormatting sqref="C39">
    <cfRule type="cellIs" dxfId="0" priority="23" operator="notEqual">
      <formula>C38</formula>
    </cfRule>
  </conditionalFormatting>
  <conditionalFormatting sqref="C39">
    <cfRule type="expression" dxfId="10" priority="22">
      <formula>ISBLANK(C39)</formula>
    </cfRule>
  </conditionalFormatting>
  <conditionalFormatting sqref="C41">
    <cfRule type="cellIs" dxfId="0" priority="21" operator="notEqual">
      <formula>C40</formula>
    </cfRule>
  </conditionalFormatting>
  <conditionalFormatting sqref="C41">
    <cfRule type="expression" dxfId="10" priority="20">
      <formula>ISBLANK(C41)</formula>
    </cfRule>
  </conditionalFormatting>
  <conditionalFormatting sqref="C24:O41">
    <cfRule type="expression" dxfId="1" priority="19" stopIfTrue="1">
      <formula>OR(C$22="Free",C$22="Telenor",C$22="Mtel",C$22="Telenor&amp;Mtel")</formula>
    </cfRule>
  </conditionalFormatting>
  <conditionalFormatting sqref="F22:G22">
    <cfRule type="cellIs" dxfId="0" priority="18" operator="greaterThan">
      <formula>0</formula>
    </cfRule>
  </conditionalFormatting>
  <conditionalFormatting sqref="F21:G21">
    <cfRule type="expression" dxfId="1" priority="17">
      <formula>ISERROR(F21)</formula>
    </cfRule>
  </conditionalFormatting>
  <conditionalFormatting sqref="F21:G21">
    <cfRule type="cellIs" dxfId="1" priority="16" operator="equal">
      <formula>0</formula>
    </cfRule>
  </conditionalFormatting>
  <conditionalFormatting sqref="F21:G21">
    <cfRule type="cellIs" dxfId="3" priority="15" operator="greaterThan">
      <formula>0</formula>
    </cfRule>
  </conditionalFormatting>
  <conditionalFormatting sqref="P22">
    <cfRule type="cellIs" dxfId="0" priority="14" operator="greaterThan">
      <formula>0</formula>
    </cfRule>
  </conditionalFormatting>
  <conditionalFormatting sqref="P21">
    <cfRule type="expression" dxfId="1" priority="13">
      <formula>ISERROR(P21)</formula>
    </cfRule>
  </conditionalFormatting>
  <conditionalFormatting sqref="P21">
    <cfRule type="cellIs" dxfId="1" priority="12" operator="equal">
      <formula>0</formula>
    </cfRule>
  </conditionalFormatting>
  <conditionalFormatting sqref="P21">
    <cfRule type="cellIs" dxfId="3" priority="11" operator="greaterThan">
      <formula>0</formula>
    </cfRule>
  </conditionalFormatting>
  <conditionalFormatting sqref="P27 P29 P33">
    <cfRule type="cellIs" dxfId="0" priority="10" operator="notEqual">
      <formula>VALUE(P26)</formula>
    </cfRule>
  </conditionalFormatting>
  <conditionalFormatting sqref="P8 P10 P12 P14 P16 P27 P29 P31 P33 P35 P37 P25 P39 P41">
    <cfRule type="expression" dxfId="10" priority="8">
      <formula>ISBLANK(P8)</formula>
    </cfRule>
  </conditionalFormatting>
  <conditionalFormatting sqref="P8 P10 P12 P14 P16 P31 P35 P37 P25 P39 P41">
    <cfRule type="cellIs" dxfId="0" priority="9" operator="notEqual">
      <formula>P7</formula>
    </cfRule>
  </conditionalFormatting>
  <conditionalFormatting sqref="P24:P41">
    <cfRule type="expression" dxfId="1" priority="7" stopIfTrue="1">
      <formula>OR(P$22="Free",P$22="Telenor",P$22="Mtel",P$22="Telenor&amp;Mtel")</formula>
    </cfRule>
  </conditionalFormatting>
  <conditionalFormatting sqref="C19">
    <cfRule type="cellIs" dxfId="1" priority="4" operator="equal">
      <formula>0</formula>
    </cfRule>
    <cfRule type="expression" dxfId="1" priority="6">
      <formula>ISERROR(C19)</formula>
    </cfRule>
  </conditionalFormatting>
  <conditionalFormatting sqref="D19:P19">
    <cfRule type="cellIs" dxfId="1" priority="2" operator="equal">
      <formula>0</formula>
    </cfRule>
    <cfRule type="expression" dxfId="1" priority="3">
      <formula>ISERROR(D19)</formula>
    </cfRule>
  </conditionalFormatting>
  <conditionalFormatting sqref="C23:P23">
    <cfRule type="cellIs" dxfId="0" priority="1" operator="greaterThan">
      <formula>0</formula>
    </cfRule>
  </conditionalFormatting>
  <dataValidations count="165">
    <dataValidation type="list" xr:uid="{9C39BCBE-6AD9-4AB0-9D59-852477C9C2B1}" sqref="C2" showErrorMessage="1" errorTitle="An invalid feedback was entered" error="Please choose feedback from drop down only.">
      <formula1>"1,2,3"</formula1>
    </dataValidation>
    <dataValidation type="list" xr:uid="{96707F89-9B06-421B-961C-5D11D5375C31}" sqref="D2" showErrorMessage="1" errorTitle="An invalid feedback was entered" error="Please choose feedback from drop down only.">
      <formula1>"1,2,3"</formula1>
    </dataValidation>
    <dataValidation type="list" xr:uid="{8E039549-5221-4654-919A-349BE5632E67}" sqref="E2" showErrorMessage="1" errorTitle="An invalid feedback was entered" error="Please choose feedback from drop down only.">
      <formula1>"1,2,3"</formula1>
    </dataValidation>
    <dataValidation type="list" xr:uid="{F6C267FA-EE08-49F5-94BC-3DB500E159E1}" sqref="F2" showErrorMessage="1" errorTitle="An invalid feedback was entered" error="Please choose feedback from drop down only.">
      <formula1>"1,2,3"</formula1>
    </dataValidation>
    <dataValidation type="list" xr:uid="{ADAFF787-6B81-404B-971A-2AE11668B3C3}" sqref="G2" showErrorMessage="1" errorTitle="An invalid feedback was entered" error="Please choose feedback from drop down only.">
      <formula1>"1,2,3"</formula1>
    </dataValidation>
    <dataValidation type="list" xr:uid="{66524E3D-1428-45F9-86EA-3055EB415662}" sqref="H2" showErrorMessage="1" errorTitle="An invalid feedback was entered" error="Please choose feedback from drop down only.">
      <formula1>"1,2,3"</formula1>
    </dataValidation>
    <dataValidation type="list" xr:uid="{47F3D780-1F3D-4523-A43B-46E0A5F525F1}" sqref="I2" showErrorMessage="1" errorTitle="An invalid feedback was entered" error="Please choose feedback from drop down only.">
      <formula1>"1,2,3"</formula1>
    </dataValidation>
    <dataValidation type="list" xr:uid="{9B9331DD-1A96-4FF0-A6F5-44F2A3F8D539}" sqref="J2" showErrorMessage="1" errorTitle="An invalid feedback was entered" error="Please choose feedback from drop down only.">
      <formula1>"1,2,3"</formula1>
    </dataValidation>
    <dataValidation type="list" xr:uid="{C73101C5-4D08-4CA5-BEBD-A56633BD497E}" sqref="K2" showErrorMessage="1" errorTitle="An invalid feedback was entered" error="Please choose feedback from drop down only.">
      <formula1>"1,2,3"</formula1>
    </dataValidation>
    <dataValidation type="list" xr:uid="{200CD4DC-9E38-4A9B-850A-F8E8AD92805F}" sqref="L2" showErrorMessage="1" errorTitle="An invalid feedback was entered" error="Please choose feedback from drop down only.">
      <formula1>"1,2,3"</formula1>
    </dataValidation>
    <dataValidation type="list" xr:uid="{8B13CEF8-B586-4E72-B6C4-FB5D339EE209}" sqref="M2" showErrorMessage="1" errorTitle="An invalid feedback was entered" error="Please choose feedback from drop down only.">
      <formula1>"1,2,3"</formula1>
    </dataValidation>
    <dataValidation type="list" xr:uid="{7594A193-FC34-4B5C-B24D-28FD9BE93049}" sqref="N2" showErrorMessage="1" errorTitle="An invalid feedback was entered" error="Please choose feedback from drop down only.">
      <formula1>"1,2,3"</formula1>
    </dataValidation>
    <dataValidation type="list" xr:uid="{EEDCDD0D-5F70-43DF-82F3-1251162BD467}" sqref="O2" showErrorMessage="1" errorTitle="An invalid feedback was entered" error="Please choose feedback from drop down only.">
      <formula1>"1,2,3"</formula1>
    </dataValidation>
    <dataValidation type="list" xr:uid="{96CD64BF-31EB-44DD-A1D4-A8FC6F4845CD}" sqref="P2" showErrorMessage="1" errorTitle="An invalid feedback was entered" error="Please choose feedback from drop down only.">
      <formula1>"1,2,3"</formula1>
    </dataValidation>
    <dataValidation type="list" xr:uid="{F5A5E02E-A7B3-42B1-9D9D-4D604C635EC6}" sqref="Q2" showErrorMessage="1" errorTitle="An invalid feedback was entered" error="Please choose feedback from drop down only.">
      <formula1>"1,2,3"</formula1>
    </dataValidation>
    <dataValidation type="list" xr:uid="{341D3633-11EA-4889-AC56-987780963FC5}" sqref="C17" showErrorMessage="1" errorTitle="An invalid feedback was entered" error="Please choose feedback from drop down only.">
      <formula1>"1-2,3-4,5-6,7-8,9-10,N/A"</formula1>
    </dataValidation>
    <dataValidation type="list" xr:uid="{8B661D9E-1338-451F-945B-699DF7E1B3B2}" sqref="D17" showErrorMessage="1" errorTitle="An invalid feedback was entered" error="Please choose feedback from drop down only.">
      <formula1>"1-2,3-4,5-6,7-8,9-10,N/A"</formula1>
    </dataValidation>
    <dataValidation type="list" xr:uid="{616B29BA-7798-4A40-A0AF-3339840E9BCB}" sqref="E17" showErrorMessage="1" errorTitle="An invalid feedback was entered" error="Please choose feedback from drop down only.">
      <formula1>"1-2,3-4,5-6,7-8,9-10,N/A"</formula1>
    </dataValidation>
    <dataValidation type="list" xr:uid="{DCA6808C-8E52-4940-9AA0-DB166902895B}" sqref="F17" showErrorMessage="1" errorTitle="An invalid feedback was entered" error="Please choose feedback from drop down only.">
      <formula1>"1-2,3-4,5-6,7-8,9-10,N/A"</formula1>
    </dataValidation>
    <dataValidation type="list" xr:uid="{BBA9420A-3491-4ED5-A49F-2135892B88A0}" sqref="G17" showErrorMessage="1" errorTitle="An invalid feedback was entered" error="Please choose feedback from drop down only.">
      <formula1>"1-2,3-4,5-6,7-8,9-10,N/A"</formula1>
    </dataValidation>
    <dataValidation type="list" xr:uid="{558514FF-DD2B-490F-9675-0A7F42996B38}" sqref="H17" showErrorMessage="1" errorTitle="An invalid feedback was entered" error="Please choose feedback from drop down only.">
      <formula1>"1-2,3-4,5-6,7-8,9-10,N/A"</formula1>
    </dataValidation>
    <dataValidation type="list" xr:uid="{2308F4DA-ABD5-4D70-A081-8C2234E7218B}" sqref="I17" showErrorMessage="1" errorTitle="An invalid feedback was entered" error="Please choose feedback from drop down only.">
      <formula1>"1-2,3-4,5-6,7-8,9-10,N/A"</formula1>
    </dataValidation>
    <dataValidation type="list" xr:uid="{65FA8016-2CD8-406E-BFAE-FA3A5068C752}" sqref="J17" showErrorMessage="1" errorTitle="An invalid feedback was entered" error="Please choose feedback from drop down only.">
      <formula1>"1-2,3-4,5-6,7-8,9-10,N/A"</formula1>
    </dataValidation>
    <dataValidation type="list" xr:uid="{B6D75ED7-7123-4DCB-9E60-A99D93E20224}" sqref="K17" showErrorMessage="1" errorTitle="An invalid feedback was entered" error="Please choose feedback from drop down only.">
      <formula1>"1-2,3-4,5-6,7-8,9-10,N/A"</formula1>
    </dataValidation>
    <dataValidation type="list" xr:uid="{608FA662-7764-4B66-8292-446B9A0B6E9C}" sqref="L17" showErrorMessage="1" errorTitle="An invalid feedback was entered" error="Please choose feedback from drop down only.">
      <formula1>"1-2,3-4,5-6,7-8,9-10,N/A"</formula1>
    </dataValidation>
    <dataValidation type="list" xr:uid="{543876EA-59FF-4E33-AB96-3C6CB81C8236}" sqref="M17" showErrorMessage="1" errorTitle="An invalid feedback was entered" error="Please choose feedback from drop down only.">
      <formula1>"1-2,3-4,5-6,7-8,9-10,N/A"</formula1>
    </dataValidation>
    <dataValidation type="list" xr:uid="{D128E35B-603D-4744-BE37-9AC55AB720DE}" sqref="N17" showErrorMessage="1" errorTitle="An invalid feedback was entered" error="Please choose feedback from drop down only.">
      <formula1>"1-2,3-4,5-6,7-8,9-10,N/A"</formula1>
    </dataValidation>
    <dataValidation type="list" xr:uid="{8D2D12BE-3F0F-4C1C-8140-ACDCC42B6E25}" sqref="O17" showErrorMessage="1" errorTitle="An invalid feedback was entered" error="Please choose feedback from drop down only.">
      <formula1>"1-2,3-4,5-6,7-8,9-10,N/A"</formula1>
    </dataValidation>
    <dataValidation type="list" xr:uid="{BC1355B5-AE5E-4827-8BA4-61E114B83B58}" sqref="P17" showErrorMessage="1" errorTitle="An invalid feedback was entered" error="Please choose feedback from drop down only.">
      <formula1>"1-2,3-4,5-6,7-8,9-10,N/A"</formula1>
    </dataValidation>
    <dataValidation type="list" xr:uid="{A6B88AC2-F178-4A72-9E39-74BC8051D6E1}" sqref="Q17" showErrorMessage="1" errorTitle="An invalid feedback was entered" error="Please choose feedback from drop down only.">
      <formula1>"1-2,3-4,5-6,7-8,9-10,N/A"</formula1>
    </dataValidation>
    <dataValidation type="list" xr:uid="{B3931F2F-D4CA-409A-874B-969833B00719}" sqref="C10" showErrorMessage="1" errorTitle="An invalid feedback was entered" error="Please choose feedback from drop down only.">
      <formula1>"STK Top,STK Bottom,STKx2,DTK Top,DTK Bottom,DTKx2,None"</formula1>
    </dataValidation>
    <dataValidation type="list" xr:uid="{93BB5C16-DAB3-4E97-8541-9E98069F1FC1}" sqref="D10" showErrorMessage="1" errorTitle="An invalid feedback was entered" error="Please choose feedback from drop down only.">
      <formula1>"STK Top,STK Bottom,STKx2,DTK Top,DTK Bottom,DTKx2,None"</formula1>
    </dataValidation>
    <dataValidation type="list" xr:uid="{D6E0BEDD-3BE8-4025-9A85-B60D1D51EF6A}" sqref="E10" showErrorMessage="1" errorTitle="An invalid feedback was entered" error="Please choose feedback from drop down only.">
      <formula1>"STK Top,STK Bottom,STKx2,DTK Top,DTK Bottom,DTKx2,None"</formula1>
    </dataValidation>
    <dataValidation type="list" xr:uid="{F485FC7A-62C8-42D7-B7DE-CE38C38A7258}" sqref="F10" showErrorMessage="1" errorTitle="An invalid feedback was entered" error="Please choose feedback from drop down only.">
      <formula1>"STK Top,STK Bottom,STKx2,DTK Top,DTK Bottom,DTKx2,None"</formula1>
    </dataValidation>
    <dataValidation type="list" xr:uid="{37AF58AE-7DE4-449D-AE19-18AC1896B4B4}" sqref="G10" showErrorMessage="1" errorTitle="An invalid feedback was entered" error="Please choose feedback from drop down only.">
      <formula1>"STK Top,STK Bottom,STKx2,DTK Top,DTK Bottom,DTKx2,None"</formula1>
    </dataValidation>
    <dataValidation type="list" xr:uid="{669169D7-A806-4B3E-B043-B1719633C687}" sqref="H10" showErrorMessage="1" errorTitle="An invalid feedback was entered" error="Please choose feedback from drop down only.">
      <formula1>"STK Top,STK Bottom,STKx2,DTK Top,DTK Bottom,DTKx2,None"</formula1>
    </dataValidation>
    <dataValidation type="list" xr:uid="{5CBA61A7-DE92-4B6D-8CC1-2DB1DF5AF27D}" sqref="I10" showErrorMessage="1" errorTitle="An invalid feedback was entered" error="Please choose feedback from drop down only.">
      <formula1>"STK Top,STK Bottom,STKx2,DTK Top,DTK Bottom,DTKx2,None"</formula1>
    </dataValidation>
    <dataValidation type="list" xr:uid="{932935E9-A6D6-4230-BFA8-45A54060D9BB}" sqref="J10" showErrorMessage="1" errorTitle="An invalid feedback was entered" error="Please choose feedback from drop down only.">
      <formula1>"STK Top,STK Bottom,STKx2,DTK Top,DTK Bottom,DTKx2,None"</formula1>
    </dataValidation>
    <dataValidation type="list" xr:uid="{BFF3C24F-4298-4A29-BEE9-DA7777AFC749}" sqref="K10" showErrorMessage="1" errorTitle="An invalid feedback was entered" error="Please choose feedback from drop down only.">
      <formula1>"STK Top,STK Bottom,STKx2,DTK Top,DTK Bottom,DTKx2,None"</formula1>
    </dataValidation>
    <dataValidation type="list" xr:uid="{9787AC36-C0ED-4914-95D0-8E7A547F9562}" sqref="L10" showErrorMessage="1" errorTitle="An invalid feedback was entered" error="Please choose feedback from drop down only.">
      <formula1>"STK Top,STK Bottom,STKx2,DTK Top,DTK Bottom,DTKx2,None"</formula1>
    </dataValidation>
    <dataValidation type="list" xr:uid="{386A8E88-0841-4150-8F4D-B5EFAB894766}" sqref="M10" showErrorMessage="1" errorTitle="An invalid feedback was entered" error="Please choose feedback from drop down only.">
      <formula1>"STK Top,STK Bottom,STKx2,DTK Top,DTK Bottom,DTKx2,None"</formula1>
    </dataValidation>
    <dataValidation type="list" xr:uid="{1ADEBA18-A84B-4644-87C0-13C2DD5116C4}" sqref="N10" showErrorMessage="1" errorTitle="An invalid feedback was entered" error="Please choose feedback from drop down only.">
      <formula1>"STK Top,STK Bottom,STKx2,DTK Top,DTK Bottom,DTKx2,None"</formula1>
    </dataValidation>
    <dataValidation type="list" xr:uid="{6BB12EBB-3FAD-4B0A-BCED-6AF5CFC5BB2C}" sqref="O10" showErrorMessage="1" errorTitle="An invalid feedback was entered" error="Please choose feedback from drop down only.">
      <formula1>"STK Top,STK Bottom,STKx2,DTK Top,DTK Bottom,DTKx2,None"</formula1>
    </dataValidation>
    <dataValidation type="list" xr:uid="{661A2733-FFE9-4025-9091-6933BA4C7932}" sqref="P10" showErrorMessage="1" errorTitle="An invalid feedback was entered" error="Please choose feedback from drop down only.">
      <formula1>"STK Top,STK Bottom,STKx2,DTK Top,DTK Bottom,DTKx2,None"</formula1>
    </dataValidation>
    <dataValidation type="list" xr:uid="{60A056BA-C33D-4E33-B0D5-31C44704976F}" sqref="Q10" showErrorMessage="1" errorTitle="An invalid feedback was entered" error="Please choose feedback from drop down only.">
      <formula1>"STK Top,STK Bottom,STKx2,DTK Top,DTK Bottom,DTKx2,None"</formula1>
    </dataValidation>
    <dataValidation type="list" xr:uid="{4FB65BAF-9062-4D6B-96FB-F05D8D985495}" sqref="C23" showErrorMessage="1" errorTitle="An invalid feedback was entered" error="Please choose feedback from drop down only.">
      <formula1>"Yetel,Bulsatcom,A1,Yetel&amp;A1,N/A"</formula1>
    </dataValidation>
    <dataValidation type="list" xr:uid="{4286CDB5-5BDC-4652-B627-7A1731AE2C80}" sqref="D23" showErrorMessage="1" errorTitle="An invalid feedback was entered" error="Please choose feedback from drop down only.">
      <formula1>"Yetel,Bulsatcom,A1,Yetel&amp;A1,N/A"</formula1>
    </dataValidation>
    <dataValidation type="list" xr:uid="{BAA0F737-BCE0-449F-8050-60ECFE8A46D7}" sqref="E23" showErrorMessage="1" errorTitle="An invalid feedback was entered" error="Please choose feedback from drop down only.">
      <formula1>"Yetel,Bulsatcom,A1,Yetel&amp;A1,N/A"</formula1>
    </dataValidation>
    <dataValidation type="list" xr:uid="{83EDCEE6-54E5-495A-AC30-FD7DA16D60A4}" sqref="F23" showErrorMessage="1" errorTitle="An invalid feedback was entered" error="Please choose feedback from drop down only.">
      <formula1>"Yetel,Bulsatcom,A1,Yetel&amp;A1,N/A"</formula1>
    </dataValidation>
    <dataValidation type="list" xr:uid="{FFF6B7FB-5151-484D-8CC4-766D75C30F1F}" sqref="G23" showErrorMessage="1" errorTitle="An invalid feedback was entered" error="Please choose feedback from drop down only.">
      <formula1>"Yetel,Bulsatcom,A1,Yetel&amp;A1,N/A"</formula1>
    </dataValidation>
    <dataValidation type="list" xr:uid="{6E3FFF74-64F9-4F6E-8D03-991F09D1744F}" sqref="H23" showErrorMessage="1" errorTitle="An invalid feedback was entered" error="Please choose feedback from drop down only.">
      <formula1>"Yetel,Bulsatcom,A1,Yetel&amp;A1,N/A"</formula1>
    </dataValidation>
    <dataValidation type="list" xr:uid="{422C277F-4FE3-4E60-88AA-84FFF25AD247}" sqref="I23" showErrorMessage="1" errorTitle="An invalid feedback was entered" error="Please choose feedback from drop down only.">
      <formula1>"Yetel,Bulsatcom,A1,Yetel&amp;A1,N/A"</formula1>
    </dataValidation>
    <dataValidation type="list" xr:uid="{2F94A183-F968-47B4-9C31-EA7EA3AC2980}" sqref="J23" showErrorMessage="1" errorTitle="An invalid feedback was entered" error="Please choose feedback from drop down only.">
      <formula1>"Yetel,Bulsatcom,A1,Yetel&amp;A1,N/A"</formula1>
    </dataValidation>
    <dataValidation type="list" xr:uid="{8B3A75B5-5EE8-4DA3-B09B-D8215B73345A}" sqref="K23" showErrorMessage="1" errorTitle="An invalid feedback was entered" error="Please choose feedback from drop down only.">
      <formula1>"Yetel,Bulsatcom,A1,Yetel&amp;A1,N/A"</formula1>
    </dataValidation>
    <dataValidation type="list" xr:uid="{0E615CA2-E180-4601-846B-5D1AFCB90ED0}" sqref="L23" showErrorMessage="1" errorTitle="An invalid feedback was entered" error="Please choose feedback from drop down only.">
      <formula1>"Yetel,Bulsatcom,A1,Yetel&amp;A1,N/A"</formula1>
    </dataValidation>
    <dataValidation type="list" xr:uid="{7368D4E6-D139-416E-AC3C-F4DC0F91BAAC}" sqref="M23" showErrorMessage="1" errorTitle="An invalid feedback was entered" error="Please choose feedback from drop down only.">
      <formula1>"Yetel,Bulsatcom,A1,Yetel&amp;A1,N/A"</formula1>
    </dataValidation>
    <dataValidation type="list" xr:uid="{20AFCA4C-1E6D-430E-8208-63918BF5AA0E}" sqref="N23" showErrorMessage="1" errorTitle="An invalid feedback was entered" error="Please choose feedback from drop down only.">
      <formula1>"Yetel,Bulsatcom,A1,Yetel&amp;A1,N/A"</formula1>
    </dataValidation>
    <dataValidation type="list" xr:uid="{6D6CA9B9-5091-4546-ACA4-FA4C52863F96}" sqref="O23" showErrorMessage="1" errorTitle="An invalid feedback was entered" error="Please choose feedback from drop down only.">
      <formula1>"Yetel,Bulsatcom,A1,Yetel&amp;A1,N/A"</formula1>
    </dataValidation>
    <dataValidation type="list" xr:uid="{0C2865F4-04F3-4C90-8D95-9141C2417886}" sqref="P23" showErrorMessage="1" errorTitle="An invalid feedback was entered" error="Please choose feedback from drop down only.">
      <formula1>"Yetel,Bulsatcom,A1,Yetel&amp;A1,N/A"</formula1>
    </dataValidation>
    <dataValidation type="list" xr:uid="{83DCC5C1-541D-4989-812E-136C052E8001}" sqref="Q23" showErrorMessage="1" errorTitle="An invalid feedback was entered" error="Please choose feedback from drop down only.">
      <formula1>"Yetel,Bulsatcom,A1,Yetel&amp;A1,N/A"</formula1>
    </dataValidation>
    <dataValidation type="list" xr:uid="{E74A73F9-515F-47DC-9C7B-8D6838F62967}" sqref="C31" showErrorMessage="1" errorTitle="An invalid feedback was entered" error="Please choose feedback from drop down only.">
      <formula1>"1/2,5/4,7/8,RRU TOP JUMPER,N/A"</formula1>
    </dataValidation>
    <dataValidation type="list" xr:uid="{EBDB4024-7054-48D9-8CC9-C2ADC8154118}" sqref="D31" showErrorMessage="1" errorTitle="An invalid feedback was entered" error="Please choose feedback from drop down only.">
      <formula1>"1/2,5/4,7/8,RRU TOP JUMPER,N/A"</formula1>
    </dataValidation>
    <dataValidation type="list" xr:uid="{4382CA5F-86DC-44F6-A6F7-F9B9C17D99E0}" sqref="E31" showErrorMessage="1" errorTitle="An invalid feedback was entered" error="Please choose feedback from drop down only.">
      <formula1>"1/2,5/4,7/8,RRU TOP JUMPER,N/A"</formula1>
    </dataValidation>
    <dataValidation type="list" xr:uid="{D63294B0-A44E-4D1C-9184-648EF13F0F03}" sqref="F31" showErrorMessage="1" errorTitle="An invalid feedback was entered" error="Please choose feedback from drop down only.">
      <formula1>"1/2,5/4,7/8,RRU TOP JUMPER,N/A"</formula1>
    </dataValidation>
    <dataValidation type="list" xr:uid="{068F7579-9AED-4E1D-8234-636331A8991D}" sqref="G31" showErrorMessage="1" errorTitle="An invalid feedback was entered" error="Please choose feedback from drop down only.">
      <formula1>"1/2,5/4,7/8,RRU TOP JUMPER,N/A"</formula1>
    </dataValidation>
    <dataValidation type="list" xr:uid="{A0110265-A5F1-450B-A7CC-291C9C9ABA8B}" sqref="H31" showErrorMessage="1" errorTitle="An invalid feedback was entered" error="Please choose feedback from drop down only.">
      <formula1>"1/2,5/4,7/8,RRU TOP JUMPER,N/A"</formula1>
    </dataValidation>
    <dataValidation type="list" xr:uid="{6D4671D0-00D3-4083-8F88-499B084FF57A}" sqref="I31" showErrorMessage="1" errorTitle="An invalid feedback was entered" error="Please choose feedback from drop down only.">
      <formula1>"1/2,5/4,7/8,RRU TOP JUMPER,N/A"</formula1>
    </dataValidation>
    <dataValidation type="list" xr:uid="{AA860CC9-CEC8-49B1-A24C-5BCD32B8F99C}" sqref="J31" showErrorMessage="1" errorTitle="An invalid feedback was entered" error="Please choose feedback from drop down only.">
      <formula1>"1/2,5/4,7/8,RRU TOP JUMPER,N/A"</formula1>
    </dataValidation>
    <dataValidation type="list" xr:uid="{66491C1D-CED1-4439-9F87-87C2A571B931}" sqref="K31" showErrorMessage="1" errorTitle="An invalid feedback was entered" error="Please choose feedback from drop down only.">
      <formula1>"1/2,5/4,7/8,RRU TOP JUMPER,N/A"</formula1>
    </dataValidation>
    <dataValidation type="list" xr:uid="{059C7809-499B-4D4F-B08A-1CA3A12D5594}" sqref="L31" showErrorMessage="1" errorTitle="An invalid feedback was entered" error="Please choose feedback from drop down only.">
      <formula1>"1/2,5/4,7/8,RRU TOP JUMPER,N/A"</formula1>
    </dataValidation>
    <dataValidation type="list" xr:uid="{5905602D-4574-4EC6-AB3B-E036B219D45A}" sqref="M31" showErrorMessage="1" errorTitle="An invalid feedback was entered" error="Please choose feedback from drop down only.">
      <formula1>"1/2,5/4,7/8,RRU TOP JUMPER,N/A"</formula1>
    </dataValidation>
    <dataValidation type="list" xr:uid="{B0444B98-541B-4315-8456-8235BA70E1D4}" sqref="N31" showErrorMessage="1" errorTitle="An invalid feedback was entered" error="Please choose feedback from drop down only.">
      <formula1>"1/2,5/4,7/8,RRU TOP JUMPER,N/A"</formula1>
    </dataValidation>
    <dataValidation type="list" xr:uid="{F570AA3B-9ADA-48D7-B6E2-4A72C33E2D1D}" sqref="O31" showErrorMessage="1" errorTitle="An invalid feedback was entered" error="Please choose feedback from drop down only.">
      <formula1>"1/2,5/4,7/8,RRU TOP JUMPER,N/A"</formula1>
    </dataValidation>
    <dataValidation type="list" xr:uid="{3C48A103-198D-4EF3-B4C3-3DABC5ACC7A3}" sqref="P31" showErrorMessage="1" errorTitle="An invalid feedback was entered" error="Please choose feedback from drop down only.">
      <formula1>"1/2,5/4,7/8,RRU TOP JUMPER,N/A"</formula1>
    </dataValidation>
    <dataValidation type="list" xr:uid="{BC10361E-CB0C-4790-B899-22064B06999C}" sqref="Q31" showErrorMessage="1" errorTitle="An invalid feedback was entered" error="Please choose feedback from drop down only.">
      <formula1>"1/2,5/4,7/8,RRU TOP JUMPER,N/A"</formula1>
    </dataValidation>
    <dataValidation type="list" xr:uid="{5EB05C31-21C2-4EAD-8C92-FB2BD25FBB21}" sqref="C4" showErrorMessage="1" errorTitle="An invalid feedback was entered" error="Please choose feedback from drop down only.">
      <formula1>"1,2,3,4,5,6,N/A"</formula1>
    </dataValidation>
    <dataValidation type="list" xr:uid="{41761434-DF1D-473A-B705-A7B6B05D960E}" sqref="D4" showErrorMessage="1" errorTitle="An invalid feedback was entered" error="Please choose feedback from drop down only.">
      <formula1>"1,2,3,4,5,6,N/A"</formula1>
    </dataValidation>
    <dataValidation type="list" xr:uid="{E092C822-DB23-4872-BA32-BC4144B3A6EB}" sqref="E4" showErrorMessage="1" errorTitle="An invalid feedback was entered" error="Please choose feedback from drop down only.">
      <formula1>"1,2,3,4,5,6,N/A"</formula1>
    </dataValidation>
    <dataValidation type="list" xr:uid="{9C26DF3C-C796-4A42-B08A-0D26D1C9F470}" sqref="F4" showErrorMessage="1" errorTitle="An invalid feedback was entered" error="Please choose feedback from drop down only.">
      <formula1>"1,2,3,4,5,6,N/A"</formula1>
    </dataValidation>
    <dataValidation type="list" xr:uid="{003C7481-EC2F-424A-A043-0963CFE22536}" sqref="G4" showErrorMessage="1" errorTitle="An invalid feedback was entered" error="Please choose feedback from drop down only.">
      <formula1>"1,2,3,4,5,6,N/A"</formula1>
    </dataValidation>
    <dataValidation type="list" xr:uid="{C83F194A-0880-4B3B-86A2-35AD664BF5FE}" sqref="H4" showErrorMessage="1" errorTitle="An invalid feedback was entered" error="Please choose feedback from drop down only.">
      <formula1>"1,2,3,4,5,6,N/A"</formula1>
    </dataValidation>
    <dataValidation type="list" xr:uid="{827B6F72-F072-4E26-907F-CB94F4108178}" sqref="I4" showErrorMessage="1" errorTitle="An invalid feedback was entered" error="Please choose feedback from drop down only.">
      <formula1>"1,2,3,4,5,6,N/A"</formula1>
    </dataValidation>
    <dataValidation type="list" xr:uid="{31ECCB34-3EFD-4352-AFCE-A67DC9884AA3}" sqref="J4" showErrorMessage="1" errorTitle="An invalid feedback was entered" error="Please choose feedback from drop down only.">
      <formula1>"1,2,3,4,5,6,N/A"</formula1>
    </dataValidation>
    <dataValidation type="list" xr:uid="{8BFF68D4-7C9F-4015-A704-50C58B7CD7FE}" sqref="K4" showErrorMessage="1" errorTitle="An invalid feedback was entered" error="Please choose feedback from drop down only.">
      <formula1>"1,2,3,4,5,6,N/A"</formula1>
    </dataValidation>
    <dataValidation type="list" xr:uid="{9581F3DD-9799-41ED-A908-4FEE8405B01B}" sqref="L4" showErrorMessage="1" errorTitle="An invalid feedback was entered" error="Please choose feedback from drop down only.">
      <formula1>"1,2,3,4,5,6,N/A"</formula1>
    </dataValidation>
    <dataValidation type="list" xr:uid="{68260B06-651C-4A1C-85C9-3C3ABABE349D}" sqref="M4" showErrorMessage="1" errorTitle="An invalid feedback was entered" error="Please choose feedback from drop down only.">
      <formula1>"1,2,3,4,5,6,N/A"</formula1>
    </dataValidation>
    <dataValidation type="list" xr:uid="{6E3649FA-7A02-43B4-B9CC-5A0664A51119}" sqref="N4" showErrorMessage="1" errorTitle="An invalid feedback was entered" error="Please choose feedback from drop down only.">
      <formula1>"1,2,3,4,5,6,N/A"</formula1>
    </dataValidation>
    <dataValidation type="list" xr:uid="{84AED41F-2F94-4297-A18D-24874C507B2F}" sqref="O4" showErrorMessage="1" errorTitle="An invalid feedback was entered" error="Please choose feedback from drop down only.">
      <formula1>"1,2,3,4,5,6,N/A"</formula1>
    </dataValidation>
    <dataValidation type="list" xr:uid="{2DAC9DE9-F5DE-4FFF-8744-7B7D94B5D421}" sqref="P4" showErrorMessage="1" errorTitle="An invalid feedback was entered" error="Please choose feedback from drop down only.">
      <formula1>"1,2,3,4,5,6,N/A"</formula1>
    </dataValidation>
    <dataValidation type="list" xr:uid="{8E709443-F2BA-42BD-A2BB-217F5758351A}" sqref="Q4" showErrorMessage="1" errorTitle="An invalid feedback was entered" error="Please choose feedback from drop down only.">
      <formula1>"1,2,3,4,5,6,N/A"</formula1>
    </dataValidation>
    <dataValidation type="list" xr:uid="{28382D37-6B13-4925-94B3-75BE6C54D10D}" sqref="C22" showErrorMessage="1" errorTitle="An invalid feedback was entered" error="Please choose feedback from drop down only.">
      <formula1>"700,800&amp;900,900,1800,2100,2600,3600,1800&amp;2100,1800&amp;2600,2100&amp;2600,18&amp;21&amp;26,Free,N/A,Yetel,A1,Yetel&amp;A1"</formula1>
    </dataValidation>
    <dataValidation type="list" xr:uid="{C5A1D836-D150-48A8-8CC1-44E888512253}" sqref="D22" showErrorMessage="1" errorTitle="An invalid feedback was entered" error="Please choose feedback from drop down only.">
      <formula1>"700,800&amp;900,900,1800,2100,2600,3600,1800&amp;2100,1800&amp;2600,2100&amp;2600,18&amp;21&amp;26,Free,N/A,Yetel,A1,Yetel&amp;A1"</formula1>
    </dataValidation>
    <dataValidation type="list" xr:uid="{EB1993F9-1DE1-4190-A71D-D9EB47A1C243}" sqref="E22" showErrorMessage="1" errorTitle="An invalid feedback was entered" error="Please choose feedback from drop down only.">
      <formula1>"700,800&amp;900,900,1800,2100,2600,3600,1800&amp;2100,1800&amp;2600,2100&amp;2600,18&amp;21&amp;26,Free,N/A,Yetel,A1,Yetel&amp;A1"</formula1>
    </dataValidation>
    <dataValidation type="list" xr:uid="{DF12E455-EE70-4A16-944E-D6C57151479F}" sqref="F22" showErrorMessage="1" errorTitle="An invalid feedback was entered" error="Please choose feedback from drop down only.">
      <formula1>"700,800&amp;900,900,1800,2100,2600,3600,1800&amp;2100,1800&amp;2600,2100&amp;2600,18&amp;21&amp;26,Free,N/A,Yetel,A1,Yetel&amp;A1"</formula1>
    </dataValidation>
    <dataValidation type="list" xr:uid="{A0CD8540-5275-4211-9575-5A3852AB13F6}" sqref="G22" showErrorMessage="1" errorTitle="An invalid feedback was entered" error="Please choose feedback from drop down only.">
      <formula1>"700,800&amp;900,900,1800,2100,2600,3600,1800&amp;2100,1800&amp;2600,2100&amp;2600,18&amp;21&amp;26,Free,N/A,Yetel,A1,Yetel&amp;A1"</formula1>
    </dataValidation>
    <dataValidation type="list" xr:uid="{AF4C5F37-8A2F-476B-B851-80031FAA7E69}" sqref="H22" showErrorMessage="1" errorTitle="An invalid feedback was entered" error="Please choose feedback from drop down only.">
      <formula1>"700,800&amp;900,900,1800,2100,2600,3600,1800&amp;2100,1800&amp;2600,2100&amp;2600,18&amp;21&amp;26,Free,N/A,Yetel,A1,Yetel&amp;A1"</formula1>
    </dataValidation>
    <dataValidation type="list" xr:uid="{C37E95EB-77CD-48D9-B8A8-61AD425CE38E}" sqref="I22" showErrorMessage="1" errorTitle="An invalid feedback was entered" error="Please choose feedback from drop down only.">
      <formula1>"700,800&amp;900,900,1800,2100,2600,3600,1800&amp;2100,1800&amp;2600,2100&amp;2600,18&amp;21&amp;26,Free,N/A,Yetel,A1,Yetel&amp;A1"</formula1>
    </dataValidation>
    <dataValidation type="list" xr:uid="{B32B6A26-C895-4961-8E41-C0EF1720941C}" sqref="J22" showErrorMessage="1" errorTitle="An invalid feedback was entered" error="Please choose feedback from drop down only.">
      <formula1>"700,800&amp;900,900,1800,2100,2600,3600,1800&amp;2100,1800&amp;2600,2100&amp;2600,18&amp;21&amp;26,Free,N/A,Yetel,A1,Yetel&amp;A1"</formula1>
    </dataValidation>
    <dataValidation type="list" xr:uid="{D9B7149F-7DF9-4B0B-A31F-D6B5A73501FF}" sqref="K22" showErrorMessage="1" errorTitle="An invalid feedback was entered" error="Please choose feedback from drop down only.">
      <formula1>"700,800&amp;900,900,1800,2100,2600,3600,1800&amp;2100,1800&amp;2600,2100&amp;2600,18&amp;21&amp;26,Free,N/A,Yetel,A1,Yetel&amp;A1"</formula1>
    </dataValidation>
    <dataValidation type="list" xr:uid="{63DD2C14-B94E-4AC4-B912-D464D06A4838}" sqref="L22" showErrorMessage="1" errorTitle="An invalid feedback was entered" error="Please choose feedback from drop down only.">
      <formula1>"700,800&amp;900,900,1800,2100,2600,3600,1800&amp;2100,1800&amp;2600,2100&amp;2600,18&amp;21&amp;26,Free,N/A,Yetel,A1,Yetel&amp;A1"</formula1>
    </dataValidation>
    <dataValidation type="list" xr:uid="{F1B4A967-E809-4F1F-8002-CA36033282F4}" sqref="M22" showErrorMessage="1" errorTitle="An invalid feedback was entered" error="Please choose feedback from drop down only.">
      <formula1>"700,800&amp;900,900,1800,2100,2600,3600,1800&amp;2100,1800&amp;2600,2100&amp;2600,18&amp;21&amp;26,Free,N/A,Yetel,A1,Yetel&amp;A1"</formula1>
    </dataValidation>
    <dataValidation type="list" xr:uid="{54373D23-55F4-4799-BCF7-0559CD11AC97}" sqref="N22" showErrorMessage="1" errorTitle="An invalid feedback was entered" error="Please choose feedback from drop down only.">
      <formula1>"700,800&amp;900,900,1800,2100,2600,3600,1800&amp;2100,1800&amp;2600,2100&amp;2600,18&amp;21&amp;26,Free,N/A,Yetel,A1,Yetel&amp;A1"</formula1>
    </dataValidation>
    <dataValidation type="list" xr:uid="{55C9E345-4D5F-4A3E-9A75-20FC2A6A3E62}" sqref="O22" showErrorMessage="1" errorTitle="An invalid feedback was entered" error="Please choose feedback from drop down only.">
      <formula1>"700,800&amp;900,900,1800,2100,2600,3600,1800&amp;2100,1800&amp;2600,2100&amp;2600,18&amp;21&amp;26,Free,N/A,Yetel,A1,Yetel&amp;A1"</formula1>
    </dataValidation>
    <dataValidation type="list" xr:uid="{7E5EFA25-E567-4C7C-9A9A-E4CB41F64132}" sqref="P22" showErrorMessage="1" errorTitle="An invalid feedback was entered" error="Please choose feedback from drop down only.">
      <formula1>"700,800&amp;900,900,1800,2100,2600,3600,1800&amp;2100,1800&amp;2600,2100&amp;2600,18&amp;21&amp;26,Free,N/A,Yetel,A1,Yetel&amp;A1"</formula1>
    </dataValidation>
    <dataValidation type="list" xr:uid="{554CE378-68D4-4C64-A1DB-DEFA927466F8}" sqref="Q22" showErrorMessage="1" errorTitle="An invalid feedback was entered" error="Please choose feedback from drop down only.">
      <formula1>"700,800&amp;900,900,1800,2100,2600,3600,1800&amp;2100,1800&amp;2600,2100&amp;2600,18&amp;21&amp;26,Free,N/A,Yetel,A1,Yetel&amp;A1"</formula1>
    </dataValidation>
    <dataValidation type="list" xr:uid="{43888362-EA7E-44C1-9E4F-F92B131006B2}" sqref="C28" showErrorMessage="1" errorTitle="An invalid feedback was entered" error="Please choose feedback from drop down only.">
      <formula1>"Yes,No,FlexRET"</formula1>
    </dataValidation>
    <dataValidation type="list" xr:uid="{E6B7E0F4-9A00-4F3E-BB00-998A97EA23C4}" sqref="D28" showErrorMessage="1" errorTitle="An invalid feedback was entered" error="Please choose feedback from drop down only.">
      <formula1>"Yes,No,FlexRET"</formula1>
    </dataValidation>
    <dataValidation type="list" xr:uid="{06E4205C-3CBD-490F-AE52-2A549CCEA282}" sqref="E28" showErrorMessage="1" errorTitle="An invalid feedback was entered" error="Please choose feedback from drop down only.">
      <formula1>"Yes,No,FlexRET"</formula1>
    </dataValidation>
    <dataValidation type="list" xr:uid="{8C139E88-22C1-469D-A089-781932D6D623}" sqref="F28" showErrorMessage="1" errorTitle="An invalid feedback was entered" error="Please choose feedback from drop down only.">
      <formula1>"Yes,No,FlexRET"</formula1>
    </dataValidation>
    <dataValidation type="list" xr:uid="{38FB29C9-6D99-45FA-9981-6849F5C5409E}" sqref="G28" showErrorMessage="1" errorTitle="An invalid feedback was entered" error="Please choose feedback from drop down only.">
      <formula1>"Yes,No,FlexRET"</formula1>
    </dataValidation>
    <dataValidation type="list" xr:uid="{B498D086-4753-4D0D-A9B1-49810439149F}" sqref="H28" showErrorMessage="1" errorTitle="An invalid feedback was entered" error="Please choose feedback from drop down only.">
      <formula1>"Yes,No,FlexRET"</formula1>
    </dataValidation>
    <dataValidation type="list" xr:uid="{7F2BE2ED-3AF7-4198-8899-EA89CDCC07C0}" sqref="I28" showErrorMessage="1" errorTitle="An invalid feedback was entered" error="Please choose feedback from drop down only.">
      <formula1>"Yes,No,FlexRET"</formula1>
    </dataValidation>
    <dataValidation type="list" xr:uid="{CEB52195-EBFA-4264-A51E-53E76828F523}" sqref="J28" showErrorMessage="1" errorTitle="An invalid feedback was entered" error="Please choose feedback from drop down only.">
      <formula1>"Yes,No,FlexRET"</formula1>
    </dataValidation>
    <dataValidation type="list" xr:uid="{FA11506B-E14A-4408-B109-5936179753FC}" sqref="K28" showErrorMessage="1" errorTitle="An invalid feedback was entered" error="Please choose feedback from drop down only.">
      <formula1>"Yes,No,FlexRET"</formula1>
    </dataValidation>
    <dataValidation type="list" xr:uid="{6EF1C576-21B8-48F2-B196-71B6E59BFE2B}" sqref="L28" showErrorMessage="1" errorTitle="An invalid feedback was entered" error="Please choose feedback from drop down only.">
      <formula1>"Yes,No,FlexRET"</formula1>
    </dataValidation>
    <dataValidation type="list" xr:uid="{D8D7C286-A873-4247-915B-162E413043D5}" sqref="M28" showErrorMessage="1" errorTitle="An invalid feedback was entered" error="Please choose feedback from drop down only.">
      <formula1>"Yes,No,FlexRET"</formula1>
    </dataValidation>
    <dataValidation type="list" xr:uid="{D92AE4CE-DF22-44AC-9FC4-5726A5271CCA}" sqref="N28" showErrorMessage="1" errorTitle="An invalid feedback was entered" error="Please choose feedback from drop down only.">
      <formula1>"Yes,No,FlexRET"</formula1>
    </dataValidation>
    <dataValidation type="list" xr:uid="{E4F892A3-7F20-4049-B72D-BB6E0568066D}" sqref="O28" showErrorMessage="1" errorTitle="An invalid feedback was entered" error="Please choose feedback from drop down only.">
      <formula1>"Yes,No,FlexRET"</formula1>
    </dataValidation>
    <dataValidation type="list" xr:uid="{D73D71FD-98E6-4101-9280-5F76C097D85F}" sqref="P28" showErrorMessage="1" errorTitle="An invalid feedback was entered" error="Please choose feedback from drop down only.">
      <formula1>"Yes,No,FlexRET"</formula1>
    </dataValidation>
    <dataValidation type="list" xr:uid="{EB86C7D8-BD9F-47D4-93FC-DBD6B367E51A}" sqref="Q28" showErrorMessage="1" errorTitle="An invalid feedback was entered" error="Please choose feedback from drop down only.">
      <formula1>"Yes,No,FlexRET"</formula1>
    </dataValidation>
    <dataValidation type="list" xr:uid="{50F0F777-1114-4AEB-820C-293ED1B47F9D}" sqref="C29" showErrorMessage="1" errorTitle="An invalid feedback was entered" error="Please choose feedback from drop down only.">
      <formula1>"Yes,No,FlexRET"</formula1>
    </dataValidation>
    <dataValidation type="list" xr:uid="{57E91B2C-5B2E-4F67-A269-EC0EF4E07355}" sqref="D29" showErrorMessage="1" errorTitle="An invalid feedback was entered" error="Please choose feedback from drop down only.">
      <formula1>"Yes,No,FlexRET"</formula1>
    </dataValidation>
    <dataValidation type="list" xr:uid="{0DBCEFC1-99C7-4536-8976-D76E73EE2E2F}" sqref="E29" showErrorMessage="1" errorTitle="An invalid feedback was entered" error="Please choose feedback from drop down only.">
      <formula1>"Yes,No,FlexRET"</formula1>
    </dataValidation>
    <dataValidation type="list" xr:uid="{1CCAA300-4D63-44DD-98D2-F80D813D2B70}" sqref="F29" showErrorMessage="1" errorTitle="An invalid feedback was entered" error="Please choose feedback from drop down only.">
      <formula1>"Yes,No,FlexRET"</formula1>
    </dataValidation>
    <dataValidation type="list" xr:uid="{3ACB00A8-1671-4E87-8359-8D3092438021}" sqref="G29" showErrorMessage="1" errorTitle="An invalid feedback was entered" error="Please choose feedback from drop down only.">
      <formula1>"Yes,No,FlexRET"</formula1>
    </dataValidation>
    <dataValidation type="list" xr:uid="{563A8B74-7B86-434A-852B-3F93B19E5EA8}" sqref="H29" showErrorMessage="1" errorTitle="An invalid feedback was entered" error="Please choose feedback from drop down only.">
      <formula1>"Yes,No,FlexRET"</formula1>
    </dataValidation>
    <dataValidation type="list" xr:uid="{AE763CEC-7949-4C78-A0A4-9E86D1D9A8C9}" sqref="I29" showErrorMessage="1" errorTitle="An invalid feedback was entered" error="Please choose feedback from drop down only.">
      <formula1>"Yes,No,FlexRET"</formula1>
    </dataValidation>
    <dataValidation type="list" xr:uid="{56FD76F5-4449-4139-89D4-5D07324378D7}" sqref="J29" showErrorMessage="1" errorTitle="An invalid feedback was entered" error="Please choose feedback from drop down only.">
      <formula1>"Yes,No,FlexRET"</formula1>
    </dataValidation>
    <dataValidation type="list" xr:uid="{72683036-2D80-4E1A-8D32-00DC9D5A00A8}" sqref="K29" showErrorMessage="1" errorTitle="An invalid feedback was entered" error="Please choose feedback from drop down only.">
      <formula1>"Yes,No,FlexRET"</formula1>
    </dataValidation>
    <dataValidation type="list" xr:uid="{9C4BCF68-4A9F-4666-A81F-0BB734F354E9}" sqref="L29" showErrorMessage="1" errorTitle="An invalid feedback was entered" error="Please choose feedback from drop down only.">
      <formula1>"Yes,No,FlexRET"</formula1>
    </dataValidation>
    <dataValidation type="list" xr:uid="{62590128-889C-4E9F-8407-4DB5725279E0}" sqref="M29" showErrorMessage="1" errorTitle="An invalid feedback was entered" error="Please choose feedback from drop down only.">
      <formula1>"Yes,No,FlexRET"</formula1>
    </dataValidation>
    <dataValidation type="list" xr:uid="{B8A5CE70-2277-40CE-9BCD-E8AF60C277F1}" sqref="N29" showErrorMessage="1" errorTitle="An invalid feedback was entered" error="Please choose feedback from drop down only.">
      <formula1>"Yes,No,FlexRET"</formula1>
    </dataValidation>
    <dataValidation type="list" xr:uid="{DCDC47A0-CA15-420A-B166-A1FDF4CF9DD0}" sqref="O29" showErrorMessage="1" errorTitle="An invalid feedback was entered" error="Please choose feedback from drop down only.">
      <formula1>"Yes,No,FlexRET"</formula1>
    </dataValidation>
    <dataValidation type="list" xr:uid="{6AFBEEA1-D288-44BD-A16A-DA61986AFACE}" sqref="P29" showErrorMessage="1" errorTitle="An invalid feedback was entered" error="Please choose feedback from drop down only.">
      <formula1>"Yes,No,FlexRET"</formula1>
    </dataValidation>
    <dataValidation type="list" xr:uid="{AA0709B8-9544-49AD-8A30-CE330E51DF24}" sqref="Q29" showErrorMessage="1" errorTitle="An invalid feedback was entered" error="Please choose feedback from drop down only.">
      <formula1>"Yes,No,FlexRET"</formula1>
    </dataValidation>
    <dataValidation type="list" xr:uid="{8538285A-9AFE-4878-93D7-1178DA4DFBDA}" sqref="C25" showErrorMessage="1" errorTitle="An invalid feedback was entered" error="Please choose feedback from drop down only.">
      <formula1>"G,U,L,NR,GU,UL,GL,GUL,LNR,ULNR,None"</formula1>
    </dataValidation>
    <dataValidation type="list" xr:uid="{EB546DFE-47A5-49D2-9B75-12DEBFBEC954}" sqref="D25" showErrorMessage="1" errorTitle="An invalid feedback was entered" error="Please choose feedback from drop down only.">
      <formula1>"G,U,L,NR,GU,UL,GL,GUL,LNR,ULNR,None"</formula1>
    </dataValidation>
    <dataValidation type="list" xr:uid="{45E1E3C7-C140-4877-9B89-BE5CB9D83105}" sqref="E25" showErrorMessage="1" errorTitle="An invalid feedback was entered" error="Please choose feedback from drop down only.">
      <formula1>"G,U,L,NR,GU,UL,GL,GUL,LNR,ULNR,None"</formula1>
    </dataValidation>
    <dataValidation type="list" xr:uid="{4F476248-6278-4C67-9CCC-4679096CD72B}" sqref="F25" showErrorMessage="1" errorTitle="An invalid feedback was entered" error="Please choose feedback from drop down only.">
      <formula1>"G,U,L,NR,GU,UL,GL,GUL,LNR,ULNR,None"</formula1>
    </dataValidation>
    <dataValidation type="list" xr:uid="{EDD94D0D-FF1F-4CA0-A690-882C79ECB497}" sqref="G25" showErrorMessage="1" errorTitle="An invalid feedback was entered" error="Please choose feedback from drop down only.">
      <formula1>"G,U,L,NR,GU,UL,GL,GUL,LNR,ULNR,None"</formula1>
    </dataValidation>
    <dataValidation type="list" xr:uid="{1E9E082F-E3E6-4C5D-B220-75B29D168C6F}" sqref="H25" showErrorMessage="1" errorTitle="An invalid feedback was entered" error="Please choose feedback from drop down only.">
      <formula1>"G,U,L,NR,GU,UL,GL,GUL,LNR,ULNR,None"</formula1>
    </dataValidation>
    <dataValidation type="list" xr:uid="{F0EC5C1D-2C6A-44C7-B2BC-91D978564987}" sqref="I25" showErrorMessage="1" errorTitle="An invalid feedback was entered" error="Please choose feedback from drop down only.">
      <formula1>"G,U,L,NR,GU,UL,GL,GUL,LNR,ULNR,None"</formula1>
    </dataValidation>
    <dataValidation type="list" xr:uid="{E5CD52A4-5B46-4447-9A68-7872628A4B2D}" sqref="J25" showErrorMessage="1" errorTitle="An invalid feedback was entered" error="Please choose feedback from drop down only.">
      <formula1>"G,U,L,NR,GU,UL,GL,GUL,LNR,ULNR,None"</formula1>
    </dataValidation>
    <dataValidation type="list" xr:uid="{AA68FB74-4C83-41C7-A1FE-D89B01901C07}" sqref="K25" showErrorMessage="1" errorTitle="An invalid feedback was entered" error="Please choose feedback from drop down only.">
      <formula1>"G,U,L,NR,GU,UL,GL,GUL,LNR,ULNR,None"</formula1>
    </dataValidation>
    <dataValidation type="list" xr:uid="{BF2A7443-A38E-4037-B517-57A59140BA5F}" sqref="L25" showErrorMessage="1" errorTitle="An invalid feedback was entered" error="Please choose feedback from drop down only.">
      <formula1>"G,U,L,NR,GU,UL,GL,GUL,LNR,ULNR,None"</formula1>
    </dataValidation>
    <dataValidation type="list" xr:uid="{C019203B-D3F6-4771-8D93-020C37E31C5F}" sqref="M25" showErrorMessage="1" errorTitle="An invalid feedback was entered" error="Please choose feedback from drop down only.">
      <formula1>"G,U,L,NR,GU,UL,GL,GUL,LNR,ULNR,None"</formula1>
    </dataValidation>
    <dataValidation type="list" xr:uid="{9433EA21-7C48-4F24-9418-B5337990BCDE}" sqref="N25" showErrorMessage="1" errorTitle="An invalid feedback was entered" error="Please choose feedback from drop down only.">
      <formula1>"G,U,L,NR,GU,UL,GL,GUL,LNR,ULNR,None"</formula1>
    </dataValidation>
    <dataValidation type="list" xr:uid="{F86EC0AA-3995-4268-8C77-F0260B9B75C3}" sqref="O25" showErrorMessage="1" errorTitle="An invalid feedback was entered" error="Please choose feedback from drop down only.">
      <formula1>"G,U,L,NR,GU,UL,GL,GUL,LNR,ULNR,None"</formula1>
    </dataValidation>
    <dataValidation type="list" xr:uid="{5F7D30D1-42DD-4C90-865B-BD2D07C09912}" sqref="P25" showErrorMessage="1" errorTitle="An invalid feedback was entered" error="Please choose feedback from drop down only.">
      <formula1>"G,U,L,NR,GU,UL,GL,GUL,LNR,ULNR,None"</formula1>
    </dataValidation>
    <dataValidation type="list" xr:uid="{BF283032-6CD4-43EA-B339-4D66F0C9BD3E}" sqref="Q25" showErrorMessage="1" errorTitle="An invalid feedback was entered" error="Please choose feedback from drop down only.">
      <formula1>"G,U,L,NR,GU,UL,GL,GUL,LNR,ULNR,None"</formula1>
    </dataValidation>
    <dataValidation type="list" xr:uid="{AA543D13-B672-41A0-91F5-60D6F390E20C}" sqref="C37" showErrorMessage="1" errorTitle="An invalid feedback was entered" error="Please choose feedback from drop down only.">
      <formula1>"Yes,No,SASU,SASU/SASA,DCS/UMTS2100share,78210440,78211110,78210510,DTMA UMTS 12 ASIG,78211106,78210312,TMA 900 Tower amplifier,TMA900,MI-15832,MI-16331,MI-12731,MI-12031,N/A,Unknown,None"</formula1>
    </dataValidation>
    <dataValidation type="list" xr:uid="{982FE4BD-9DA4-4A25-ABAC-2C50116F1337}" sqref="D37" showErrorMessage="1" errorTitle="An invalid feedback was entered" error="Please choose feedback from drop down only.">
      <formula1>"Yes,No,SASU,SASU/SASA,DCS/UMTS2100share,78210440,78211110,78210510,DTMA UMTS 12 ASIG,78211106,78210312,TMA 900 Tower amplifier,TMA900,MI-15832,MI-16331,MI-12731,MI-12031,N/A,Unknown,None"</formula1>
    </dataValidation>
    <dataValidation type="list" xr:uid="{5EC9A0F6-D66B-4DE1-BA29-F427D85073AA}" sqref="E37" showErrorMessage="1" errorTitle="An invalid feedback was entered" error="Please choose feedback from drop down only.">
      <formula1>"Yes,No,SASU,SASU/SASA,DCS/UMTS2100share,78210440,78211110,78210510,DTMA UMTS 12 ASIG,78211106,78210312,TMA 900 Tower amplifier,TMA900,MI-15832,MI-16331,MI-12731,MI-12031,N/A,Unknown,None"</formula1>
    </dataValidation>
    <dataValidation type="list" xr:uid="{4A81C7A0-6860-4E8F-8F39-9601C0414386}" sqref="F37" showErrorMessage="1" errorTitle="An invalid feedback was entered" error="Please choose feedback from drop down only.">
      <formula1>"Yes,No,SASU,SASU/SASA,DCS/UMTS2100share,78210440,78211110,78210510,DTMA UMTS 12 ASIG,78211106,78210312,TMA 900 Tower amplifier,TMA900,MI-15832,MI-16331,MI-12731,MI-12031,N/A,Unknown,None"</formula1>
    </dataValidation>
    <dataValidation type="list" xr:uid="{A2EDC459-A13C-4A8B-B759-531194F01507}" sqref="G37" showErrorMessage="1" errorTitle="An invalid feedback was entered" error="Please choose feedback from drop down only.">
      <formula1>"Yes,No,SASU,SASU/SASA,DCS/UMTS2100share,78210440,78211110,78210510,DTMA UMTS 12 ASIG,78211106,78210312,TMA 900 Tower amplifier,TMA900,MI-15832,MI-16331,MI-12731,MI-12031,N/A,Unknown,None"</formula1>
    </dataValidation>
    <dataValidation type="list" xr:uid="{44188ABD-CDA4-48AC-ACC9-F1F85073978C}" sqref="H37" showErrorMessage="1" errorTitle="An invalid feedback was entered" error="Please choose feedback from drop down only.">
      <formula1>"Yes,No,SASU,SASU/SASA,DCS/UMTS2100share,78210440,78211110,78210510,DTMA UMTS 12 ASIG,78211106,78210312,TMA 900 Tower amplifier,TMA900,MI-15832,MI-16331,MI-12731,MI-12031,N/A,Unknown,None"</formula1>
    </dataValidation>
    <dataValidation type="list" xr:uid="{B2C19B8D-E3F4-46A0-9DF3-E87E1FB8EF65}" sqref="I37" showErrorMessage="1" errorTitle="An invalid feedback was entered" error="Please choose feedback from drop down only.">
      <formula1>"Yes,No,SASU,SASU/SASA,DCS/UMTS2100share,78210440,78211110,78210510,DTMA UMTS 12 ASIG,78211106,78210312,TMA 900 Tower amplifier,TMA900,MI-15832,MI-16331,MI-12731,MI-12031,N/A,Unknown,None"</formula1>
    </dataValidation>
    <dataValidation type="list" xr:uid="{DBF50BFA-B538-4D86-9AF1-14FAE9E47583}" sqref="J37" showErrorMessage="1" errorTitle="An invalid feedback was entered" error="Please choose feedback from drop down only.">
      <formula1>"Yes,No,SASU,SASU/SASA,DCS/UMTS2100share,78210440,78211110,78210510,DTMA UMTS 12 ASIG,78211106,78210312,TMA 900 Tower amplifier,TMA900,MI-15832,MI-16331,MI-12731,MI-12031,N/A,Unknown,None"</formula1>
    </dataValidation>
    <dataValidation type="list" xr:uid="{05547A28-E719-4B39-9549-0283B1916C5E}" sqref="K37" showErrorMessage="1" errorTitle="An invalid feedback was entered" error="Please choose feedback from drop down only.">
      <formula1>"Yes,No,SASU,SASU/SASA,DCS/UMTS2100share,78210440,78211110,78210510,DTMA UMTS 12 ASIG,78211106,78210312,TMA 900 Tower amplifier,TMA900,MI-15832,MI-16331,MI-12731,MI-12031,N/A,Unknown,None"</formula1>
    </dataValidation>
    <dataValidation type="list" xr:uid="{79E7E577-9C0E-4A39-AC6F-D237A40EE487}" sqref="L37" showErrorMessage="1" errorTitle="An invalid feedback was entered" error="Please choose feedback from drop down only.">
      <formula1>"Yes,No,SASU,SASU/SASA,DCS/UMTS2100share,78210440,78211110,78210510,DTMA UMTS 12 ASIG,78211106,78210312,TMA 900 Tower amplifier,TMA900,MI-15832,MI-16331,MI-12731,MI-12031,N/A,Unknown,None"</formula1>
    </dataValidation>
    <dataValidation type="list" xr:uid="{5A138660-4CC2-449C-90E3-2A5C2C3E1E4F}" sqref="M37" showErrorMessage="1" errorTitle="An invalid feedback was entered" error="Please choose feedback from drop down only.">
      <formula1>"Yes,No,SASU,SASU/SASA,DCS/UMTS2100share,78210440,78211110,78210510,DTMA UMTS 12 ASIG,78211106,78210312,TMA 900 Tower amplifier,TMA900,MI-15832,MI-16331,MI-12731,MI-12031,N/A,Unknown,None"</formula1>
    </dataValidation>
    <dataValidation type="list" xr:uid="{24F12934-7B40-45D6-98DF-A4DC13318746}" sqref="N37" showErrorMessage="1" errorTitle="An invalid feedback was entered" error="Please choose feedback from drop down only.">
      <formula1>"Yes,No,SASU,SASU/SASA,DCS/UMTS2100share,78210440,78211110,78210510,DTMA UMTS 12 ASIG,78211106,78210312,TMA 900 Tower amplifier,TMA900,MI-15832,MI-16331,MI-12731,MI-12031,N/A,Unknown,None"</formula1>
    </dataValidation>
    <dataValidation type="list" xr:uid="{BA84145F-6267-417E-939F-CC431EAB4F85}" sqref="O37" showErrorMessage="1" errorTitle="An invalid feedback was entered" error="Please choose feedback from drop down only.">
      <formula1>"Yes,No,SASU,SASU/SASA,DCS/UMTS2100share,78210440,78211110,78210510,DTMA UMTS 12 ASIG,78211106,78210312,TMA 900 Tower amplifier,TMA900,MI-15832,MI-16331,MI-12731,MI-12031,N/A,Unknown,None"</formula1>
    </dataValidation>
    <dataValidation type="list" xr:uid="{A3197EC0-7B61-457B-9C1B-9CA5E4913560}" sqref="P37" showErrorMessage="1" errorTitle="An invalid feedback was entered" error="Please choose feedback from drop down only.">
      <formula1>"Yes,No,SASU,SASU/SASA,DCS/UMTS2100share,78210440,78211110,78210510,DTMA UMTS 12 ASIG,78211106,78210312,TMA 900 Tower amplifier,TMA900,MI-15832,MI-16331,MI-12731,MI-12031,N/A,Unknown,None"</formula1>
    </dataValidation>
    <dataValidation type="list" xr:uid="{DABF3F82-CE1C-4873-AD8E-A6E3D167CC1A}" sqref="Q37" showErrorMessage="1" errorTitle="An invalid feedback was entered" error="Please choose feedback from drop down only.">
      <formula1>"Yes,No,SASU,SASU/SASA,DCS/UMTS2100share,78210440,78211110,78210510,DTMA UMTS 12 ASIG,78211106,78210312,TMA 900 Tower amplifier,TMA900,MI-15832,MI-16331,MI-12731,MI-12031,N/A,Unknown,None"</formula1>
    </dataValidation>
  </dataValidations>
  <pageMargins left="0.25" right="0.25" top="0.75" bottom="0.75" header="0.3" footer="0.3"/>
  <pageSetup paperSize="9" scale="56" fitToHeight="0" orientation="portrait"/>
  <headerFooter/>
  <extLst>
    <ext xmlns:x14="http://schemas.microsoft.com/office/spreadsheetml/2009/9/main" uri="{CCE6A557-97BC-4b89-ADB6-D9C93CAAB3DF}">
      <x14:dataValidations xmlns:xm="http://schemas.microsoft.com/office/excel/2006/main" count="60">
        <x14:dataValidation type="list" xr:uid="{EDDAFAFA-91DE-4519-8D14-22411419DD72}" error="Please choose feedback from drop down only." errorTitle="An invalid feedback was entered" showErrorMessage="1">
          <x14:formula1>
            <xm:f>Antennas!A:A</xm:f>
          </x14:formula1>
          <xm:sqref>C8</xm:sqref>
        </x14:dataValidation>
        <x14:dataValidation type="list" xr:uid="{1A4D30ED-6469-4CC0-AACA-3AA19ED0BA68}" error="Please choose feedback from drop down only." errorTitle="An invalid feedback was entered" showErrorMessage="1">
          <x14:formula1>
            <xm:f>Antennas!A:A</xm:f>
          </x14:formula1>
          <xm:sqref>D8</xm:sqref>
        </x14:dataValidation>
        <x14:dataValidation type="list" xr:uid="{07256D5B-3644-4F3D-BEBF-5336C2B15E2D}" error="Please choose feedback from drop down only." errorTitle="An invalid feedback was entered" showErrorMessage="1">
          <x14:formula1>
            <xm:f>Antennas!A:A</xm:f>
          </x14:formula1>
          <xm:sqref>E8</xm:sqref>
        </x14:dataValidation>
        <x14:dataValidation type="list" xr:uid="{040F8228-F2CF-49B5-A00F-CB619AA393BB}" error="Please choose feedback from drop down only." errorTitle="An invalid feedback was entered" showErrorMessage="1">
          <x14:formula1>
            <xm:f>Antennas!A:A</xm:f>
          </x14:formula1>
          <xm:sqref>F8</xm:sqref>
        </x14:dataValidation>
        <x14:dataValidation type="list" xr:uid="{04B2FC3D-26D8-47A0-B3E7-02AE388B9F48}" error="Please choose feedback from drop down only." errorTitle="An invalid feedback was entered" showErrorMessage="1">
          <x14:formula1>
            <xm:f>Antennas!A:A</xm:f>
          </x14:formula1>
          <xm:sqref>G8</xm:sqref>
        </x14:dataValidation>
        <x14:dataValidation type="list" xr:uid="{3C01AFF7-0D56-4F8E-8933-761F3F2A62BE}" error="Please choose feedback from drop down only." errorTitle="An invalid feedback was entered" showErrorMessage="1">
          <x14:formula1>
            <xm:f>Antennas!A:A</xm:f>
          </x14:formula1>
          <xm:sqref>H8</xm:sqref>
        </x14:dataValidation>
        <x14:dataValidation type="list" xr:uid="{F411A226-3ECE-49FC-BFE3-D81AA4CE9BE7}" error="Please choose feedback from drop down only." errorTitle="An invalid feedback was entered" showErrorMessage="1">
          <x14:formula1>
            <xm:f>Antennas!A:A</xm:f>
          </x14:formula1>
          <xm:sqref>I8</xm:sqref>
        </x14:dataValidation>
        <x14:dataValidation type="list" xr:uid="{9D05EEC2-C06E-49AE-93E8-B7FDE746A1BB}" error="Please choose feedback from drop down only." errorTitle="An invalid feedback was entered" showErrorMessage="1">
          <x14:formula1>
            <xm:f>Antennas!A:A</xm:f>
          </x14:formula1>
          <xm:sqref>J8</xm:sqref>
        </x14:dataValidation>
        <x14:dataValidation type="list" xr:uid="{6BDA5716-6ADE-4526-80F7-DBC85B04C1AF}" error="Please choose feedback from drop down only." errorTitle="An invalid feedback was entered" showErrorMessage="1">
          <x14:formula1>
            <xm:f>Antennas!A:A</xm:f>
          </x14:formula1>
          <xm:sqref>K8</xm:sqref>
        </x14:dataValidation>
        <x14:dataValidation type="list" xr:uid="{F1A884B6-781D-4977-975C-0BBE87EF21F9}" error="Please choose feedback from drop down only." errorTitle="An invalid feedback was entered" showErrorMessage="1">
          <x14:formula1>
            <xm:f>Antennas!A:A</xm:f>
          </x14:formula1>
          <xm:sqref>L8</xm:sqref>
        </x14:dataValidation>
        <x14:dataValidation type="list" xr:uid="{781B7B45-ADFD-4C5C-910D-7188E2DE751B}" error="Please choose feedback from drop down only." errorTitle="An invalid feedback was entered" showErrorMessage="1">
          <x14:formula1>
            <xm:f>Antennas!A:A</xm:f>
          </x14:formula1>
          <xm:sqref>M8</xm:sqref>
        </x14:dataValidation>
        <x14:dataValidation type="list" xr:uid="{B70B8B81-BA4D-4099-A2A6-0CAB77A4ED95}" error="Please choose feedback from drop down only." errorTitle="An invalid feedback was entered" showErrorMessage="1">
          <x14:formula1>
            <xm:f>Antennas!A:A</xm:f>
          </x14:formula1>
          <xm:sqref>N8</xm:sqref>
        </x14:dataValidation>
        <x14:dataValidation type="list" xr:uid="{C2057111-2431-46A2-9BE2-44BB4EFEE3F2}" error="Please choose feedback from drop down only." errorTitle="An invalid feedback was entered" showErrorMessage="1">
          <x14:formula1>
            <xm:f>Antennas!A:A</xm:f>
          </x14:formula1>
          <xm:sqref>O8</xm:sqref>
        </x14:dataValidation>
        <x14:dataValidation type="list" xr:uid="{6D2D7DC3-CAB9-431C-A542-2D177290A34E}" error="Please choose feedback from drop down only." errorTitle="An invalid feedback was entered" showErrorMessage="1">
          <x14:formula1>
            <xm:f>Antennas!A:A</xm:f>
          </x14:formula1>
          <xm:sqref>P8</xm:sqref>
        </x14:dataValidation>
        <x14:dataValidation type="list" xr:uid="{EDFAE185-5BB2-4DCF-8094-957202796F73}" error="Please choose feedback from drop down only." errorTitle="An invalid feedback was entered" showErrorMessage="1">
          <x14:formula1>
            <xm:f>Antennas!A:A</xm:f>
          </x14:formula1>
          <xm:sqref>Q8</xm:sqref>
        </x14:dataValidation>
        <x14:dataValidation type="list" xr:uid="{EA1463DD-59DC-45F4-BDE2-265DD3DF1EFF}" error="Please choose feedback from drop down only." errorTitle="An invalid feedback was entered" showErrorMessage="1">
          <x14:formula1>
            <xm:f>Combiners!A:A</xm:f>
          </x14:formula1>
          <xm:sqref>C39</xm:sqref>
        </x14:dataValidation>
        <x14:dataValidation type="list" xr:uid="{2C69CE93-84B6-4E6B-B255-EEE4E9308FB2}" error="Please choose feedback from drop down only." errorTitle="An invalid feedback was entered" showErrorMessage="1">
          <x14:formula1>
            <xm:f>Combiners!A:A</xm:f>
          </x14:formula1>
          <xm:sqref>D39</xm:sqref>
        </x14:dataValidation>
        <x14:dataValidation type="list" xr:uid="{3FE85AEC-39DE-4A24-9E48-0ACDC614EC56}" error="Please choose feedback from drop down only." errorTitle="An invalid feedback was entered" showErrorMessage="1">
          <x14:formula1>
            <xm:f>Combiners!A:A</xm:f>
          </x14:formula1>
          <xm:sqref>E39</xm:sqref>
        </x14:dataValidation>
        <x14:dataValidation type="list" xr:uid="{FD60BF8A-EC9D-48CF-83D1-64C6FF4A6FF7}" error="Please choose feedback from drop down only." errorTitle="An invalid feedback was entered" showErrorMessage="1">
          <x14:formula1>
            <xm:f>Combiners!A:A</xm:f>
          </x14:formula1>
          <xm:sqref>F39</xm:sqref>
        </x14:dataValidation>
        <x14:dataValidation type="list" xr:uid="{3BA3783E-8CB6-43DC-8C84-4FD5279A9DB1}" error="Please choose feedback from drop down only." errorTitle="An invalid feedback was entered" showErrorMessage="1">
          <x14:formula1>
            <xm:f>Combiners!A:A</xm:f>
          </x14:formula1>
          <xm:sqref>G39</xm:sqref>
        </x14:dataValidation>
        <x14:dataValidation type="list" xr:uid="{17D37B04-3CBF-4F2D-948D-5D7C4161BD0B}" error="Please choose feedback from drop down only." errorTitle="An invalid feedback was entered" showErrorMessage="1">
          <x14:formula1>
            <xm:f>Combiners!A:A</xm:f>
          </x14:formula1>
          <xm:sqref>H39</xm:sqref>
        </x14:dataValidation>
        <x14:dataValidation type="list" xr:uid="{21B0175E-DDDE-4D52-B254-5632E6C36362}" error="Please choose feedback from drop down only." errorTitle="An invalid feedback was entered" showErrorMessage="1">
          <x14:formula1>
            <xm:f>Combiners!A:A</xm:f>
          </x14:formula1>
          <xm:sqref>I39</xm:sqref>
        </x14:dataValidation>
        <x14:dataValidation type="list" xr:uid="{2945B31C-1F4D-4F8A-A889-E648E7F5AA86}" error="Please choose feedback from drop down only." errorTitle="An invalid feedback was entered" showErrorMessage="1">
          <x14:formula1>
            <xm:f>Combiners!A:A</xm:f>
          </x14:formula1>
          <xm:sqref>J39</xm:sqref>
        </x14:dataValidation>
        <x14:dataValidation type="list" xr:uid="{B31E1A61-D8D2-4E3F-8440-A6B995D8396F}" error="Please choose feedback from drop down only." errorTitle="An invalid feedback was entered" showErrorMessage="1">
          <x14:formula1>
            <xm:f>Combiners!A:A</xm:f>
          </x14:formula1>
          <xm:sqref>K39</xm:sqref>
        </x14:dataValidation>
        <x14:dataValidation type="list" xr:uid="{434A7DF0-BF2A-45D4-83D6-B00C70A266D0}" error="Please choose feedback from drop down only." errorTitle="An invalid feedback was entered" showErrorMessage="1">
          <x14:formula1>
            <xm:f>Combiners!A:A</xm:f>
          </x14:formula1>
          <xm:sqref>L39</xm:sqref>
        </x14:dataValidation>
        <x14:dataValidation type="list" xr:uid="{746282A0-3EE6-4F1B-9EB2-65845619E98B}" error="Please choose feedback from drop down only." errorTitle="An invalid feedback was entered" showErrorMessage="1">
          <x14:formula1>
            <xm:f>Combiners!A:A</xm:f>
          </x14:formula1>
          <xm:sqref>M39</xm:sqref>
        </x14:dataValidation>
        <x14:dataValidation type="list" xr:uid="{1802436C-586A-4F23-8536-469D9D9690D2}" error="Please choose feedback from drop down only." errorTitle="An invalid feedback was entered" showErrorMessage="1">
          <x14:formula1>
            <xm:f>Combiners!A:A</xm:f>
          </x14:formula1>
          <xm:sqref>N39</xm:sqref>
        </x14:dataValidation>
        <x14:dataValidation type="list" xr:uid="{7B8D6AC5-5BFB-433E-836F-75880B49AA50}" error="Please choose feedback from drop down only." errorTitle="An invalid feedback was entered" showErrorMessage="1">
          <x14:formula1>
            <xm:f>Combiners!A:A</xm:f>
          </x14:formula1>
          <xm:sqref>O39</xm:sqref>
        </x14:dataValidation>
        <x14:dataValidation type="list" xr:uid="{C6FAEF4E-23D0-4984-A982-C0962C0D0EAA}" error="Please choose feedback from drop down only." errorTitle="An invalid feedback was entered" showErrorMessage="1">
          <x14:formula1>
            <xm:f>Combiners!A:A</xm:f>
          </x14:formula1>
          <xm:sqref>P39</xm:sqref>
        </x14:dataValidation>
        <x14:dataValidation type="list" xr:uid="{D7A1C236-0751-498D-B64A-8221C6FA4570}" error="Please choose feedback from drop down only." errorTitle="An invalid feedback was entered" showErrorMessage="1">
          <x14:formula1>
            <xm:f>Combiners!A:A</xm:f>
          </x14:formula1>
          <xm:sqref>Q39</xm:sqref>
        </x14:dataValidation>
        <x14:dataValidation type="list" xr:uid="{C66A8C8B-914F-43AD-AA87-D9DD0A100DB1}" error="Please choose feedback from drop down only." errorTitle="An invalid feedback was entered" showErrorMessage="0">
          <x14:formula1>
            <xm:f>RRUs!A:A</xm:f>
          </x14:formula1>
          <xm:sqref>C35</xm:sqref>
        </x14:dataValidation>
        <x14:dataValidation type="list" xr:uid="{760CEA0F-4BE7-4643-8451-9464F4F5FEEB}" error="Please choose feedback from drop down only." errorTitle="An invalid feedback was entered" showErrorMessage="0">
          <x14:formula1>
            <xm:f>RRUs!A:A</xm:f>
          </x14:formula1>
          <xm:sqref>D35</xm:sqref>
        </x14:dataValidation>
        <x14:dataValidation type="list" xr:uid="{73B47836-EF85-4D76-A213-7FC00E61BBCE}" error="Please choose feedback from drop down only." errorTitle="An invalid feedback was entered" showErrorMessage="0">
          <x14:formula1>
            <xm:f>RRUs!A:A</xm:f>
          </x14:formula1>
          <xm:sqref>E35</xm:sqref>
        </x14:dataValidation>
        <x14:dataValidation type="list" xr:uid="{E1750D98-1323-4BFE-990B-D2FB48583050}" error="Please choose feedback from drop down only." errorTitle="An invalid feedback was entered" showErrorMessage="0">
          <x14:formula1>
            <xm:f>RRUs!A:A</xm:f>
          </x14:formula1>
          <xm:sqref>F35</xm:sqref>
        </x14:dataValidation>
        <x14:dataValidation type="list" xr:uid="{58BAAF3B-824B-400F-BD02-3B25B70EC539}" error="Please choose feedback from drop down only." errorTitle="An invalid feedback was entered" showErrorMessage="0">
          <x14:formula1>
            <xm:f>RRUs!A:A</xm:f>
          </x14:formula1>
          <xm:sqref>G35</xm:sqref>
        </x14:dataValidation>
        <x14:dataValidation type="list" xr:uid="{D05F6CE9-CA53-4A06-9F49-436B887C4A29}" error="Please choose feedback from drop down only." errorTitle="An invalid feedback was entered" showErrorMessage="0">
          <x14:formula1>
            <xm:f>RRUs!A:A</xm:f>
          </x14:formula1>
          <xm:sqref>H35</xm:sqref>
        </x14:dataValidation>
        <x14:dataValidation type="list" xr:uid="{C72F3CAD-7B43-4B0B-B9F1-2ABF222FB497}" error="Please choose feedback from drop down only." errorTitle="An invalid feedback was entered" showErrorMessage="0">
          <x14:formula1>
            <xm:f>RRUs!A:A</xm:f>
          </x14:formula1>
          <xm:sqref>I35</xm:sqref>
        </x14:dataValidation>
        <x14:dataValidation type="list" xr:uid="{611989CA-6E4C-44DD-9528-7AB94A7639F5}" error="Please choose feedback from drop down only." errorTitle="An invalid feedback was entered" showErrorMessage="0">
          <x14:formula1>
            <xm:f>RRUs!A:A</xm:f>
          </x14:formula1>
          <xm:sqref>J35</xm:sqref>
        </x14:dataValidation>
        <x14:dataValidation type="list" xr:uid="{826F2DBE-21C6-4FE5-BBBA-BA86007602E2}" error="Please choose feedback from drop down only." errorTitle="An invalid feedback was entered" showErrorMessage="0">
          <x14:formula1>
            <xm:f>RRUs!A:A</xm:f>
          </x14:formula1>
          <xm:sqref>K35</xm:sqref>
        </x14:dataValidation>
        <x14:dataValidation type="list" xr:uid="{B5B86F17-778C-4498-8F4A-BE3F6688E533}" error="Please choose feedback from drop down only." errorTitle="An invalid feedback was entered" showErrorMessage="0">
          <x14:formula1>
            <xm:f>RRUs!A:A</xm:f>
          </x14:formula1>
          <xm:sqref>L35</xm:sqref>
        </x14:dataValidation>
        <x14:dataValidation type="list" xr:uid="{FD1C1CE5-BF72-4A8B-835B-9D90C6960E63}" error="Please choose feedback from drop down only." errorTitle="An invalid feedback was entered" showErrorMessage="0">
          <x14:formula1>
            <xm:f>RRUs!A:A</xm:f>
          </x14:formula1>
          <xm:sqref>M35</xm:sqref>
        </x14:dataValidation>
        <x14:dataValidation type="list" xr:uid="{2A1815FD-FFB6-4EBD-A2B1-94E1F2CF7D4B}" error="Please choose feedback from drop down only." errorTitle="An invalid feedback was entered" showErrorMessage="0">
          <x14:formula1>
            <xm:f>RRUs!A:A</xm:f>
          </x14:formula1>
          <xm:sqref>N35</xm:sqref>
        </x14:dataValidation>
        <x14:dataValidation type="list" xr:uid="{AF63655E-65F0-4EE2-A6CE-427ED1D2B9CF}" error="Please choose feedback from drop down only." errorTitle="An invalid feedback was entered" showErrorMessage="0">
          <x14:formula1>
            <xm:f>RRUs!A:A</xm:f>
          </x14:formula1>
          <xm:sqref>O35</xm:sqref>
        </x14:dataValidation>
        <x14:dataValidation type="list" xr:uid="{9C59F2FB-E8BD-4FA0-A276-D2E9D7331A04}" error="Please choose feedback from drop down only." errorTitle="An invalid feedback was entered" showErrorMessage="0">
          <x14:formula1>
            <xm:f>RRUs!A:A</xm:f>
          </x14:formula1>
          <xm:sqref>P35</xm:sqref>
        </x14:dataValidation>
        <x14:dataValidation type="list" xr:uid="{7D67E42F-86C1-42E4-9F48-B4D4F52768DB}" error="Please choose feedback from drop down only." errorTitle="An invalid feedback was entered" showErrorMessage="0">
          <x14:formula1>
            <xm:f>RRUs!A:A</xm:f>
          </x14:formula1>
          <xm:sqref>Q35</xm:sqref>
        </x14:dataValidation>
        <x14:dataValidation type="list" xr:uid="{1172331A-657B-4C40-8580-CBD42C976EC5}" error="Please choose feedback from drop down only." errorTitle="An invalid feedback was entered" showErrorMessage="1">
          <x14:formula1>
            <xm:f>Combiners!A:A</xm:f>
          </x14:formula1>
          <xm:sqref>C41</xm:sqref>
        </x14:dataValidation>
        <x14:dataValidation type="list" xr:uid="{38F3EE0F-6905-4E2F-A852-49616BB0EC64}" error="Please choose feedback from drop down only." errorTitle="An invalid feedback was entered" showErrorMessage="1">
          <x14:formula1>
            <xm:f>Combiners!A:A</xm:f>
          </x14:formula1>
          <xm:sqref>D41</xm:sqref>
        </x14:dataValidation>
        <x14:dataValidation type="list" xr:uid="{8669B9E9-5A22-44B0-A954-A30A8DA3745A}" error="Please choose feedback from drop down only." errorTitle="An invalid feedback was entered" showErrorMessage="1">
          <x14:formula1>
            <xm:f>Combiners!A:A</xm:f>
          </x14:formula1>
          <xm:sqref>E41</xm:sqref>
        </x14:dataValidation>
        <x14:dataValidation type="list" xr:uid="{02BF0D75-2871-4E5B-B0B9-07D4AFCFF75A}" error="Please choose feedback from drop down only." errorTitle="An invalid feedback was entered" showErrorMessage="1">
          <x14:formula1>
            <xm:f>Combiners!A:A</xm:f>
          </x14:formula1>
          <xm:sqref>F41</xm:sqref>
        </x14:dataValidation>
        <x14:dataValidation type="list" xr:uid="{9F577406-78A5-47D9-9009-A290E957672B}" error="Please choose feedback from drop down only." errorTitle="An invalid feedback was entered" showErrorMessage="1">
          <x14:formula1>
            <xm:f>Combiners!A:A</xm:f>
          </x14:formula1>
          <xm:sqref>G41</xm:sqref>
        </x14:dataValidation>
        <x14:dataValidation type="list" xr:uid="{50375130-C945-4A19-B473-31D3E12B8BBA}" error="Please choose feedback from drop down only." errorTitle="An invalid feedback was entered" showErrorMessage="1">
          <x14:formula1>
            <xm:f>Combiners!A:A</xm:f>
          </x14:formula1>
          <xm:sqref>H41</xm:sqref>
        </x14:dataValidation>
        <x14:dataValidation type="list" xr:uid="{CE207A9B-FEAE-4D3A-9C7D-8A34607DC9AE}" error="Please choose feedback from drop down only." errorTitle="An invalid feedback was entered" showErrorMessage="1">
          <x14:formula1>
            <xm:f>Combiners!A:A</xm:f>
          </x14:formula1>
          <xm:sqref>I41</xm:sqref>
        </x14:dataValidation>
        <x14:dataValidation type="list" xr:uid="{7814A116-D177-4410-9867-09FE50496063}" error="Please choose feedback from drop down only." errorTitle="An invalid feedback was entered" showErrorMessage="1">
          <x14:formula1>
            <xm:f>Combiners!A:A</xm:f>
          </x14:formula1>
          <xm:sqref>J41</xm:sqref>
        </x14:dataValidation>
        <x14:dataValidation type="list" xr:uid="{F54C247F-393F-476E-959C-7F13E1D54A73}" error="Please choose feedback from drop down only." errorTitle="An invalid feedback was entered" showErrorMessage="1">
          <x14:formula1>
            <xm:f>Combiners!A:A</xm:f>
          </x14:formula1>
          <xm:sqref>K41</xm:sqref>
        </x14:dataValidation>
        <x14:dataValidation type="list" xr:uid="{DB322623-8708-4F3D-8225-6F9952738CFF}" error="Please choose feedback from drop down only." errorTitle="An invalid feedback was entered" showErrorMessage="1">
          <x14:formula1>
            <xm:f>Combiners!A:A</xm:f>
          </x14:formula1>
          <xm:sqref>L41</xm:sqref>
        </x14:dataValidation>
        <x14:dataValidation type="list" xr:uid="{C3367015-1002-447A-A949-D6DE4617307D}" error="Please choose feedback from drop down only." errorTitle="An invalid feedback was entered" showErrorMessage="1">
          <x14:formula1>
            <xm:f>Combiners!A:A</xm:f>
          </x14:formula1>
          <xm:sqref>M41</xm:sqref>
        </x14:dataValidation>
        <x14:dataValidation type="list" xr:uid="{14DBDA03-C276-4F1D-A270-EB2D8B36BF11}" error="Please choose feedback from drop down only." errorTitle="An invalid feedback was entered" showErrorMessage="1">
          <x14:formula1>
            <xm:f>Combiners!A:A</xm:f>
          </x14:formula1>
          <xm:sqref>N41</xm:sqref>
        </x14:dataValidation>
        <x14:dataValidation type="list" xr:uid="{E1E9A006-34B3-47AC-B4F0-8838AA9D7F89}" error="Please choose feedback from drop down only." errorTitle="An invalid feedback was entered" showErrorMessage="1">
          <x14:formula1>
            <xm:f>Combiners!A:A</xm:f>
          </x14:formula1>
          <xm:sqref>O41</xm:sqref>
        </x14:dataValidation>
        <x14:dataValidation type="list" xr:uid="{69AF0240-59AD-40F7-B6C8-4AE4F63DD8E1}" error="Please choose feedback from drop down only." errorTitle="An invalid feedback was entered" showErrorMessage="1">
          <x14:formula1>
            <xm:f>Combiners!A:A</xm:f>
          </x14:formula1>
          <xm:sqref>P41</xm:sqref>
        </x14:dataValidation>
        <x14:dataValidation type="list" xr:uid="{17FD15BA-9DCE-4DC3-8F72-9F6192D95175}" error="Please choose feedback from drop down only." errorTitle="An invalid feedback was entered" showErrorMessage="1">
          <x14:formula1>
            <xm:f>Combiners!A:A</xm:f>
          </x14:formula1>
          <xm:sqref>Q41</xm:sqref>
        </x14:dataValidation>
      </x14:dataValidations>
    </ext>
  </extLst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mc:Ignorable="x14ac xr">
  <sheetPr codeName="Sheet5">
    <pageSetUpPr fitToPage="1"/>
  </sheetPr>
  <dimension ref="A1:U45"/>
  <sheetViews>
    <sheetView zoomScale="90" zoomScaleNormal="90" workbookViewId="0">
      <selection sqref="A1:B1"/>
    </sheetView>
  </sheetViews>
  <sheetFormatPr defaultColWidth="9.1328125" defaultRowHeight="12.75"/>
  <cols>
    <col min="1" max="1" bestFit="1" width="10.265625" customWidth="1" style="6"/>
    <col min="2" max="2" bestFit="1" width="40.1328125" customWidth="1" style="7"/>
    <col min="3" max="7" width="9.1328125" customWidth="1" style="21"/>
    <col min="8" max="8" bestFit="1" width="9.3984375" customWidth="1" style="21"/>
    <col min="9" max="16384" width="9.1328125" customWidth="1" style="21"/>
  </cols>
  <sheetData>
    <row r="1" ht="25.15" customHeight="1">
      <c r="A1" s="197">
        <f>Common!B2</f>
        <v>0</v>
      </c>
      <c r="B1" s="266"/>
      <c r="C1" s="258" t="s">
        <v>109</v>
      </c>
      <c r="D1" s="258"/>
      <c r="E1" s="258"/>
      <c r="F1" s="258"/>
      <c r="G1" s="258"/>
      <c r="H1" s="258"/>
      <c r="I1" s="258"/>
      <c r="J1" s="258"/>
      <c r="K1" s="258"/>
      <c r="L1" s="258"/>
      <c r="M1" s="258"/>
      <c r="N1" s="258"/>
      <c r="O1" s="258"/>
      <c r="P1" s="259"/>
    </row>
    <row r="2" ht="18">
      <c r="A2" s="33"/>
      <c r="B2" s="14" t="s">
        <v>1</v>
      </c>
      <c r="C2" s="217">
        <v>1</v>
      </c>
      <c r="D2" s="251"/>
      <c r="E2" s="251"/>
      <c r="F2" s="251"/>
      <c r="G2" s="251"/>
      <c r="H2" s="219"/>
      <c r="I2" s="252">
        <v>2</v>
      </c>
      <c r="J2" s="253"/>
      <c r="K2" s="253"/>
      <c r="L2" s="254"/>
      <c r="M2" s="252">
        <v>3</v>
      </c>
      <c r="N2" s="253"/>
      <c r="O2" s="255"/>
      <c r="P2" s="72">
        <v>4</v>
      </c>
    </row>
    <row r="3" ht="17.25">
      <c r="A3" s="241"/>
      <c r="B3" s="12" t="s">
        <v>2</v>
      </c>
      <c r="C3" s="226"/>
      <c r="D3" s="227"/>
      <c r="E3" s="227"/>
      <c r="F3" s="227"/>
      <c r="G3" s="227"/>
      <c r="H3" s="227"/>
      <c r="I3" s="227"/>
      <c r="J3" s="227"/>
      <c r="K3" s="227"/>
      <c r="L3" s="227"/>
      <c r="M3" s="227"/>
      <c r="N3" s="227"/>
      <c r="O3" s="227"/>
      <c r="P3" s="228"/>
    </row>
    <row r="4" ht="25.15" s="22" customFormat="1">
      <c r="A4" s="241"/>
      <c r="B4" s="9" t="s">
        <v>3</v>
      </c>
      <c r="C4" s="248"/>
      <c r="D4" s="249"/>
      <c r="E4" s="249"/>
      <c r="F4" s="249"/>
      <c r="G4" s="249"/>
      <c r="H4" s="249"/>
      <c r="I4" s="249"/>
      <c r="J4" s="249"/>
      <c r="K4" s="249"/>
      <c r="L4" s="249"/>
      <c r="M4" s="249"/>
      <c r="N4" s="249"/>
      <c r="O4" s="249"/>
      <c r="P4" s="250"/>
    </row>
    <row r="5" ht="24.75">
      <c r="A5" s="241"/>
      <c r="B5" s="13" t="s">
        <v>4</v>
      </c>
      <c r="C5" s="263"/>
      <c r="D5" s="264"/>
      <c r="E5" s="264"/>
      <c r="F5" s="264"/>
      <c r="G5" s="264"/>
      <c r="H5" s="264"/>
      <c r="I5" s="264"/>
      <c r="J5" s="264"/>
      <c r="K5" s="264"/>
      <c r="L5" s="264"/>
      <c r="M5" s="264"/>
      <c r="N5" s="264"/>
      <c r="O5" s="264"/>
      <c r="P5" s="265"/>
    </row>
    <row r="6" ht="25.15" s="22" customFormat="1">
      <c r="A6" s="241"/>
      <c r="B6" s="32" t="s">
        <v>5</v>
      </c>
      <c r="C6" s="248"/>
      <c r="D6" s="249"/>
      <c r="E6" s="249"/>
      <c r="F6" s="249"/>
      <c r="G6" s="249"/>
      <c r="H6" s="249"/>
      <c r="I6" s="249"/>
      <c r="J6" s="249"/>
      <c r="K6" s="249"/>
      <c r="L6" s="249"/>
      <c r="M6" s="249"/>
      <c r="N6" s="249"/>
      <c r="O6" s="249"/>
      <c r="P6" s="250"/>
    </row>
    <row r="7" ht="17.25">
      <c r="A7" s="241"/>
      <c r="B7" s="8" t="s">
        <v>6</v>
      </c>
      <c r="C7" s="226"/>
      <c r="D7" s="227"/>
      <c r="E7" s="227"/>
      <c r="F7" s="227"/>
      <c r="G7" s="227"/>
      <c r="H7" s="228"/>
      <c r="I7" s="227"/>
      <c r="J7" s="227"/>
      <c r="K7" s="227"/>
      <c r="L7" s="228"/>
      <c r="M7" s="227"/>
      <c r="N7" s="227"/>
      <c r="O7" s="228"/>
      <c r="P7" s="90"/>
    </row>
    <row r="8" ht="17.65" s="22" customFormat="1">
      <c r="A8" s="241"/>
      <c r="B8" s="9" t="s">
        <v>8</v>
      </c>
      <c r="C8" s="229"/>
      <c r="D8" s="230"/>
      <c r="E8" s="230"/>
      <c r="F8" s="230"/>
      <c r="G8" s="230"/>
      <c r="H8" s="231"/>
      <c r="I8" s="229"/>
      <c r="J8" s="230"/>
      <c r="K8" s="230"/>
      <c r="L8" s="231"/>
      <c r="M8" s="229"/>
      <c r="N8" s="230"/>
      <c r="O8" s="231"/>
      <c r="P8" s="74"/>
    </row>
    <row r="9" ht="17.25">
      <c r="A9" s="241"/>
      <c r="B9" s="8" t="s">
        <v>9</v>
      </c>
      <c r="C9" s="211"/>
      <c r="D9" s="212"/>
      <c r="E9" s="212"/>
      <c r="F9" s="212"/>
      <c r="G9" s="212"/>
      <c r="H9" s="213"/>
      <c r="I9" s="212"/>
      <c r="J9" s="212"/>
      <c r="K9" s="212"/>
      <c r="L9" s="213"/>
      <c r="M9" s="212"/>
      <c r="N9" s="212"/>
      <c r="O9" s="213"/>
      <c r="P9" s="73"/>
    </row>
    <row r="10" ht="17.65" s="22" customFormat="1">
      <c r="A10" s="241"/>
      <c r="B10" s="10" t="s">
        <v>11</v>
      </c>
      <c r="C10" s="229"/>
      <c r="D10" s="230"/>
      <c r="E10" s="230"/>
      <c r="F10" s="230"/>
      <c r="G10" s="230"/>
      <c r="H10" s="231"/>
      <c r="I10" s="229"/>
      <c r="J10" s="230"/>
      <c r="K10" s="230"/>
      <c r="L10" s="231"/>
      <c r="M10" s="229"/>
      <c r="N10" s="230"/>
      <c r="O10" s="231"/>
      <c r="P10" s="74"/>
    </row>
    <row r="11" ht="17.25">
      <c r="A11" s="241"/>
      <c r="B11" s="8" t="s">
        <v>12</v>
      </c>
      <c r="C11" s="211"/>
      <c r="D11" s="212"/>
      <c r="E11" s="212"/>
      <c r="F11" s="212"/>
      <c r="G11" s="212"/>
      <c r="H11" s="213"/>
      <c r="I11" s="212"/>
      <c r="J11" s="212"/>
      <c r="K11" s="212"/>
      <c r="L11" s="213"/>
      <c r="M11" s="212"/>
      <c r="N11" s="212"/>
      <c r="O11" s="213"/>
      <c r="P11" s="73"/>
    </row>
    <row r="12" ht="17.65" s="22" customFormat="1">
      <c r="A12" s="241"/>
      <c r="B12" s="10" t="s">
        <v>13</v>
      </c>
      <c r="C12" s="214"/>
      <c r="D12" s="215"/>
      <c r="E12" s="215"/>
      <c r="F12" s="215"/>
      <c r="G12" s="215"/>
      <c r="H12" s="216"/>
      <c r="I12" s="214"/>
      <c r="J12" s="215"/>
      <c r="K12" s="215"/>
      <c r="L12" s="216"/>
      <c r="M12" s="214"/>
      <c r="N12" s="215"/>
      <c r="O12" s="216"/>
      <c r="P12" s="74"/>
    </row>
    <row r="13" ht="17.25">
      <c r="A13" s="241"/>
      <c r="B13" s="8" t="s">
        <v>14</v>
      </c>
      <c r="C13" s="211"/>
      <c r="D13" s="212"/>
      <c r="E13" s="212"/>
      <c r="F13" s="212"/>
      <c r="G13" s="212"/>
      <c r="H13" s="213"/>
      <c r="I13" s="212"/>
      <c r="J13" s="212"/>
      <c r="K13" s="212"/>
      <c r="L13" s="213"/>
      <c r="M13" s="212"/>
      <c r="N13" s="212"/>
      <c r="O13" s="213"/>
      <c r="P13" s="73"/>
    </row>
    <row r="14" ht="17.65" s="22" customFormat="1">
      <c r="A14" s="241"/>
      <c r="B14" s="10" t="s">
        <v>15</v>
      </c>
      <c r="C14" s="208"/>
      <c r="D14" s="209"/>
      <c r="E14" s="209"/>
      <c r="F14" s="209"/>
      <c r="G14" s="209"/>
      <c r="H14" s="210"/>
      <c r="I14" s="208"/>
      <c r="J14" s="209"/>
      <c r="K14" s="209"/>
      <c r="L14" s="210"/>
      <c r="M14" s="208"/>
      <c r="N14" s="209"/>
      <c r="O14" s="210"/>
      <c r="P14" s="81"/>
    </row>
    <row r="15" ht="17.25">
      <c r="A15" s="241"/>
      <c r="B15" s="8" t="s">
        <v>16</v>
      </c>
      <c r="C15" s="211"/>
      <c r="D15" s="212"/>
      <c r="E15" s="212"/>
      <c r="F15" s="212"/>
      <c r="G15" s="212"/>
      <c r="H15" s="213"/>
      <c r="I15" s="212"/>
      <c r="J15" s="212"/>
      <c r="K15" s="212"/>
      <c r="L15" s="213"/>
      <c r="M15" s="212"/>
      <c r="N15" s="212"/>
      <c r="O15" s="213"/>
      <c r="P15" s="80"/>
    </row>
    <row r="16" ht="17.25" s="22" customFormat="1">
      <c r="A16" s="241"/>
      <c r="B16" s="68" t="s">
        <v>17</v>
      </c>
      <c r="C16" s="199"/>
      <c r="D16" s="200"/>
      <c r="E16" s="200"/>
      <c r="F16" s="200"/>
      <c r="G16" s="200"/>
      <c r="H16" s="201"/>
      <c r="I16" s="202"/>
      <c r="J16" s="203"/>
      <c r="K16" s="203"/>
      <c r="L16" s="204"/>
      <c r="M16" s="202"/>
      <c r="N16" s="203"/>
      <c r="O16" s="204"/>
      <c r="P16" s="75"/>
    </row>
    <row r="17" ht="17.25">
      <c r="A17" s="256"/>
      <c r="B17" s="70" t="s">
        <v>18</v>
      </c>
      <c r="C17" s="65" t="s">
        <v>19</v>
      </c>
      <c r="D17" s="65" t="s">
        <v>20</v>
      </c>
      <c r="E17" s="65" t="s">
        <v>21</v>
      </c>
      <c r="F17" s="65" t="s">
        <v>22</v>
      </c>
      <c r="G17" s="65" t="s">
        <v>23</v>
      </c>
      <c r="H17" s="65" t="s">
        <v>24</v>
      </c>
      <c r="I17" s="65" t="s">
        <v>19</v>
      </c>
      <c r="J17" s="65" t="s">
        <v>20</v>
      </c>
      <c r="K17" s="65" t="s">
        <v>21</v>
      </c>
      <c r="L17" s="65" t="s">
        <v>22</v>
      </c>
      <c r="M17" s="65" t="s">
        <v>19</v>
      </c>
      <c r="N17" s="65" t="s">
        <v>20</v>
      </c>
      <c r="O17" s="65" t="s">
        <v>21</v>
      </c>
      <c r="P17" s="76" t="s">
        <v>19</v>
      </c>
    </row>
    <row r="18" ht="17.25">
      <c r="A18" s="256"/>
      <c r="B18" s="70" t="s">
        <v>25</v>
      </c>
      <c r="C18" s="63"/>
      <c r="D18" s="64"/>
      <c r="E18" s="64"/>
      <c r="F18" s="64"/>
      <c r="G18" s="64"/>
      <c r="H18" s="65"/>
      <c r="I18" s="63"/>
      <c r="J18" s="64"/>
      <c r="K18" s="64"/>
      <c r="L18" s="65"/>
      <c r="M18" s="63"/>
      <c r="N18" s="64"/>
      <c r="O18" s="65"/>
      <c r="P18" s="77"/>
    </row>
    <row r="19" ht="17.25">
      <c r="A19" s="256"/>
      <c r="B19" s="71" t="s">
        <v>32</v>
      </c>
      <c r="C19" s="99">
        <f>VLOOKUP(C8,AntennasPortName!A:H,2,FALSE)</f>
      </c>
      <c r="D19" s="99">
        <f>VLOOKUP(C8,AntennasPortName!A:H,3,FALSE)</f>
      </c>
      <c r="E19" s="99">
        <f>VLOOKUP(C8,AntennasPortName!A:H,4,FALSE)</f>
      </c>
      <c r="F19" s="99">
        <f>VLOOKUP(C8,AntennasPortName!A:H,5,FALSE)</f>
      </c>
      <c r="G19" s="99">
        <f>VLOOKUP(C8,AntennasPortName!A:H,6,FALSE)</f>
      </c>
      <c r="H19" s="99">
        <f>VLOOKUP(C8,AntennasPortName!A:H,7,FALSE)</f>
      </c>
      <c r="I19" s="99">
        <f>VLOOKUP(I8,AntennasPortName!A:H,2,FALSE)</f>
      </c>
      <c r="J19" s="99">
        <f>VLOOKUP(I8,AntennasPortName!A:H,3,FALSE)</f>
      </c>
      <c r="K19" s="99">
        <f>VLOOKUP(I8,AntennasPortName!A:H,4,FALSE)</f>
      </c>
      <c r="L19" s="99">
        <f>VLOOKUP(I8,AntennasPortName!A:H,5,FALSE)</f>
      </c>
      <c r="M19" s="99">
        <f>VLOOKUP(M8,AntennasPortName!A:H,2,FALSE)</f>
      </c>
      <c r="N19" s="99">
        <f>VLOOKUP(M8,AntennasPortName!A:H,3,FALSE)</f>
      </c>
      <c r="O19" s="99">
        <f>VLOOKUP(M8,AntennasPortName!A:H,4,FALSE)</f>
      </c>
      <c r="P19" s="99">
        <f>VLOOKUP(P8,AntennasPortName!A:H,2,FALSE)</f>
      </c>
    </row>
    <row r="20" ht="17.25">
      <c r="A20" s="241"/>
      <c r="B20" s="69" t="s">
        <v>33</v>
      </c>
      <c r="C20" s="61"/>
      <c r="D20" s="62"/>
      <c r="E20" s="62"/>
      <c r="F20" s="62"/>
      <c r="G20" s="62"/>
      <c r="H20" s="62"/>
      <c r="I20" s="61"/>
      <c r="J20" s="62"/>
      <c r="K20" s="62"/>
      <c r="L20" s="66"/>
      <c r="M20" s="67"/>
      <c r="N20" s="62"/>
      <c r="O20" s="66"/>
      <c r="P20" s="66"/>
    </row>
    <row r="21" ht="17.65">
      <c r="A21" s="241"/>
      <c r="B21" s="18" t="s">
        <v>36</v>
      </c>
      <c r="C21" s="42">
        <f>VLOOKUP(C8,Antennas!A:H,2,FALSE)</f>
      </c>
      <c r="D21" s="43">
        <f>VLOOKUP(C8,Antennas!A:H,3,FALSE)</f>
      </c>
      <c r="E21" s="43">
        <f>VLOOKUP(C8,Antennas!A:H,4,FALSE)</f>
      </c>
      <c r="F21" s="43">
        <f>VLOOKUP(C8,Antennas!A:H,5,FALSE)</f>
      </c>
      <c r="G21" s="43">
        <f>VLOOKUP(C8,Antennas!A:H,6,FALSE)</f>
      </c>
      <c r="H21" s="43">
        <f>VLOOKUP(C8,Antennas!A:H,7,FALSE)</f>
      </c>
      <c r="I21" s="43">
        <f>VLOOKUP(I8,Antennas!A:H,2,FALSE)</f>
      </c>
      <c r="J21" s="43">
        <f>VLOOKUP(I8,Antennas!A:H,3,FALSE)</f>
      </c>
      <c r="K21" s="43">
        <f>VLOOKUP(I8,Antennas!A:H,4,FALSE)</f>
      </c>
      <c r="L21" s="44">
        <f>VLOOKUP(I8,Antennas!A:H,5,FALSE)</f>
      </c>
      <c r="M21" s="45">
        <f>VLOOKUP(M8,Antennas!A:H,2,FALSE)</f>
      </c>
      <c r="N21" s="43">
        <f>VLOOKUP(M8,Antennas!A:H,3,FALSE)</f>
      </c>
      <c r="O21" s="42">
        <f>VLOOKUP(M8,Antennas!A:H,4,FALSE)</f>
      </c>
      <c r="P21" s="42">
        <f>VLOOKUP(P8,Antennas!A:H,2,FALSE)</f>
      </c>
      <c r="R21" s="17"/>
    </row>
    <row r="22" ht="17.65" s="22" customFormat="1">
      <c r="A22" s="241"/>
      <c r="B22" s="28" t="s">
        <v>37</v>
      </c>
      <c r="C22" s="46"/>
      <c r="D22" s="47"/>
      <c r="E22" s="47"/>
      <c r="F22" s="47"/>
      <c r="G22" s="47"/>
      <c r="H22" s="47"/>
      <c r="I22" s="47"/>
      <c r="J22" s="47"/>
      <c r="K22" s="47"/>
      <c r="L22" s="48"/>
      <c r="M22" s="49"/>
      <c r="N22" s="47"/>
      <c r="O22" s="50"/>
      <c r="P22" s="50"/>
    </row>
    <row r="23" ht="17.65" s="22" customFormat="1">
      <c r="A23" s="241"/>
      <c r="B23" s="28" t="s">
        <v>38</v>
      </c>
      <c r="C23" s="46"/>
      <c r="D23" s="46"/>
      <c r="E23" s="46"/>
      <c r="F23" s="46"/>
      <c r="G23" s="46"/>
      <c r="H23" s="46"/>
      <c r="I23" s="46"/>
      <c r="J23" s="46"/>
      <c r="K23" s="46"/>
      <c r="L23" s="46"/>
      <c r="M23" s="46"/>
      <c r="N23" s="46"/>
      <c r="O23" s="46"/>
      <c r="P23" s="46"/>
    </row>
    <row r="24" ht="17.25">
      <c r="A24" s="241"/>
      <c r="B24" s="11" t="s">
        <v>39</v>
      </c>
      <c r="C24" s="25"/>
      <c r="D24" s="25"/>
      <c r="E24" s="25"/>
      <c r="F24" s="25"/>
      <c r="G24" s="25"/>
      <c r="H24" s="25"/>
      <c r="I24" s="25"/>
      <c r="J24" s="25"/>
      <c r="K24" s="25"/>
      <c r="L24" s="25"/>
      <c r="M24" s="25"/>
      <c r="N24" s="25"/>
      <c r="O24" s="25"/>
      <c r="P24" s="25"/>
    </row>
    <row r="25" ht="17.65" s="22" customFormat="1">
      <c r="A25" s="241"/>
      <c r="B25" s="29" t="s">
        <v>43</v>
      </c>
      <c r="C25" s="51"/>
      <c r="D25" s="51"/>
      <c r="E25" s="51"/>
      <c r="F25" s="51"/>
      <c r="G25" s="51"/>
      <c r="H25" s="51"/>
      <c r="I25" s="51"/>
      <c r="J25" s="51"/>
      <c r="K25" s="51"/>
      <c r="L25" s="51"/>
      <c r="M25" s="51"/>
      <c r="N25" s="51"/>
      <c r="O25" s="51"/>
      <c r="P25" s="78"/>
    </row>
    <row r="26" ht="17.25">
      <c r="A26" s="241"/>
      <c r="B26" s="27" t="s">
        <v>44</v>
      </c>
      <c r="C26" s="24"/>
      <c r="D26" s="24"/>
      <c r="E26" s="24"/>
      <c r="F26" s="24"/>
      <c r="G26" s="24"/>
      <c r="H26" s="24"/>
      <c r="I26" s="24"/>
      <c r="J26" s="24"/>
      <c r="K26" s="24"/>
      <c r="L26" s="24"/>
      <c r="M26" s="24"/>
      <c r="N26" s="24"/>
      <c r="O26" s="24"/>
      <c r="P26" s="24"/>
    </row>
    <row r="27" ht="17.65" s="22" customFormat="1">
      <c r="A27" s="241"/>
      <c r="B27" s="30" t="s">
        <v>45</v>
      </c>
      <c r="C27" s="52"/>
      <c r="D27" s="52"/>
      <c r="E27" s="52"/>
      <c r="F27" s="52"/>
      <c r="G27" s="52"/>
      <c r="H27" s="52"/>
      <c r="I27" s="52"/>
      <c r="J27" s="52"/>
      <c r="K27" s="52"/>
      <c r="L27" s="52"/>
      <c r="M27" s="52"/>
      <c r="N27" s="52"/>
      <c r="O27" s="52"/>
      <c r="P27" s="52"/>
    </row>
    <row r="28" ht="17.25">
      <c r="A28" s="241"/>
      <c r="B28" s="11" t="s">
        <v>46</v>
      </c>
      <c r="C28" s="24"/>
      <c r="D28" s="24"/>
      <c r="E28" s="24"/>
      <c r="F28" s="24"/>
      <c r="G28" s="24"/>
      <c r="H28" s="24"/>
      <c r="I28" s="24"/>
      <c r="J28" s="24"/>
      <c r="K28" s="24"/>
      <c r="L28" s="24"/>
      <c r="M28" s="24"/>
      <c r="N28" s="24"/>
      <c r="O28" s="24"/>
      <c r="P28" s="24"/>
    </row>
    <row r="29" ht="17.65" s="22" customFormat="1">
      <c r="A29" s="241"/>
      <c r="B29" s="31" t="s">
        <v>47</v>
      </c>
      <c r="C29" s="51"/>
      <c r="D29" s="51"/>
      <c r="E29" s="51"/>
      <c r="F29" s="51"/>
      <c r="G29" s="51"/>
      <c r="H29" s="51"/>
      <c r="I29" s="51"/>
      <c r="J29" s="51"/>
      <c r="K29" s="51"/>
      <c r="L29" s="51"/>
      <c r="M29" s="51"/>
      <c r="N29" s="51"/>
      <c r="O29" s="51"/>
      <c r="P29" s="78"/>
    </row>
    <row r="30" ht="17.25">
      <c r="A30" s="241"/>
      <c r="B30" s="27" t="s">
        <v>48</v>
      </c>
      <c r="C30" s="24"/>
      <c r="D30" s="24"/>
      <c r="E30" s="24"/>
      <c r="F30" s="24"/>
      <c r="G30" s="24"/>
      <c r="H30" s="24"/>
      <c r="I30" s="24"/>
      <c r="J30" s="24"/>
      <c r="K30" s="24"/>
      <c r="L30" s="24"/>
      <c r="M30" s="24"/>
      <c r="N30" s="24"/>
      <c r="O30" s="24"/>
      <c r="P30" s="24"/>
    </row>
    <row r="31" ht="17.65" s="22" customFormat="1">
      <c r="A31" s="241"/>
      <c r="B31" s="30" t="s">
        <v>50</v>
      </c>
      <c r="C31" s="53"/>
      <c r="D31" s="53"/>
      <c r="E31" s="53"/>
      <c r="F31" s="53"/>
      <c r="G31" s="53"/>
      <c r="H31" s="53"/>
      <c r="I31" s="53"/>
      <c r="J31" s="53"/>
      <c r="K31" s="53"/>
      <c r="L31" s="53"/>
      <c r="M31" s="53"/>
      <c r="N31" s="53"/>
      <c r="O31" s="53"/>
      <c r="P31" s="79"/>
    </row>
    <row r="32" ht="17.25">
      <c r="A32" s="241"/>
      <c r="B32" s="11" t="s">
        <v>51</v>
      </c>
      <c r="C32" s="25"/>
      <c r="D32" s="25"/>
      <c r="E32" s="25"/>
      <c r="F32" s="25"/>
      <c r="G32" s="25"/>
      <c r="H32" s="25"/>
      <c r="I32" s="25"/>
      <c r="J32" s="25"/>
      <c r="K32" s="25"/>
      <c r="L32" s="25"/>
      <c r="M32" s="25"/>
      <c r="N32" s="25"/>
      <c r="O32" s="25"/>
      <c r="P32" s="25"/>
    </row>
    <row r="33" ht="17.65" s="22" customFormat="1">
      <c r="A33" s="241"/>
      <c r="B33" s="30" t="s">
        <v>52</v>
      </c>
      <c r="C33" s="51"/>
      <c r="D33" s="51"/>
      <c r="E33" s="51"/>
      <c r="F33" s="51"/>
      <c r="G33" s="51"/>
      <c r="H33" s="51"/>
      <c r="I33" s="51"/>
      <c r="J33" s="51"/>
      <c r="K33" s="51"/>
      <c r="L33" s="51"/>
      <c r="M33" s="51"/>
      <c r="N33" s="51"/>
      <c r="O33" s="51"/>
      <c r="P33" s="78"/>
    </row>
    <row r="34" ht="17.25">
      <c r="A34" s="241"/>
      <c r="B34" s="27" t="s">
        <v>53</v>
      </c>
      <c r="C34" s="24"/>
      <c r="D34" s="24"/>
      <c r="E34" s="24"/>
      <c r="F34" s="24"/>
      <c r="G34" s="24"/>
      <c r="H34" s="24"/>
      <c r="I34" s="24"/>
      <c r="J34" s="24"/>
      <c r="K34" s="24"/>
      <c r="L34" s="24"/>
      <c r="M34" s="24"/>
      <c r="N34" s="24"/>
      <c r="O34" s="24"/>
      <c r="P34" s="24"/>
      <c r="U34" s="22"/>
    </row>
    <row r="35" ht="17.65" s="22" customFormat="1">
      <c r="A35" s="241"/>
      <c r="B35" s="28" t="s">
        <v>56</v>
      </c>
      <c r="C35" s="51"/>
      <c r="D35" s="51"/>
      <c r="E35" s="51"/>
      <c r="F35" s="51"/>
      <c r="G35" s="51"/>
      <c r="H35" s="51"/>
      <c r="I35" s="51"/>
      <c r="J35" s="51"/>
      <c r="K35" s="51"/>
      <c r="L35" s="51"/>
      <c r="M35" s="51"/>
      <c r="N35" s="51"/>
      <c r="O35" s="51"/>
      <c r="P35" s="78"/>
      <c r="U35" s="21"/>
    </row>
    <row r="36" ht="17.25">
      <c r="A36" s="241"/>
      <c r="B36" s="11" t="s">
        <v>57</v>
      </c>
      <c r="C36" s="25"/>
      <c r="D36" s="25"/>
      <c r="E36" s="25"/>
      <c r="F36" s="25"/>
      <c r="G36" s="25"/>
      <c r="H36" s="25"/>
      <c r="I36" s="25"/>
      <c r="J36" s="25"/>
      <c r="K36" s="25"/>
      <c r="L36" s="25"/>
      <c r="M36" s="25"/>
      <c r="N36" s="25"/>
      <c r="O36" s="25"/>
      <c r="P36" s="25"/>
    </row>
    <row r="37" ht="17.65" s="22" customFormat="1">
      <c r="A37" s="241"/>
      <c r="B37" s="28" t="s">
        <v>60</v>
      </c>
      <c r="C37" s="51"/>
      <c r="D37" s="51"/>
      <c r="E37" s="51"/>
      <c r="F37" s="51"/>
      <c r="G37" s="51"/>
      <c r="H37" s="51"/>
      <c r="I37" s="51"/>
      <c r="J37" s="51"/>
      <c r="K37" s="51"/>
      <c r="L37" s="51"/>
      <c r="M37" s="51"/>
      <c r="N37" s="51"/>
      <c r="O37" s="51"/>
      <c r="P37" s="78"/>
    </row>
    <row r="38" ht="17.25">
      <c r="A38" s="241"/>
      <c r="B38" s="11" t="s">
        <v>61</v>
      </c>
      <c r="C38" s="25"/>
      <c r="D38" s="25"/>
      <c r="E38" s="25"/>
      <c r="F38" s="25"/>
      <c r="G38" s="25"/>
      <c r="H38" s="25"/>
      <c r="I38" s="25"/>
      <c r="J38" s="25"/>
      <c r="K38" s="25"/>
      <c r="L38" s="25"/>
      <c r="M38" s="25"/>
      <c r="N38" s="25"/>
      <c r="O38" s="25"/>
      <c r="P38" s="25"/>
    </row>
    <row r="39" ht="17.65" s="22" customFormat="1">
      <c r="A39" s="241"/>
      <c r="B39" s="28" t="s">
        <v>64</v>
      </c>
      <c r="C39" s="51"/>
      <c r="D39" s="51"/>
      <c r="E39" s="51"/>
      <c r="F39" s="51"/>
      <c r="G39" s="51"/>
      <c r="H39" s="51"/>
      <c r="I39" s="51"/>
      <c r="J39" s="51"/>
      <c r="K39" s="51"/>
      <c r="L39" s="51"/>
      <c r="M39" s="51"/>
      <c r="N39" s="51"/>
      <c r="O39" s="51"/>
      <c r="P39" s="78"/>
    </row>
    <row r="40" ht="17.25">
      <c r="A40" s="241"/>
      <c r="B40" s="11" t="s">
        <v>65</v>
      </c>
      <c r="C40" s="26"/>
      <c r="D40" s="26"/>
      <c r="E40" s="26"/>
      <c r="F40" s="26"/>
      <c r="G40" s="26"/>
      <c r="H40" s="26"/>
      <c r="I40" s="26"/>
      <c r="J40" s="26"/>
      <c r="K40" s="26"/>
      <c r="L40" s="26"/>
      <c r="M40" s="26"/>
      <c r="N40" s="26"/>
      <c r="O40" s="26"/>
      <c r="P40" s="26"/>
    </row>
    <row r="41" ht="17.65" s="22" customFormat="1">
      <c r="A41" s="241"/>
      <c r="B41" s="29" t="s">
        <v>66</v>
      </c>
      <c r="C41" s="51"/>
      <c r="D41" s="51"/>
      <c r="E41" s="51"/>
      <c r="F41" s="51"/>
      <c r="G41" s="51"/>
      <c r="H41" s="51"/>
      <c r="I41" s="51"/>
      <c r="J41" s="51"/>
      <c r="K41" s="51"/>
      <c r="L41" s="51"/>
      <c r="M41" s="51"/>
      <c r="N41" s="51"/>
      <c r="O41" s="51"/>
      <c r="P41" s="78"/>
    </row>
    <row r="42" ht="12.75" customHeight="1">
      <c r="A42" s="223" t="s">
        <v>67</v>
      </c>
      <c r="B42" s="232"/>
      <c r="C42" s="233"/>
      <c r="D42" s="233"/>
      <c r="E42" s="233"/>
      <c r="F42" s="233"/>
      <c r="G42" s="233"/>
      <c r="H42" s="233"/>
      <c r="I42" s="233"/>
      <c r="J42" s="233"/>
      <c r="K42" s="233"/>
      <c r="L42" s="233"/>
      <c r="M42" s="233"/>
      <c r="N42" s="233"/>
      <c r="O42" s="233"/>
      <c r="P42" s="234"/>
      <c r="Q42" s="22"/>
      <c r="R42" s="22"/>
      <c r="S42" s="22"/>
    </row>
    <row r="43" ht="13.15" customHeight="1">
      <c r="A43" s="224"/>
      <c r="B43" s="235"/>
      <c r="C43" s="236"/>
      <c r="D43" s="236"/>
      <c r="E43" s="236"/>
      <c r="F43" s="236"/>
      <c r="G43" s="236"/>
      <c r="H43" s="236"/>
      <c r="I43" s="236"/>
      <c r="J43" s="236"/>
      <c r="K43" s="236"/>
      <c r="L43" s="236"/>
      <c r="M43" s="236"/>
      <c r="N43" s="236"/>
      <c r="O43" s="236"/>
      <c r="P43" s="237"/>
      <c r="Q43" s="22"/>
      <c r="R43" s="22"/>
      <c r="S43" s="22"/>
    </row>
    <row r="44" ht="13.15" customHeight="1">
      <c r="A44" s="224"/>
      <c r="B44" s="235"/>
      <c r="C44" s="236"/>
      <c r="D44" s="236"/>
      <c r="E44" s="236"/>
      <c r="F44" s="236"/>
      <c r="G44" s="236"/>
      <c r="H44" s="236"/>
      <c r="I44" s="236"/>
      <c r="J44" s="236"/>
      <c r="K44" s="236"/>
      <c r="L44" s="236"/>
      <c r="M44" s="236"/>
      <c r="N44" s="236"/>
      <c r="O44" s="236"/>
      <c r="P44" s="237"/>
      <c r="Q44" s="22"/>
      <c r="R44" s="22"/>
      <c r="S44" s="22"/>
    </row>
    <row r="45" ht="13.9" customHeight="1">
      <c r="A45" s="225"/>
      <c r="B45" s="238"/>
      <c r="C45" s="239"/>
      <c r="D45" s="239"/>
      <c r="E45" s="239"/>
      <c r="F45" s="239"/>
      <c r="G45" s="239"/>
      <c r="H45" s="239"/>
      <c r="I45" s="239"/>
      <c r="J45" s="239"/>
      <c r="K45" s="239"/>
      <c r="L45" s="239"/>
      <c r="M45" s="239"/>
      <c r="N45" s="239"/>
      <c r="O45" s="239"/>
      <c r="P45" s="240"/>
      <c r="Q45" s="22"/>
      <c r="R45" s="22"/>
      <c r="S45" s="22"/>
    </row>
  </sheetData>
  <mergeCells>
    <mergeCell ref="C1:P1"/>
    <mergeCell ref="C16:H16"/>
    <mergeCell ref="I16:L16"/>
    <mergeCell ref="M16:O16"/>
    <mergeCell ref="B42:P45"/>
    <mergeCell ref="C12:H12"/>
    <mergeCell ref="I12:L12"/>
    <mergeCell ref="M12:O12"/>
    <mergeCell ref="C13:H13"/>
    <mergeCell ref="I13:L13"/>
    <mergeCell ref="M13:O13"/>
    <mergeCell ref="C14:H14"/>
    <mergeCell ref="I14:L14"/>
    <mergeCell ref="M14:O14"/>
    <mergeCell ref="C15:H15"/>
    <mergeCell ref="I15:L15"/>
    <mergeCell ref="M15:O15"/>
    <mergeCell ref="C10:H10"/>
    <mergeCell ref="I10:L10"/>
    <mergeCell ref="M10:O10"/>
    <mergeCell ref="C11:H11"/>
    <mergeCell ref="I11:L11"/>
    <mergeCell ref="M11:O11"/>
    <mergeCell ref="C8:H8"/>
    <mergeCell ref="I8:L8"/>
    <mergeCell ref="M8:O8"/>
    <mergeCell ref="C9:H9"/>
    <mergeCell ref="I9:L9"/>
    <mergeCell ref="M9:O9"/>
    <mergeCell ref="A1:B1"/>
    <mergeCell ref="A42:A45"/>
    <mergeCell ref="A36:A41"/>
    <mergeCell ref="A34:A35"/>
    <mergeCell ref="A3:A33"/>
    <mergeCell ref="C7:H7"/>
    <mergeCell ref="C2:H2"/>
    <mergeCell ref="I2:L2"/>
    <mergeCell ref="M2:O2"/>
    <mergeCell ref="I7:L7"/>
    <mergeCell ref="M7:O7"/>
    <mergeCell ref="C3:P3"/>
    <mergeCell ref="C4:P4"/>
    <mergeCell ref="C5:P5"/>
    <mergeCell ref="C6:P6"/>
  </mergeCells>
  <conditionalFormatting sqref="C22:E22 C4 H22:O22">
    <cfRule type="cellIs" dxfId="0" priority="43" operator="greaterThan">
      <formula>0</formula>
    </cfRule>
  </conditionalFormatting>
  <conditionalFormatting sqref="C21:E21 H21:O21">
    <cfRule type="expression" dxfId="1" priority="42">
      <formula>ISERROR(C21)</formula>
    </cfRule>
  </conditionalFormatting>
  <conditionalFormatting sqref="C21:E21 H21:O21">
    <cfRule type="cellIs" dxfId="1" priority="41" operator="equal">
      <formula>0</formula>
    </cfRule>
  </conditionalFormatting>
  <conditionalFormatting sqref="C21:E21 H21:O21">
    <cfRule type="cellIs" dxfId="3" priority="40" operator="greaterThan">
      <formula>0</formula>
    </cfRule>
  </conditionalFormatting>
  <conditionalFormatting sqref="C27:O27 D29:O29 D33:O33">
    <cfRule type="cellIs" dxfId="0" priority="39" operator="notEqual">
      <formula>VALUE(C26)</formula>
    </cfRule>
  </conditionalFormatting>
  <conditionalFormatting sqref="C8:O8 C10:O10 C12:O12 C14:O14 C16:O16 C27:O27 D29:O29 D31:O31 D33:O33 D35:O35 D37:O37 D25:O25 D39:O39 D41:O41">
    <cfRule type="expression" dxfId="10" priority="35">
      <formula>ISBLANK(C8)</formula>
    </cfRule>
  </conditionalFormatting>
  <conditionalFormatting sqref="C29">
    <cfRule type="cellIs" dxfId="0" priority="37" operator="notEqual">
      <formula>VALUE(C28)</formula>
    </cfRule>
  </conditionalFormatting>
  <conditionalFormatting sqref="C29">
    <cfRule type="expression" dxfId="10" priority="36">
      <formula>ISBLANK(C29)</formula>
    </cfRule>
  </conditionalFormatting>
  <conditionalFormatting sqref="C8:O8 C10:O10 C12:O12 C14:O14 C16:O16 C31:O31 D35:O35 D37:O37 D25:O25 D39:O39 D41:O41">
    <cfRule type="cellIs" dxfId="0" priority="38" operator="notEqual">
      <formula>C7</formula>
    </cfRule>
  </conditionalFormatting>
  <conditionalFormatting sqref="C31">
    <cfRule type="expression" dxfId="10" priority="34">
      <formula>ISBLANK(C31)</formula>
    </cfRule>
  </conditionalFormatting>
  <conditionalFormatting sqref="C33">
    <cfRule type="cellIs" dxfId="0" priority="33" operator="notEqual">
      <formula>VALUE(C32)</formula>
    </cfRule>
  </conditionalFormatting>
  <conditionalFormatting sqref="C33">
    <cfRule type="expression" dxfId="10" priority="32">
      <formula>ISBLANK(C33)</formula>
    </cfRule>
  </conditionalFormatting>
  <conditionalFormatting sqref="C35">
    <cfRule type="cellIs" dxfId="0" priority="31" operator="notEqual">
      <formula>C34</formula>
    </cfRule>
  </conditionalFormatting>
  <conditionalFormatting sqref="C35">
    <cfRule type="expression" dxfId="10" priority="30">
      <formula>ISBLANK(C35)</formula>
    </cfRule>
  </conditionalFormatting>
  <conditionalFormatting sqref="C37">
    <cfRule type="cellIs" dxfId="0" priority="29" operator="notEqual">
      <formula>C36</formula>
    </cfRule>
  </conditionalFormatting>
  <conditionalFormatting sqref="C37">
    <cfRule type="expression" dxfId="10" priority="28">
      <formula>ISBLANK(C37)</formula>
    </cfRule>
  </conditionalFormatting>
  <conditionalFormatting sqref="C6">
    <cfRule type="expression" dxfId="10" priority="26">
      <formula>ISBLANK(C6)</formula>
    </cfRule>
    <cfRule type="cellIs" dxfId="0" priority="27" operator="notEqual">
      <formula>C5</formula>
    </cfRule>
  </conditionalFormatting>
  <conditionalFormatting sqref="C25">
    <cfRule type="cellIs" dxfId="0" priority="25" operator="notEqual">
      <formula>C24</formula>
    </cfRule>
  </conditionalFormatting>
  <conditionalFormatting sqref="C25">
    <cfRule type="expression" dxfId="10" priority="24">
      <formula>ISBLANK(C25)</formula>
    </cfRule>
  </conditionalFormatting>
  <conditionalFormatting sqref="C39">
    <cfRule type="cellIs" dxfId="0" priority="23" operator="notEqual">
      <formula>C38</formula>
    </cfRule>
  </conditionalFormatting>
  <conditionalFormatting sqref="C39">
    <cfRule type="expression" dxfId="10" priority="22">
      <formula>ISBLANK(C39)</formula>
    </cfRule>
  </conditionalFormatting>
  <conditionalFormatting sqref="C41">
    <cfRule type="cellIs" dxfId="0" priority="21" operator="notEqual">
      <formula>C40</formula>
    </cfRule>
  </conditionalFormatting>
  <conditionalFormatting sqref="C41">
    <cfRule type="expression" dxfId="10" priority="20">
      <formula>ISBLANK(C41)</formula>
    </cfRule>
  </conditionalFormatting>
  <conditionalFormatting sqref="C24:O41">
    <cfRule type="expression" dxfId="1" priority="19" stopIfTrue="1">
      <formula>OR(C$22="Free",C$22="Telenor",C$22="Mtel",C$22="Telenor&amp;Mtel")</formula>
    </cfRule>
  </conditionalFormatting>
  <conditionalFormatting sqref="F22:G22">
    <cfRule type="cellIs" dxfId="0" priority="18" operator="greaterThan">
      <formula>0</formula>
    </cfRule>
  </conditionalFormatting>
  <conditionalFormatting sqref="F21:G21">
    <cfRule type="expression" dxfId="1" priority="17">
      <formula>ISERROR(F21)</formula>
    </cfRule>
  </conditionalFormatting>
  <conditionalFormatting sqref="F21:G21">
    <cfRule type="cellIs" dxfId="1" priority="16" operator="equal">
      <formula>0</formula>
    </cfRule>
  </conditionalFormatting>
  <conditionalFormatting sqref="F21:G21">
    <cfRule type="cellIs" dxfId="3" priority="15" operator="greaterThan">
      <formula>0</formula>
    </cfRule>
  </conditionalFormatting>
  <conditionalFormatting sqref="P22">
    <cfRule type="cellIs" dxfId="0" priority="14" operator="greaterThan">
      <formula>0</formula>
    </cfRule>
  </conditionalFormatting>
  <conditionalFormatting sqref="P21">
    <cfRule type="expression" dxfId="1" priority="13">
      <formula>ISERROR(P21)</formula>
    </cfRule>
  </conditionalFormatting>
  <conditionalFormatting sqref="P21">
    <cfRule type="cellIs" dxfId="1" priority="12" operator="equal">
      <formula>0</formula>
    </cfRule>
  </conditionalFormatting>
  <conditionalFormatting sqref="P21">
    <cfRule type="cellIs" dxfId="3" priority="11" operator="greaterThan">
      <formula>0</formula>
    </cfRule>
  </conditionalFormatting>
  <conditionalFormatting sqref="P27 P29 P33">
    <cfRule type="cellIs" dxfId="0" priority="10" operator="notEqual">
      <formula>VALUE(P26)</formula>
    </cfRule>
  </conditionalFormatting>
  <conditionalFormatting sqref="P8 P10 P12 P14 P16 P27 P29 P31 P33 P35 P37 P25 P39 P41">
    <cfRule type="expression" dxfId="10" priority="8">
      <formula>ISBLANK(P8)</formula>
    </cfRule>
  </conditionalFormatting>
  <conditionalFormatting sqref="P8 P10 P12 P14 P16 P31 P35 P37 P25 P39 P41">
    <cfRule type="cellIs" dxfId="0" priority="9" operator="notEqual">
      <formula>P7</formula>
    </cfRule>
  </conditionalFormatting>
  <conditionalFormatting sqref="P24:P41">
    <cfRule type="expression" dxfId="1" priority="7" stopIfTrue="1">
      <formula>OR(P$22="Free",P$22="Telenor",P$22="Mtel",P$22="Telenor&amp;Mtel")</formula>
    </cfRule>
  </conditionalFormatting>
  <conditionalFormatting sqref="C19">
    <cfRule type="cellIs" dxfId="1" priority="4" operator="equal">
      <formula>0</formula>
    </cfRule>
    <cfRule type="expression" dxfId="1" priority="6">
      <formula>ISERROR(C19)</formula>
    </cfRule>
  </conditionalFormatting>
  <conditionalFormatting sqref="D19:P19">
    <cfRule type="cellIs" dxfId="1" priority="2" operator="equal">
      <formula>0</formula>
    </cfRule>
    <cfRule type="expression" dxfId="1" priority="3">
      <formula>ISERROR(D19)</formula>
    </cfRule>
  </conditionalFormatting>
  <conditionalFormatting sqref="C23:P23">
    <cfRule type="cellIs" dxfId="0" priority="1" operator="greaterThan">
      <formula>0</formula>
    </cfRule>
  </conditionalFormatting>
  <dataValidations count="165">
    <dataValidation type="list" xr:uid="{E24105E4-BF7A-40AF-9467-E1C7B821463E}" sqref="C2" showErrorMessage="1" errorTitle="An invalid feedback was entered" error="Please choose feedback from drop down only.">
      <formula1>"1,2,3"</formula1>
    </dataValidation>
    <dataValidation type="list" xr:uid="{83F1187F-4CDC-4A41-B850-3C4A4CA518FC}" sqref="D2" showErrorMessage="1" errorTitle="An invalid feedback was entered" error="Please choose feedback from drop down only.">
      <formula1>"1,2,3"</formula1>
    </dataValidation>
    <dataValidation type="list" xr:uid="{B4FF79B9-B098-443D-9F22-149381EC01F5}" sqref="E2" showErrorMessage="1" errorTitle="An invalid feedback was entered" error="Please choose feedback from drop down only.">
      <formula1>"1,2,3"</formula1>
    </dataValidation>
    <dataValidation type="list" xr:uid="{DBDBB59C-B7EB-425E-9ACF-58A26DB419AE}" sqref="F2" showErrorMessage="1" errorTitle="An invalid feedback was entered" error="Please choose feedback from drop down only.">
      <formula1>"1,2,3"</formula1>
    </dataValidation>
    <dataValidation type="list" xr:uid="{06CF3306-F0D9-4CF0-B795-C35EABD7B46B}" sqref="G2" showErrorMessage="1" errorTitle="An invalid feedback was entered" error="Please choose feedback from drop down only.">
      <formula1>"1,2,3"</formula1>
    </dataValidation>
    <dataValidation type="list" xr:uid="{0CCBB61B-3877-4BCE-8970-9332089F9041}" sqref="H2" showErrorMessage="1" errorTitle="An invalid feedback was entered" error="Please choose feedback from drop down only.">
      <formula1>"1,2,3"</formula1>
    </dataValidation>
    <dataValidation type="list" xr:uid="{89C16F10-9C23-41C6-B755-DD58705B834C}" sqref="I2" showErrorMessage="1" errorTitle="An invalid feedback was entered" error="Please choose feedback from drop down only.">
      <formula1>"1,2,3"</formula1>
    </dataValidation>
    <dataValidation type="list" xr:uid="{BF6B6E3E-DA32-46E0-A311-DA7D30FA05F6}" sqref="J2" showErrorMessage="1" errorTitle="An invalid feedback was entered" error="Please choose feedback from drop down only.">
      <formula1>"1,2,3"</formula1>
    </dataValidation>
    <dataValidation type="list" xr:uid="{4226F1B7-90B3-470D-B064-E6E54EC65404}" sqref="K2" showErrorMessage="1" errorTitle="An invalid feedback was entered" error="Please choose feedback from drop down only.">
      <formula1>"1,2,3"</formula1>
    </dataValidation>
    <dataValidation type="list" xr:uid="{3B6AC24F-78BE-4341-AA4F-759522993CA0}" sqref="L2" showErrorMessage="1" errorTitle="An invalid feedback was entered" error="Please choose feedback from drop down only.">
      <formula1>"1,2,3"</formula1>
    </dataValidation>
    <dataValidation type="list" xr:uid="{D748C282-C7B7-4E16-8F5F-B59C4314F9BB}" sqref="M2" showErrorMessage="1" errorTitle="An invalid feedback was entered" error="Please choose feedback from drop down only.">
      <formula1>"1,2,3"</formula1>
    </dataValidation>
    <dataValidation type="list" xr:uid="{CCBAEF1A-5763-4396-9800-092A728C29B2}" sqref="N2" showErrorMessage="1" errorTitle="An invalid feedback was entered" error="Please choose feedback from drop down only.">
      <formula1>"1,2,3"</formula1>
    </dataValidation>
    <dataValidation type="list" xr:uid="{9A781A68-ADC0-4850-A10D-5449A04F743E}" sqref="O2" showErrorMessage="1" errorTitle="An invalid feedback was entered" error="Please choose feedback from drop down only.">
      <formula1>"1,2,3"</formula1>
    </dataValidation>
    <dataValidation type="list" xr:uid="{9F457752-EE13-40C7-8BAC-342ABFDC379B}" sqref="P2" showErrorMessage="1" errorTitle="An invalid feedback was entered" error="Please choose feedback from drop down only.">
      <formula1>"1,2,3"</formula1>
    </dataValidation>
    <dataValidation type="list" xr:uid="{9E5C41DF-DC02-43DC-A59A-EEB2424F1DC5}" sqref="Q2" showErrorMessage="1" errorTitle="An invalid feedback was entered" error="Please choose feedback from drop down only.">
      <formula1>"1,2,3"</formula1>
    </dataValidation>
    <dataValidation type="list" xr:uid="{E2FFF508-B9C9-46D3-A621-DB6F182E0617}" sqref="C17" showErrorMessage="1" errorTitle="An invalid feedback was entered" error="Please choose feedback from drop down only.">
      <formula1>"1-2,3-4,5-6,7-8,9-10,N/A"</formula1>
    </dataValidation>
    <dataValidation type="list" xr:uid="{22CD22D4-7FD7-43BA-8F5B-450F2FE9E04D}" sqref="D17" showErrorMessage="1" errorTitle="An invalid feedback was entered" error="Please choose feedback from drop down only.">
      <formula1>"1-2,3-4,5-6,7-8,9-10,N/A"</formula1>
    </dataValidation>
    <dataValidation type="list" xr:uid="{9380A057-D6AF-47F0-88E3-62462DDF7FCB}" sqref="E17" showErrorMessage="1" errorTitle="An invalid feedback was entered" error="Please choose feedback from drop down only.">
      <formula1>"1-2,3-4,5-6,7-8,9-10,N/A"</formula1>
    </dataValidation>
    <dataValidation type="list" xr:uid="{B327AADD-0C2F-43B2-BEF2-D4249391C421}" sqref="F17" showErrorMessage="1" errorTitle="An invalid feedback was entered" error="Please choose feedback from drop down only.">
      <formula1>"1-2,3-4,5-6,7-8,9-10,N/A"</formula1>
    </dataValidation>
    <dataValidation type="list" xr:uid="{EF08CF9A-89C1-43AB-B711-20A3DEAD2F6A}" sqref="G17" showErrorMessage="1" errorTitle="An invalid feedback was entered" error="Please choose feedback from drop down only.">
      <formula1>"1-2,3-4,5-6,7-8,9-10,N/A"</formula1>
    </dataValidation>
    <dataValidation type="list" xr:uid="{069820A8-721D-47D6-9DA7-A4D7FA5687CA}" sqref="H17" showErrorMessage="1" errorTitle="An invalid feedback was entered" error="Please choose feedback from drop down only.">
      <formula1>"1-2,3-4,5-6,7-8,9-10,N/A"</formula1>
    </dataValidation>
    <dataValidation type="list" xr:uid="{01AD2798-74E9-4BBD-8138-020964B4902B}" sqref="I17" showErrorMessage="1" errorTitle="An invalid feedback was entered" error="Please choose feedback from drop down only.">
      <formula1>"1-2,3-4,5-6,7-8,9-10,N/A"</formula1>
    </dataValidation>
    <dataValidation type="list" xr:uid="{8125420C-B75A-4177-B60F-9F305754AECC}" sqref="J17" showErrorMessage="1" errorTitle="An invalid feedback was entered" error="Please choose feedback from drop down only.">
      <formula1>"1-2,3-4,5-6,7-8,9-10,N/A"</formula1>
    </dataValidation>
    <dataValidation type="list" xr:uid="{7617FBE1-A562-43B9-8699-89C4A7CF07DF}" sqref="K17" showErrorMessage="1" errorTitle="An invalid feedback was entered" error="Please choose feedback from drop down only.">
      <formula1>"1-2,3-4,5-6,7-8,9-10,N/A"</formula1>
    </dataValidation>
    <dataValidation type="list" xr:uid="{C4320191-7646-4C77-BED9-7688B17768DA}" sqref="L17" showErrorMessage="1" errorTitle="An invalid feedback was entered" error="Please choose feedback from drop down only.">
      <formula1>"1-2,3-4,5-6,7-8,9-10,N/A"</formula1>
    </dataValidation>
    <dataValidation type="list" xr:uid="{CB86F1DA-1555-48A9-BA97-06921AFE6AF1}" sqref="M17" showErrorMessage="1" errorTitle="An invalid feedback was entered" error="Please choose feedback from drop down only.">
      <formula1>"1-2,3-4,5-6,7-8,9-10,N/A"</formula1>
    </dataValidation>
    <dataValidation type="list" xr:uid="{52D3BF77-FEAF-4678-8ED0-3A8238540C80}" sqref="N17" showErrorMessage="1" errorTitle="An invalid feedback was entered" error="Please choose feedback from drop down only.">
      <formula1>"1-2,3-4,5-6,7-8,9-10,N/A"</formula1>
    </dataValidation>
    <dataValidation type="list" xr:uid="{A2E555EB-D090-40C1-82E2-F6B4F82B87E5}" sqref="O17" showErrorMessage="1" errorTitle="An invalid feedback was entered" error="Please choose feedback from drop down only.">
      <formula1>"1-2,3-4,5-6,7-8,9-10,N/A"</formula1>
    </dataValidation>
    <dataValidation type="list" xr:uid="{B7EA231E-76DE-4297-AC4F-1E67C608D7C6}" sqref="P17" showErrorMessage="1" errorTitle="An invalid feedback was entered" error="Please choose feedback from drop down only.">
      <formula1>"1-2,3-4,5-6,7-8,9-10,N/A"</formula1>
    </dataValidation>
    <dataValidation type="list" xr:uid="{59DEDD82-1D34-478C-8BD0-7EB4BA46B1AF}" sqref="Q17" showErrorMessage="1" errorTitle="An invalid feedback was entered" error="Please choose feedback from drop down only.">
      <formula1>"1-2,3-4,5-6,7-8,9-10,N/A"</formula1>
    </dataValidation>
    <dataValidation type="list" xr:uid="{1FDA1601-B8DF-4698-90AD-6FD84DDB2B66}" sqref="C10" showErrorMessage="1" errorTitle="An invalid feedback was entered" error="Please choose feedback from drop down only.">
      <formula1>"STK Top,STK Bottom,STKx2,DTK Top,DTK Bottom,DTKx2,None"</formula1>
    </dataValidation>
    <dataValidation type="list" xr:uid="{6B5A661A-499F-4E91-ADF3-64044A9C9D72}" sqref="D10" showErrorMessage="1" errorTitle="An invalid feedback was entered" error="Please choose feedback from drop down only.">
      <formula1>"STK Top,STK Bottom,STKx2,DTK Top,DTK Bottom,DTKx2,None"</formula1>
    </dataValidation>
    <dataValidation type="list" xr:uid="{DA0B5BB8-1C88-468B-8CBF-20EE58D70618}" sqref="E10" showErrorMessage="1" errorTitle="An invalid feedback was entered" error="Please choose feedback from drop down only.">
      <formula1>"STK Top,STK Bottom,STKx2,DTK Top,DTK Bottom,DTKx2,None"</formula1>
    </dataValidation>
    <dataValidation type="list" xr:uid="{7A18EF22-DB31-4BAB-82F1-73891E0E5205}" sqref="F10" showErrorMessage="1" errorTitle="An invalid feedback was entered" error="Please choose feedback from drop down only.">
      <formula1>"STK Top,STK Bottom,STKx2,DTK Top,DTK Bottom,DTKx2,None"</formula1>
    </dataValidation>
    <dataValidation type="list" xr:uid="{C7D09E60-60C1-4A0C-BA6A-38839D25D193}" sqref="G10" showErrorMessage="1" errorTitle="An invalid feedback was entered" error="Please choose feedback from drop down only.">
      <formula1>"STK Top,STK Bottom,STKx2,DTK Top,DTK Bottom,DTKx2,None"</formula1>
    </dataValidation>
    <dataValidation type="list" xr:uid="{31118FB1-53F3-4BB8-99E8-96F84933C982}" sqref="H10" showErrorMessage="1" errorTitle="An invalid feedback was entered" error="Please choose feedback from drop down only.">
      <formula1>"STK Top,STK Bottom,STKx2,DTK Top,DTK Bottom,DTKx2,None"</formula1>
    </dataValidation>
    <dataValidation type="list" xr:uid="{8C53AD92-E708-4547-8CDB-28C3748AA21C}" sqref="I10" showErrorMessage="1" errorTitle="An invalid feedback was entered" error="Please choose feedback from drop down only.">
      <formula1>"STK Top,STK Bottom,STKx2,DTK Top,DTK Bottom,DTKx2,None"</formula1>
    </dataValidation>
    <dataValidation type="list" xr:uid="{9EE19FB5-5753-4BDA-9FAD-14EFC6235CB3}" sqref="J10" showErrorMessage="1" errorTitle="An invalid feedback was entered" error="Please choose feedback from drop down only.">
      <formula1>"STK Top,STK Bottom,STKx2,DTK Top,DTK Bottom,DTKx2,None"</formula1>
    </dataValidation>
    <dataValidation type="list" xr:uid="{0B0B4D9F-42D1-4755-B6D5-5DBF47F7FCC8}" sqref="K10" showErrorMessage="1" errorTitle="An invalid feedback was entered" error="Please choose feedback from drop down only.">
      <formula1>"STK Top,STK Bottom,STKx2,DTK Top,DTK Bottom,DTKx2,None"</formula1>
    </dataValidation>
    <dataValidation type="list" xr:uid="{EAEB87D3-753C-42EF-BCFA-CCBF52C65058}" sqref="L10" showErrorMessage="1" errorTitle="An invalid feedback was entered" error="Please choose feedback from drop down only.">
      <formula1>"STK Top,STK Bottom,STKx2,DTK Top,DTK Bottom,DTKx2,None"</formula1>
    </dataValidation>
    <dataValidation type="list" xr:uid="{C8F5CB09-390A-4159-9FB1-DCDFC9A9C59D}" sqref="M10" showErrorMessage="1" errorTitle="An invalid feedback was entered" error="Please choose feedback from drop down only.">
      <formula1>"STK Top,STK Bottom,STKx2,DTK Top,DTK Bottom,DTKx2,None"</formula1>
    </dataValidation>
    <dataValidation type="list" xr:uid="{30DE92D5-8071-4FBC-ACE2-B668E24480AC}" sqref="N10" showErrorMessage="1" errorTitle="An invalid feedback was entered" error="Please choose feedback from drop down only.">
      <formula1>"STK Top,STK Bottom,STKx2,DTK Top,DTK Bottom,DTKx2,None"</formula1>
    </dataValidation>
    <dataValidation type="list" xr:uid="{148C6091-11D9-43B3-BE38-D9CD21388BE5}" sqref="O10" showErrorMessage="1" errorTitle="An invalid feedback was entered" error="Please choose feedback from drop down only.">
      <formula1>"STK Top,STK Bottom,STKx2,DTK Top,DTK Bottom,DTKx2,None"</formula1>
    </dataValidation>
    <dataValidation type="list" xr:uid="{D421CACF-3158-4158-9B2E-B2CB8DFFC7A3}" sqref="P10" showErrorMessage="1" errorTitle="An invalid feedback was entered" error="Please choose feedback from drop down only.">
      <formula1>"STK Top,STK Bottom,STKx2,DTK Top,DTK Bottom,DTKx2,None"</formula1>
    </dataValidation>
    <dataValidation type="list" xr:uid="{420BD2D6-026D-49B0-A19A-7178B6EFAFFB}" sqref="Q10" showErrorMessage="1" errorTitle="An invalid feedback was entered" error="Please choose feedback from drop down only.">
      <formula1>"STK Top,STK Bottom,STKx2,DTK Top,DTK Bottom,DTKx2,None"</formula1>
    </dataValidation>
    <dataValidation type="list" xr:uid="{4D89F533-041C-4C2A-9669-A98385DC628F}" sqref="C23" showErrorMessage="1" errorTitle="An invalid feedback was entered" error="Please choose feedback from drop down only.">
      <formula1>"Yetel,Bulsatcom,A1,Yetel&amp;A1,N/A"</formula1>
    </dataValidation>
    <dataValidation type="list" xr:uid="{E349DCCC-A63B-4146-9EE3-823FEA6849C6}" sqref="D23" showErrorMessage="1" errorTitle="An invalid feedback was entered" error="Please choose feedback from drop down only.">
      <formula1>"Yetel,Bulsatcom,A1,Yetel&amp;A1,N/A"</formula1>
    </dataValidation>
    <dataValidation type="list" xr:uid="{32B53326-FC3E-4925-BCCA-41713B922E64}" sqref="E23" showErrorMessage="1" errorTitle="An invalid feedback was entered" error="Please choose feedback from drop down only.">
      <formula1>"Yetel,Bulsatcom,A1,Yetel&amp;A1,N/A"</formula1>
    </dataValidation>
    <dataValidation type="list" xr:uid="{1A7AD87E-4F11-4EAB-AEE7-AED3C3A3D3D4}" sqref="F23" showErrorMessage="1" errorTitle="An invalid feedback was entered" error="Please choose feedback from drop down only.">
      <formula1>"Yetel,Bulsatcom,A1,Yetel&amp;A1,N/A"</formula1>
    </dataValidation>
    <dataValidation type="list" xr:uid="{50B0F6A7-7B70-4738-9A80-236F9E72D549}" sqref="G23" showErrorMessage="1" errorTitle="An invalid feedback was entered" error="Please choose feedback from drop down only.">
      <formula1>"Yetel,Bulsatcom,A1,Yetel&amp;A1,N/A"</formula1>
    </dataValidation>
    <dataValidation type="list" xr:uid="{8C3BBC62-1C93-4B2D-B9A5-75F30800CDA3}" sqref="H23" showErrorMessage="1" errorTitle="An invalid feedback was entered" error="Please choose feedback from drop down only.">
      <formula1>"Yetel,Bulsatcom,A1,Yetel&amp;A1,N/A"</formula1>
    </dataValidation>
    <dataValidation type="list" xr:uid="{2547A239-AD3F-47D7-BB40-5CB12D41836E}" sqref="I23" showErrorMessage="1" errorTitle="An invalid feedback was entered" error="Please choose feedback from drop down only.">
      <formula1>"Yetel,Bulsatcom,A1,Yetel&amp;A1,N/A"</formula1>
    </dataValidation>
    <dataValidation type="list" xr:uid="{4BA29F38-352E-45D5-AC19-7AE90CF38F23}" sqref="J23" showErrorMessage="1" errorTitle="An invalid feedback was entered" error="Please choose feedback from drop down only.">
      <formula1>"Yetel,Bulsatcom,A1,Yetel&amp;A1,N/A"</formula1>
    </dataValidation>
    <dataValidation type="list" xr:uid="{879DD8D6-74ED-4C14-BA86-1F5B24A240CF}" sqref="K23" showErrorMessage="1" errorTitle="An invalid feedback was entered" error="Please choose feedback from drop down only.">
      <formula1>"Yetel,Bulsatcom,A1,Yetel&amp;A1,N/A"</formula1>
    </dataValidation>
    <dataValidation type="list" xr:uid="{DE2A82C8-75B3-4FF3-98E3-B8DDB203E471}" sqref="L23" showErrorMessage="1" errorTitle="An invalid feedback was entered" error="Please choose feedback from drop down only.">
      <formula1>"Yetel,Bulsatcom,A1,Yetel&amp;A1,N/A"</formula1>
    </dataValidation>
    <dataValidation type="list" xr:uid="{6AC28C0B-937E-47A8-81E9-47D6F9095CF3}" sqref="M23" showErrorMessage="1" errorTitle="An invalid feedback was entered" error="Please choose feedback from drop down only.">
      <formula1>"Yetel,Bulsatcom,A1,Yetel&amp;A1,N/A"</formula1>
    </dataValidation>
    <dataValidation type="list" xr:uid="{403F5F5C-53AA-4772-ABF3-94D4878AD136}" sqref="N23" showErrorMessage="1" errorTitle="An invalid feedback was entered" error="Please choose feedback from drop down only.">
      <formula1>"Yetel,Bulsatcom,A1,Yetel&amp;A1,N/A"</formula1>
    </dataValidation>
    <dataValidation type="list" xr:uid="{72C2F5CF-43C5-4989-83F6-3E0E33502215}" sqref="O23" showErrorMessage="1" errorTitle="An invalid feedback was entered" error="Please choose feedback from drop down only.">
      <formula1>"Yetel,Bulsatcom,A1,Yetel&amp;A1,N/A"</formula1>
    </dataValidation>
    <dataValidation type="list" xr:uid="{728989DE-41FD-4EAE-8439-80012E2128C6}" sqref="P23" showErrorMessage="1" errorTitle="An invalid feedback was entered" error="Please choose feedback from drop down only.">
      <formula1>"Yetel,Bulsatcom,A1,Yetel&amp;A1,N/A"</formula1>
    </dataValidation>
    <dataValidation type="list" xr:uid="{BF928564-2794-4C25-A306-013228FC06B5}" sqref="Q23" showErrorMessage="1" errorTitle="An invalid feedback was entered" error="Please choose feedback from drop down only.">
      <formula1>"Yetel,Bulsatcom,A1,Yetel&amp;A1,N/A"</formula1>
    </dataValidation>
    <dataValidation type="list" xr:uid="{64E60D35-6FE2-419B-9F93-382AC03340EE}" sqref="C31" showErrorMessage="1" errorTitle="An invalid feedback was entered" error="Please choose feedback from drop down only.">
      <formula1>"1/2,5/4,7/8,RRU TOP JUMPER,N/A"</formula1>
    </dataValidation>
    <dataValidation type="list" xr:uid="{30D2A22F-7BA3-47CB-9791-E1F9FCF3CE1D}" sqref="D31" showErrorMessage="1" errorTitle="An invalid feedback was entered" error="Please choose feedback from drop down only.">
      <formula1>"1/2,5/4,7/8,RRU TOP JUMPER,N/A"</formula1>
    </dataValidation>
    <dataValidation type="list" xr:uid="{00B62DF7-13E2-401E-9531-37C1CF9F818B}" sqref="E31" showErrorMessage="1" errorTitle="An invalid feedback was entered" error="Please choose feedback from drop down only.">
      <formula1>"1/2,5/4,7/8,RRU TOP JUMPER,N/A"</formula1>
    </dataValidation>
    <dataValidation type="list" xr:uid="{346D36C2-BD4D-49A0-ADE5-DFA18157EA14}" sqref="F31" showErrorMessage="1" errorTitle="An invalid feedback was entered" error="Please choose feedback from drop down only.">
      <formula1>"1/2,5/4,7/8,RRU TOP JUMPER,N/A"</formula1>
    </dataValidation>
    <dataValidation type="list" xr:uid="{4F686773-C17D-4106-8C46-B4931808A684}" sqref="G31" showErrorMessage="1" errorTitle="An invalid feedback was entered" error="Please choose feedback from drop down only.">
      <formula1>"1/2,5/4,7/8,RRU TOP JUMPER,N/A"</formula1>
    </dataValidation>
    <dataValidation type="list" xr:uid="{76C89F9A-D8B5-4D93-9ABA-5CA8B4649170}" sqref="H31" showErrorMessage="1" errorTitle="An invalid feedback was entered" error="Please choose feedback from drop down only.">
      <formula1>"1/2,5/4,7/8,RRU TOP JUMPER,N/A"</formula1>
    </dataValidation>
    <dataValidation type="list" xr:uid="{F997D028-5B79-455A-93BA-0817425A46A0}" sqref="I31" showErrorMessage="1" errorTitle="An invalid feedback was entered" error="Please choose feedback from drop down only.">
      <formula1>"1/2,5/4,7/8,RRU TOP JUMPER,N/A"</formula1>
    </dataValidation>
    <dataValidation type="list" xr:uid="{5C7016D9-C339-4FF5-9DE0-73AD5CD65DCF}" sqref="J31" showErrorMessage="1" errorTitle="An invalid feedback was entered" error="Please choose feedback from drop down only.">
      <formula1>"1/2,5/4,7/8,RRU TOP JUMPER,N/A"</formula1>
    </dataValidation>
    <dataValidation type="list" xr:uid="{1B16C88C-9D6F-43D1-9305-E8526BB33145}" sqref="K31" showErrorMessage="1" errorTitle="An invalid feedback was entered" error="Please choose feedback from drop down only.">
      <formula1>"1/2,5/4,7/8,RRU TOP JUMPER,N/A"</formula1>
    </dataValidation>
    <dataValidation type="list" xr:uid="{611594DD-BABD-4B0B-AB41-986913B9EFCD}" sqref="L31" showErrorMessage="1" errorTitle="An invalid feedback was entered" error="Please choose feedback from drop down only.">
      <formula1>"1/2,5/4,7/8,RRU TOP JUMPER,N/A"</formula1>
    </dataValidation>
    <dataValidation type="list" xr:uid="{C821B8C6-A5B5-4F41-BE56-E8AB631DA925}" sqref="M31" showErrorMessage="1" errorTitle="An invalid feedback was entered" error="Please choose feedback from drop down only.">
      <formula1>"1/2,5/4,7/8,RRU TOP JUMPER,N/A"</formula1>
    </dataValidation>
    <dataValidation type="list" xr:uid="{1B52A707-08F8-4449-8A42-F581041CC68F}" sqref="N31" showErrorMessage="1" errorTitle="An invalid feedback was entered" error="Please choose feedback from drop down only.">
      <formula1>"1/2,5/4,7/8,RRU TOP JUMPER,N/A"</formula1>
    </dataValidation>
    <dataValidation type="list" xr:uid="{B040CDC2-4917-4263-AC7B-48661A5F789C}" sqref="O31" showErrorMessage="1" errorTitle="An invalid feedback was entered" error="Please choose feedback from drop down only.">
      <formula1>"1/2,5/4,7/8,RRU TOP JUMPER,N/A"</formula1>
    </dataValidation>
    <dataValidation type="list" xr:uid="{6F7C77CC-7904-464F-BB85-9005BA70BE42}" sqref="P31" showErrorMessage="1" errorTitle="An invalid feedback was entered" error="Please choose feedback from drop down only.">
      <formula1>"1/2,5/4,7/8,RRU TOP JUMPER,N/A"</formula1>
    </dataValidation>
    <dataValidation type="list" xr:uid="{5FF7EB7B-5DDD-4A06-AA0A-9EC29DEA720F}" sqref="Q31" showErrorMessage="1" errorTitle="An invalid feedback was entered" error="Please choose feedback from drop down only.">
      <formula1>"1/2,5/4,7/8,RRU TOP JUMPER,N/A"</formula1>
    </dataValidation>
    <dataValidation type="list" xr:uid="{062C6C5B-620D-40C5-83BF-D43738D99683}" sqref="C4" showErrorMessage="1" errorTitle="An invalid feedback was entered" error="Please choose feedback from drop down only.">
      <formula1>"1,2,3,4,5,6,N/A"</formula1>
    </dataValidation>
    <dataValidation type="list" xr:uid="{7BA6132F-EE80-4977-8D6F-A9FED59FD1D1}" sqref="D4" showErrorMessage="1" errorTitle="An invalid feedback was entered" error="Please choose feedback from drop down only.">
      <formula1>"1,2,3,4,5,6,N/A"</formula1>
    </dataValidation>
    <dataValidation type="list" xr:uid="{A11A56E8-5490-4461-B96D-B0BB85806489}" sqref="E4" showErrorMessage="1" errorTitle="An invalid feedback was entered" error="Please choose feedback from drop down only.">
      <formula1>"1,2,3,4,5,6,N/A"</formula1>
    </dataValidation>
    <dataValidation type="list" xr:uid="{A67E5220-B66D-46C0-AD32-AB96F9649428}" sqref="F4" showErrorMessage="1" errorTitle="An invalid feedback was entered" error="Please choose feedback from drop down only.">
      <formula1>"1,2,3,4,5,6,N/A"</formula1>
    </dataValidation>
    <dataValidation type="list" xr:uid="{90A0C018-2062-4D42-AC85-25CB94E27A60}" sqref="G4" showErrorMessage="1" errorTitle="An invalid feedback was entered" error="Please choose feedback from drop down only.">
      <formula1>"1,2,3,4,5,6,N/A"</formula1>
    </dataValidation>
    <dataValidation type="list" xr:uid="{0D961824-089D-4A7A-983E-F89C49133680}" sqref="H4" showErrorMessage="1" errorTitle="An invalid feedback was entered" error="Please choose feedback from drop down only.">
      <formula1>"1,2,3,4,5,6,N/A"</formula1>
    </dataValidation>
    <dataValidation type="list" xr:uid="{2F84CE97-64EC-485B-A201-AFBCDE17DAC4}" sqref="I4" showErrorMessage="1" errorTitle="An invalid feedback was entered" error="Please choose feedback from drop down only.">
      <formula1>"1,2,3,4,5,6,N/A"</formula1>
    </dataValidation>
    <dataValidation type="list" xr:uid="{BEBB365E-954C-414C-A888-1355815A776D}" sqref="J4" showErrorMessage="1" errorTitle="An invalid feedback was entered" error="Please choose feedback from drop down only.">
      <formula1>"1,2,3,4,5,6,N/A"</formula1>
    </dataValidation>
    <dataValidation type="list" xr:uid="{A92CFD77-51F5-4C77-8A21-70EE9A2ADCA7}" sqref="K4" showErrorMessage="1" errorTitle="An invalid feedback was entered" error="Please choose feedback from drop down only.">
      <formula1>"1,2,3,4,5,6,N/A"</formula1>
    </dataValidation>
    <dataValidation type="list" xr:uid="{946203E4-C6C8-443B-AB3A-B4364E23D7F1}" sqref="L4" showErrorMessage="1" errorTitle="An invalid feedback was entered" error="Please choose feedback from drop down only.">
      <formula1>"1,2,3,4,5,6,N/A"</formula1>
    </dataValidation>
    <dataValidation type="list" xr:uid="{442FC3B1-E33E-40CB-8C32-CE81670AE12B}" sqref="M4" showErrorMessage="1" errorTitle="An invalid feedback was entered" error="Please choose feedback from drop down only.">
      <formula1>"1,2,3,4,5,6,N/A"</formula1>
    </dataValidation>
    <dataValidation type="list" xr:uid="{F8BFD5B5-3220-4E42-AA0C-2E6546CACECA}" sqref="N4" showErrorMessage="1" errorTitle="An invalid feedback was entered" error="Please choose feedback from drop down only.">
      <formula1>"1,2,3,4,5,6,N/A"</formula1>
    </dataValidation>
    <dataValidation type="list" xr:uid="{EA156DDC-06F0-4A18-9101-09F0616802F9}" sqref="O4" showErrorMessage="1" errorTitle="An invalid feedback was entered" error="Please choose feedback from drop down only.">
      <formula1>"1,2,3,4,5,6,N/A"</formula1>
    </dataValidation>
    <dataValidation type="list" xr:uid="{F5EEA893-995D-4952-A45D-D723323F24B0}" sqref="P4" showErrorMessage="1" errorTitle="An invalid feedback was entered" error="Please choose feedback from drop down only.">
      <formula1>"1,2,3,4,5,6,N/A"</formula1>
    </dataValidation>
    <dataValidation type="list" xr:uid="{DB52B609-CB35-49C5-BC55-98F423054201}" sqref="Q4" showErrorMessage="1" errorTitle="An invalid feedback was entered" error="Please choose feedback from drop down only.">
      <formula1>"1,2,3,4,5,6,N/A"</formula1>
    </dataValidation>
    <dataValidation type="list" xr:uid="{A2B3EE99-2630-4550-A377-0ABEA961DA87}" sqref="C22" showErrorMessage="1" errorTitle="An invalid feedback was entered" error="Please choose feedback from drop down only.">
      <formula1>"700,800&amp;900,900,1800,2100,2600,3600,1800&amp;2100,1800&amp;2600,2100&amp;2600,18&amp;21&amp;26,Free,N/A,Yetel,A1,Yetel&amp;A1"</formula1>
    </dataValidation>
    <dataValidation type="list" xr:uid="{75AA3D70-657E-4DFB-9BEA-541DF6AE9863}" sqref="D22" showErrorMessage="1" errorTitle="An invalid feedback was entered" error="Please choose feedback from drop down only.">
      <formula1>"700,800&amp;900,900,1800,2100,2600,3600,1800&amp;2100,1800&amp;2600,2100&amp;2600,18&amp;21&amp;26,Free,N/A,Yetel,A1,Yetel&amp;A1"</formula1>
    </dataValidation>
    <dataValidation type="list" xr:uid="{DA80FDD4-6A5D-4775-9E9A-27C09FC94D2F}" sqref="E22" showErrorMessage="1" errorTitle="An invalid feedback was entered" error="Please choose feedback from drop down only.">
      <formula1>"700,800&amp;900,900,1800,2100,2600,3600,1800&amp;2100,1800&amp;2600,2100&amp;2600,18&amp;21&amp;26,Free,N/A,Yetel,A1,Yetel&amp;A1"</formula1>
    </dataValidation>
    <dataValidation type="list" xr:uid="{9A823948-9F74-4BB3-A34D-FEFEFBF1EB37}" sqref="F22" showErrorMessage="1" errorTitle="An invalid feedback was entered" error="Please choose feedback from drop down only.">
      <formula1>"700,800&amp;900,900,1800,2100,2600,3600,1800&amp;2100,1800&amp;2600,2100&amp;2600,18&amp;21&amp;26,Free,N/A,Yetel,A1,Yetel&amp;A1"</formula1>
    </dataValidation>
    <dataValidation type="list" xr:uid="{1186D61E-198F-44CD-ADAC-3FC6FFB42280}" sqref="G22" showErrorMessage="1" errorTitle="An invalid feedback was entered" error="Please choose feedback from drop down only.">
      <formula1>"700,800&amp;900,900,1800,2100,2600,3600,1800&amp;2100,1800&amp;2600,2100&amp;2600,18&amp;21&amp;26,Free,N/A,Yetel,A1,Yetel&amp;A1"</formula1>
    </dataValidation>
    <dataValidation type="list" xr:uid="{EFF3DA1D-E81F-4153-990D-D6B868C0000C}" sqref="H22" showErrorMessage="1" errorTitle="An invalid feedback was entered" error="Please choose feedback from drop down only.">
      <formula1>"700,800&amp;900,900,1800,2100,2600,3600,1800&amp;2100,1800&amp;2600,2100&amp;2600,18&amp;21&amp;26,Free,N/A,Yetel,A1,Yetel&amp;A1"</formula1>
    </dataValidation>
    <dataValidation type="list" xr:uid="{6DDA3D5C-CB25-4DF9-977F-5D495A2755B0}" sqref="I22" showErrorMessage="1" errorTitle="An invalid feedback was entered" error="Please choose feedback from drop down only.">
      <formula1>"700,800&amp;900,900,1800,2100,2600,3600,1800&amp;2100,1800&amp;2600,2100&amp;2600,18&amp;21&amp;26,Free,N/A,Yetel,A1,Yetel&amp;A1"</formula1>
    </dataValidation>
    <dataValidation type="list" xr:uid="{75827735-E19B-48A0-A8E8-E7C87FEEFEA5}" sqref="J22" showErrorMessage="1" errorTitle="An invalid feedback was entered" error="Please choose feedback from drop down only.">
      <formula1>"700,800&amp;900,900,1800,2100,2600,3600,1800&amp;2100,1800&amp;2600,2100&amp;2600,18&amp;21&amp;26,Free,N/A,Yetel,A1,Yetel&amp;A1"</formula1>
    </dataValidation>
    <dataValidation type="list" xr:uid="{5188FAB7-4571-46E9-A35B-1D63CEE8BD6B}" sqref="K22" showErrorMessage="1" errorTitle="An invalid feedback was entered" error="Please choose feedback from drop down only.">
      <formula1>"700,800&amp;900,900,1800,2100,2600,3600,1800&amp;2100,1800&amp;2600,2100&amp;2600,18&amp;21&amp;26,Free,N/A,Yetel,A1,Yetel&amp;A1"</formula1>
    </dataValidation>
    <dataValidation type="list" xr:uid="{D9B452CB-BD44-403C-BB51-46ADFE136AA7}" sqref="L22" showErrorMessage="1" errorTitle="An invalid feedback was entered" error="Please choose feedback from drop down only.">
      <formula1>"700,800&amp;900,900,1800,2100,2600,3600,1800&amp;2100,1800&amp;2600,2100&amp;2600,18&amp;21&amp;26,Free,N/A,Yetel,A1,Yetel&amp;A1"</formula1>
    </dataValidation>
    <dataValidation type="list" xr:uid="{17741130-E8B1-4227-A119-55FFAE8262F2}" sqref="M22" showErrorMessage="1" errorTitle="An invalid feedback was entered" error="Please choose feedback from drop down only.">
      <formula1>"700,800&amp;900,900,1800,2100,2600,3600,1800&amp;2100,1800&amp;2600,2100&amp;2600,18&amp;21&amp;26,Free,N/A,Yetel,A1,Yetel&amp;A1"</formula1>
    </dataValidation>
    <dataValidation type="list" xr:uid="{D76E5891-CDD4-47BE-90AF-836E6E8343D4}" sqref="N22" showErrorMessage="1" errorTitle="An invalid feedback was entered" error="Please choose feedback from drop down only.">
      <formula1>"700,800&amp;900,900,1800,2100,2600,3600,1800&amp;2100,1800&amp;2600,2100&amp;2600,18&amp;21&amp;26,Free,N/A,Yetel,A1,Yetel&amp;A1"</formula1>
    </dataValidation>
    <dataValidation type="list" xr:uid="{6364A4CD-ADFD-4E45-BAF4-FFB5B9D63695}" sqref="O22" showErrorMessage="1" errorTitle="An invalid feedback was entered" error="Please choose feedback from drop down only.">
      <formula1>"700,800&amp;900,900,1800,2100,2600,3600,1800&amp;2100,1800&amp;2600,2100&amp;2600,18&amp;21&amp;26,Free,N/A,Yetel,A1,Yetel&amp;A1"</formula1>
    </dataValidation>
    <dataValidation type="list" xr:uid="{8474590C-D59D-4873-9A1F-B0E1B9317078}" sqref="P22" showErrorMessage="1" errorTitle="An invalid feedback was entered" error="Please choose feedback from drop down only.">
      <formula1>"700,800&amp;900,900,1800,2100,2600,3600,1800&amp;2100,1800&amp;2600,2100&amp;2600,18&amp;21&amp;26,Free,N/A,Yetel,A1,Yetel&amp;A1"</formula1>
    </dataValidation>
    <dataValidation type="list" xr:uid="{E8A50441-603D-4A79-82EC-B687ADBA676A}" sqref="Q22" showErrorMessage="1" errorTitle="An invalid feedback was entered" error="Please choose feedback from drop down only.">
      <formula1>"700,800&amp;900,900,1800,2100,2600,3600,1800&amp;2100,1800&amp;2600,2100&amp;2600,18&amp;21&amp;26,Free,N/A,Yetel,A1,Yetel&amp;A1"</formula1>
    </dataValidation>
    <dataValidation type="list" xr:uid="{FC7C4CE9-C089-4AEC-97AC-A1A41E68FED2}" sqref="C28" showErrorMessage="1" errorTitle="An invalid feedback was entered" error="Please choose feedback from drop down only.">
      <formula1>"Yes,No,FlexRET"</formula1>
    </dataValidation>
    <dataValidation type="list" xr:uid="{75A3F043-0C08-4153-A55A-81F30E4AAD55}" sqref="D28" showErrorMessage="1" errorTitle="An invalid feedback was entered" error="Please choose feedback from drop down only.">
      <formula1>"Yes,No,FlexRET"</formula1>
    </dataValidation>
    <dataValidation type="list" xr:uid="{D8D6B87D-496B-4051-A65C-2967E6E3B483}" sqref="E28" showErrorMessage="1" errorTitle="An invalid feedback was entered" error="Please choose feedback from drop down only.">
      <formula1>"Yes,No,FlexRET"</formula1>
    </dataValidation>
    <dataValidation type="list" xr:uid="{8975DFF6-EE21-46BA-8276-9CDCE0BC8698}" sqref="F28" showErrorMessage="1" errorTitle="An invalid feedback was entered" error="Please choose feedback from drop down only.">
      <formula1>"Yes,No,FlexRET"</formula1>
    </dataValidation>
    <dataValidation type="list" xr:uid="{0F4988B3-153B-4337-A5B4-C96220E53081}" sqref="G28" showErrorMessage="1" errorTitle="An invalid feedback was entered" error="Please choose feedback from drop down only.">
      <formula1>"Yes,No,FlexRET"</formula1>
    </dataValidation>
    <dataValidation type="list" xr:uid="{EEBDFD20-56C8-41A8-B212-410D20BCA12F}" sqref="H28" showErrorMessage="1" errorTitle="An invalid feedback was entered" error="Please choose feedback from drop down only.">
      <formula1>"Yes,No,FlexRET"</formula1>
    </dataValidation>
    <dataValidation type="list" xr:uid="{0263743C-D853-4ABF-BEC3-D4578D146AD5}" sqref="I28" showErrorMessage="1" errorTitle="An invalid feedback was entered" error="Please choose feedback from drop down only.">
      <formula1>"Yes,No,FlexRET"</formula1>
    </dataValidation>
    <dataValidation type="list" xr:uid="{A9873119-4B8B-4FD3-BB56-7A932D89DF49}" sqref="J28" showErrorMessage="1" errorTitle="An invalid feedback was entered" error="Please choose feedback from drop down only.">
      <formula1>"Yes,No,FlexRET"</formula1>
    </dataValidation>
    <dataValidation type="list" xr:uid="{F36D7123-1207-4C06-A056-C8BB4293ECDD}" sqref="K28" showErrorMessage="1" errorTitle="An invalid feedback was entered" error="Please choose feedback from drop down only.">
      <formula1>"Yes,No,FlexRET"</formula1>
    </dataValidation>
    <dataValidation type="list" xr:uid="{26033BA5-C847-4110-82CB-4AE7F73419C7}" sqref="L28" showErrorMessage="1" errorTitle="An invalid feedback was entered" error="Please choose feedback from drop down only.">
      <formula1>"Yes,No,FlexRET"</formula1>
    </dataValidation>
    <dataValidation type="list" xr:uid="{57553F0B-9026-4905-B384-9FB9BF10FA51}" sqref="M28" showErrorMessage="1" errorTitle="An invalid feedback was entered" error="Please choose feedback from drop down only.">
      <formula1>"Yes,No,FlexRET"</formula1>
    </dataValidation>
    <dataValidation type="list" xr:uid="{1BA999CB-2AD4-4EF7-8A0A-5E88447D210C}" sqref="N28" showErrorMessage="1" errorTitle="An invalid feedback was entered" error="Please choose feedback from drop down only.">
      <formula1>"Yes,No,FlexRET"</formula1>
    </dataValidation>
    <dataValidation type="list" xr:uid="{587483A6-61C9-43B0-A8E2-106ACEAF58F0}" sqref="O28" showErrorMessage="1" errorTitle="An invalid feedback was entered" error="Please choose feedback from drop down only.">
      <formula1>"Yes,No,FlexRET"</formula1>
    </dataValidation>
    <dataValidation type="list" xr:uid="{912E6EF1-CC5A-4CD7-BB99-FACF1A027118}" sqref="P28" showErrorMessage="1" errorTitle="An invalid feedback was entered" error="Please choose feedback from drop down only.">
      <formula1>"Yes,No,FlexRET"</formula1>
    </dataValidation>
    <dataValidation type="list" xr:uid="{F739605A-F22A-4379-95C0-B55A728A44C9}" sqref="Q28" showErrorMessage="1" errorTitle="An invalid feedback was entered" error="Please choose feedback from drop down only.">
      <formula1>"Yes,No,FlexRET"</formula1>
    </dataValidation>
    <dataValidation type="list" xr:uid="{23DC9EDD-C2E4-4679-A4F9-32018010D301}" sqref="C29" showErrorMessage="1" errorTitle="An invalid feedback was entered" error="Please choose feedback from drop down only.">
      <formula1>"Yes,No,FlexRET"</formula1>
    </dataValidation>
    <dataValidation type="list" xr:uid="{A3018F05-E5CA-4CDC-AF8C-07D53134CACE}" sqref="D29" showErrorMessage="1" errorTitle="An invalid feedback was entered" error="Please choose feedback from drop down only.">
      <formula1>"Yes,No,FlexRET"</formula1>
    </dataValidation>
    <dataValidation type="list" xr:uid="{A59E90D2-ADB7-42D3-AA75-9C5C82EC5FCC}" sqref="E29" showErrorMessage="1" errorTitle="An invalid feedback was entered" error="Please choose feedback from drop down only.">
      <formula1>"Yes,No,FlexRET"</formula1>
    </dataValidation>
    <dataValidation type="list" xr:uid="{F1EFCF7C-533F-4D92-B02C-98D9680A3C44}" sqref="F29" showErrorMessage="1" errorTitle="An invalid feedback was entered" error="Please choose feedback from drop down only.">
      <formula1>"Yes,No,FlexRET"</formula1>
    </dataValidation>
    <dataValidation type="list" xr:uid="{3D2CEBB4-8317-4810-9F9E-10F67BDEE5DE}" sqref="G29" showErrorMessage="1" errorTitle="An invalid feedback was entered" error="Please choose feedback from drop down only.">
      <formula1>"Yes,No,FlexRET"</formula1>
    </dataValidation>
    <dataValidation type="list" xr:uid="{50F92C31-1110-4BD1-8DE7-55B24F25D6F4}" sqref="H29" showErrorMessage="1" errorTitle="An invalid feedback was entered" error="Please choose feedback from drop down only.">
      <formula1>"Yes,No,FlexRET"</formula1>
    </dataValidation>
    <dataValidation type="list" xr:uid="{A05B81C2-87E6-4795-A0D4-10455756A93E}" sqref="I29" showErrorMessage="1" errorTitle="An invalid feedback was entered" error="Please choose feedback from drop down only.">
      <formula1>"Yes,No,FlexRET"</formula1>
    </dataValidation>
    <dataValidation type="list" xr:uid="{993E7BFC-CB43-41ED-8235-B5E3EACF6BD0}" sqref="J29" showErrorMessage="1" errorTitle="An invalid feedback was entered" error="Please choose feedback from drop down only.">
      <formula1>"Yes,No,FlexRET"</formula1>
    </dataValidation>
    <dataValidation type="list" xr:uid="{BCD3E697-DA99-4DE6-BD12-68C72E70D8BB}" sqref="K29" showErrorMessage="1" errorTitle="An invalid feedback was entered" error="Please choose feedback from drop down only.">
      <formula1>"Yes,No,FlexRET"</formula1>
    </dataValidation>
    <dataValidation type="list" xr:uid="{A3E5229E-438A-4907-A3B1-1E452CA6067E}" sqref="L29" showErrorMessage="1" errorTitle="An invalid feedback was entered" error="Please choose feedback from drop down only.">
      <formula1>"Yes,No,FlexRET"</formula1>
    </dataValidation>
    <dataValidation type="list" xr:uid="{707ACBD0-94BF-4DE0-A1D9-51D3C25CE01B}" sqref="M29" showErrorMessage="1" errorTitle="An invalid feedback was entered" error="Please choose feedback from drop down only.">
      <formula1>"Yes,No,FlexRET"</formula1>
    </dataValidation>
    <dataValidation type="list" xr:uid="{8EFFEED6-9F09-4471-8883-A6F56A367C3D}" sqref="N29" showErrorMessage="1" errorTitle="An invalid feedback was entered" error="Please choose feedback from drop down only.">
      <formula1>"Yes,No,FlexRET"</formula1>
    </dataValidation>
    <dataValidation type="list" xr:uid="{2FD84820-2118-4729-9EC8-BD5149F0E170}" sqref="O29" showErrorMessage="1" errorTitle="An invalid feedback was entered" error="Please choose feedback from drop down only.">
      <formula1>"Yes,No,FlexRET"</formula1>
    </dataValidation>
    <dataValidation type="list" xr:uid="{073330D5-6015-469A-90AE-EBE9BDAF8A26}" sqref="P29" showErrorMessage="1" errorTitle="An invalid feedback was entered" error="Please choose feedback from drop down only.">
      <formula1>"Yes,No,FlexRET"</formula1>
    </dataValidation>
    <dataValidation type="list" xr:uid="{E68B4756-8B78-4AD1-8050-DCE3443D0323}" sqref="Q29" showErrorMessage="1" errorTitle="An invalid feedback was entered" error="Please choose feedback from drop down only.">
      <formula1>"Yes,No,FlexRET"</formula1>
    </dataValidation>
    <dataValidation type="list" xr:uid="{CBD03E18-A517-437D-96D8-D87895812A0E}" sqref="C25" showErrorMessage="1" errorTitle="An invalid feedback was entered" error="Please choose feedback from drop down only.">
      <formula1>"G,U,L,NR,GU,UL,GL,GUL,LNR,ULNR,None"</formula1>
    </dataValidation>
    <dataValidation type="list" xr:uid="{A7E55B7A-3379-4B32-86B0-E1CD7C470272}" sqref="D25" showErrorMessage="1" errorTitle="An invalid feedback was entered" error="Please choose feedback from drop down only.">
      <formula1>"G,U,L,NR,GU,UL,GL,GUL,LNR,ULNR,None"</formula1>
    </dataValidation>
    <dataValidation type="list" xr:uid="{C9A4071C-207D-4241-87FF-E2FF14D34D6F}" sqref="E25" showErrorMessage="1" errorTitle="An invalid feedback was entered" error="Please choose feedback from drop down only.">
      <formula1>"G,U,L,NR,GU,UL,GL,GUL,LNR,ULNR,None"</formula1>
    </dataValidation>
    <dataValidation type="list" xr:uid="{545F8794-C6C6-486A-8978-6049EA10D00A}" sqref="F25" showErrorMessage="1" errorTitle="An invalid feedback was entered" error="Please choose feedback from drop down only.">
      <formula1>"G,U,L,NR,GU,UL,GL,GUL,LNR,ULNR,None"</formula1>
    </dataValidation>
    <dataValidation type="list" xr:uid="{202245A2-E25E-46BD-9354-64076C3865B7}" sqref="G25" showErrorMessage="1" errorTitle="An invalid feedback was entered" error="Please choose feedback from drop down only.">
      <formula1>"G,U,L,NR,GU,UL,GL,GUL,LNR,ULNR,None"</formula1>
    </dataValidation>
    <dataValidation type="list" xr:uid="{60B266CD-DFFF-4429-8CD4-6832A40A9906}" sqref="H25" showErrorMessage="1" errorTitle="An invalid feedback was entered" error="Please choose feedback from drop down only.">
      <formula1>"G,U,L,NR,GU,UL,GL,GUL,LNR,ULNR,None"</formula1>
    </dataValidation>
    <dataValidation type="list" xr:uid="{4CA9F9E0-DB85-485B-8F2D-C86C1CDD7044}" sqref="I25" showErrorMessage="1" errorTitle="An invalid feedback was entered" error="Please choose feedback from drop down only.">
      <formula1>"G,U,L,NR,GU,UL,GL,GUL,LNR,ULNR,None"</formula1>
    </dataValidation>
    <dataValidation type="list" xr:uid="{0779B6AD-31BC-4154-A9ED-B5A99B948C35}" sqref="J25" showErrorMessage="1" errorTitle="An invalid feedback was entered" error="Please choose feedback from drop down only.">
      <formula1>"G,U,L,NR,GU,UL,GL,GUL,LNR,ULNR,None"</formula1>
    </dataValidation>
    <dataValidation type="list" xr:uid="{BB385E64-7689-4B9A-A847-3E294F7F74F5}" sqref="K25" showErrorMessage="1" errorTitle="An invalid feedback was entered" error="Please choose feedback from drop down only.">
      <formula1>"G,U,L,NR,GU,UL,GL,GUL,LNR,ULNR,None"</formula1>
    </dataValidation>
    <dataValidation type="list" xr:uid="{66C06A49-0220-4FA5-AA81-5ECED71B3E75}" sqref="L25" showErrorMessage="1" errorTitle="An invalid feedback was entered" error="Please choose feedback from drop down only.">
      <formula1>"G,U,L,NR,GU,UL,GL,GUL,LNR,ULNR,None"</formula1>
    </dataValidation>
    <dataValidation type="list" xr:uid="{5E295635-001B-4658-A011-00ED612F2D12}" sqref="M25" showErrorMessage="1" errorTitle="An invalid feedback was entered" error="Please choose feedback from drop down only.">
      <formula1>"G,U,L,NR,GU,UL,GL,GUL,LNR,ULNR,None"</formula1>
    </dataValidation>
    <dataValidation type="list" xr:uid="{91DD5D20-2388-4AA2-B3A2-BE45B47FB0DC}" sqref="N25" showErrorMessage="1" errorTitle="An invalid feedback was entered" error="Please choose feedback from drop down only.">
      <formula1>"G,U,L,NR,GU,UL,GL,GUL,LNR,ULNR,None"</formula1>
    </dataValidation>
    <dataValidation type="list" xr:uid="{B619F131-FECD-4328-B883-B9C3EC4ED0F6}" sqref="O25" showErrorMessage="1" errorTitle="An invalid feedback was entered" error="Please choose feedback from drop down only.">
      <formula1>"G,U,L,NR,GU,UL,GL,GUL,LNR,ULNR,None"</formula1>
    </dataValidation>
    <dataValidation type="list" xr:uid="{A2D3D031-C6ED-4915-AA1C-7BDE4DBD79BE}" sqref="P25" showErrorMessage="1" errorTitle="An invalid feedback was entered" error="Please choose feedback from drop down only.">
      <formula1>"G,U,L,NR,GU,UL,GL,GUL,LNR,ULNR,None"</formula1>
    </dataValidation>
    <dataValidation type="list" xr:uid="{90966B80-EF4F-413C-B23B-4C22FAC21354}" sqref="Q25" showErrorMessage="1" errorTitle="An invalid feedback was entered" error="Please choose feedback from drop down only.">
      <formula1>"G,U,L,NR,GU,UL,GL,GUL,LNR,ULNR,None"</formula1>
    </dataValidation>
    <dataValidation type="list" xr:uid="{6671715F-513E-42C5-99C7-227C76BC5658}" sqref="C37" showErrorMessage="1" errorTitle="An invalid feedback was entered" error="Please choose feedback from drop down only.">
      <formula1>"Yes,No,SASU,SASU/SASA,DCS/UMTS2100share,78210440,78211110,78210510,DTMA UMTS 12 ASIG,78211106,78210312,TMA 900 Tower amplifier,TMA900,MI-15832,MI-16331,MI-12731,MI-12031,N/A,Unknown,None"</formula1>
    </dataValidation>
    <dataValidation type="list" xr:uid="{A1D851F5-2B55-4793-AA5E-726881DE2A56}" sqref="D37" showErrorMessage="1" errorTitle="An invalid feedback was entered" error="Please choose feedback from drop down only.">
      <formula1>"Yes,No,SASU,SASU/SASA,DCS/UMTS2100share,78210440,78211110,78210510,DTMA UMTS 12 ASIG,78211106,78210312,TMA 900 Tower amplifier,TMA900,MI-15832,MI-16331,MI-12731,MI-12031,N/A,Unknown,None"</formula1>
    </dataValidation>
    <dataValidation type="list" xr:uid="{56BCE36A-636E-40C1-87DB-603C18814671}" sqref="E37" showErrorMessage="1" errorTitle="An invalid feedback was entered" error="Please choose feedback from drop down only.">
      <formula1>"Yes,No,SASU,SASU/SASA,DCS/UMTS2100share,78210440,78211110,78210510,DTMA UMTS 12 ASIG,78211106,78210312,TMA 900 Tower amplifier,TMA900,MI-15832,MI-16331,MI-12731,MI-12031,N/A,Unknown,None"</formula1>
    </dataValidation>
    <dataValidation type="list" xr:uid="{54022189-DC6B-46C5-A210-C0B701C48A59}" sqref="F37" showErrorMessage="1" errorTitle="An invalid feedback was entered" error="Please choose feedback from drop down only.">
      <formula1>"Yes,No,SASU,SASU/SASA,DCS/UMTS2100share,78210440,78211110,78210510,DTMA UMTS 12 ASIG,78211106,78210312,TMA 900 Tower amplifier,TMA900,MI-15832,MI-16331,MI-12731,MI-12031,N/A,Unknown,None"</formula1>
    </dataValidation>
    <dataValidation type="list" xr:uid="{F7776333-2358-48AC-AAD8-1EFD9CBCE276}" sqref="G37" showErrorMessage="1" errorTitle="An invalid feedback was entered" error="Please choose feedback from drop down only.">
      <formula1>"Yes,No,SASU,SASU/SASA,DCS/UMTS2100share,78210440,78211110,78210510,DTMA UMTS 12 ASIG,78211106,78210312,TMA 900 Tower amplifier,TMA900,MI-15832,MI-16331,MI-12731,MI-12031,N/A,Unknown,None"</formula1>
    </dataValidation>
    <dataValidation type="list" xr:uid="{A35CAFB8-2AF0-4059-9C2E-7C01642CB6B4}" sqref="H37" showErrorMessage="1" errorTitle="An invalid feedback was entered" error="Please choose feedback from drop down only.">
      <formula1>"Yes,No,SASU,SASU/SASA,DCS/UMTS2100share,78210440,78211110,78210510,DTMA UMTS 12 ASIG,78211106,78210312,TMA 900 Tower amplifier,TMA900,MI-15832,MI-16331,MI-12731,MI-12031,N/A,Unknown,None"</formula1>
    </dataValidation>
    <dataValidation type="list" xr:uid="{C64F2EF4-E1FA-4B21-89E9-7CEA93FEC670}" sqref="I37" showErrorMessage="1" errorTitle="An invalid feedback was entered" error="Please choose feedback from drop down only.">
      <formula1>"Yes,No,SASU,SASU/SASA,DCS/UMTS2100share,78210440,78211110,78210510,DTMA UMTS 12 ASIG,78211106,78210312,TMA 900 Tower amplifier,TMA900,MI-15832,MI-16331,MI-12731,MI-12031,N/A,Unknown,None"</formula1>
    </dataValidation>
    <dataValidation type="list" xr:uid="{FF23A999-209B-4AD5-BDD1-0DF7A5972BAB}" sqref="J37" showErrorMessage="1" errorTitle="An invalid feedback was entered" error="Please choose feedback from drop down only.">
      <formula1>"Yes,No,SASU,SASU/SASA,DCS/UMTS2100share,78210440,78211110,78210510,DTMA UMTS 12 ASIG,78211106,78210312,TMA 900 Tower amplifier,TMA900,MI-15832,MI-16331,MI-12731,MI-12031,N/A,Unknown,None"</formula1>
    </dataValidation>
    <dataValidation type="list" xr:uid="{58512D40-E53C-4C75-AFAA-73BD4D77A11B}" sqref="K37" showErrorMessage="1" errorTitle="An invalid feedback was entered" error="Please choose feedback from drop down only.">
      <formula1>"Yes,No,SASU,SASU/SASA,DCS/UMTS2100share,78210440,78211110,78210510,DTMA UMTS 12 ASIG,78211106,78210312,TMA 900 Tower amplifier,TMA900,MI-15832,MI-16331,MI-12731,MI-12031,N/A,Unknown,None"</formula1>
    </dataValidation>
    <dataValidation type="list" xr:uid="{4ED42877-5896-4531-904C-9879BB5DE05C}" sqref="L37" showErrorMessage="1" errorTitle="An invalid feedback was entered" error="Please choose feedback from drop down only.">
      <formula1>"Yes,No,SASU,SASU/SASA,DCS/UMTS2100share,78210440,78211110,78210510,DTMA UMTS 12 ASIG,78211106,78210312,TMA 900 Tower amplifier,TMA900,MI-15832,MI-16331,MI-12731,MI-12031,N/A,Unknown,None"</formula1>
    </dataValidation>
    <dataValidation type="list" xr:uid="{355836B1-9AEA-48CC-B6B3-A8A9C5BC145D}" sqref="M37" showErrorMessage="1" errorTitle="An invalid feedback was entered" error="Please choose feedback from drop down only.">
      <formula1>"Yes,No,SASU,SASU/SASA,DCS/UMTS2100share,78210440,78211110,78210510,DTMA UMTS 12 ASIG,78211106,78210312,TMA 900 Tower amplifier,TMA900,MI-15832,MI-16331,MI-12731,MI-12031,N/A,Unknown,None"</formula1>
    </dataValidation>
    <dataValidation type="list" xr:uid="{D74664ED-9D70-4F38-88FF-50B4A4C748F6}" sqref="N37" showErrorMessage="1" errorTitle="An invalid feedback was entered" error="Please choose feedback from drop down only.">
      <formula1>"Yes,No,SASU,SASU/SASA,DCS/UMTS2100share,78210440,78211110,78210510,DTMA UMTS 12 ASIG,78211106,78210312,TMA 900 Tower amplifier,TMA900,MI-15832,MI-16331,MI-12731,MI-12031,N/A,Unknown,None"</formula1>
    </dataValidation>
    <dataValidation type="list" xr:uid="{712639C8-CC64-4685-AE2D-F5ED59962007}" sqref="O37" showErrorMessage="1" errorTitle="An invalid feedback was entered" error="Please choose feedback from drop down only.">
      <formula1>"Yes,No,SASU,SASU/SASA,DCS/UMTS2100share,78210440,78211110,78210510,DTMA UMTS 12 ASIG,78211106,78210312,TMA 900 Tower amplifier,TMA900,MI-15832,MI-16331,MI-12731,MI-12031,N/A,Unknown,None"</formula1>
    </dataValidation>
    <dataValidation type="list" xr:uid="{DC117FAA-74C1-44F8-85E0-06251770F34D}" sqref="P37" showErrorMessage="1" errorTitle="An invalid feedback was entered" error="Please choose feedback from drop down only.">
      <formula1>"Yes,No,SASU,SASU/SASA,DCS/UMTS2100share,78210440,78211110,78210510,DTMA UMTS 12 ASIG,78211106,78210312,TMA 900 Tower amplifier,TMA900,MI-15832,MI-16331,MI-12731,MI-12031,N/A,Unknown,None"</formula1>
    </dataValidation>
    <dataValidation type="list" xr:uid="{FE2FF08C-604E-4763-B1BC-BB2DC0C1404C}" sqref="Q37" showErrorMessage="1" errorTitle="An invalid feedback was entered" error="Please choose feedback from drop down only.">
      <formula1>"Yes,No,SASU,SASU/SASA,DCS/UMTS2100share,78210440,78211110,78210510,DTMA UMTS 12 ASIG,78211106,78210312,TMA 900 Tower amplifier,TMA900,MI-15832,MI-16331,MI-12731,MI-12031,N/A,Unknown,None"</formula1>
    </dataValidation>
  </dataValidations>
  <pageMargins left="0.25" right="0.25" top="0.75" bottom="0.75" header="0.3" footer="0.3"/>
  <pageSetup paperSize="9" scale="56" fitToHeight="0" orientation="portrait"/>
  <headerFooter/>
  <extLst>
    <ext xmlns:x14="http://schemas.microsoft.com/office/spreadsheetml/2009/9/main" uri="{CCE6A557-97BC-4b89-ADB6-D9C93CAAB3DF}">
      <x14:dataValidations xmlns:xm="http://schemas.microsoft.com/office/excel/2006/main" count="60">
        <x14:dataValidation type="list" xr:uid="{BE7267BD-C856-4A7F-B57E-688E535B058F}" error="Please choose feedback from drop down only." errorTitle="An invalid feedback was entered" showErrorMessage="1">
          <x14:formula1>
            <xm:f>Antennas!A:A</xm:f>
          </x14:formula1>
          <xm:sqref>C8</xm:sqref>
        </x14:dataValidation>
        <x14:dataValidation type="list" xr:uid="{E780B86A-9D16-4EEB-9054-359C3676965B}" error="Please choose feedback from drop down only." errorTitle="An invalid feedback was entered" showErrorMessage="1">
          <x14:formula1>
            <xm:f>Antennas!A:A</xm:f>
          </x14:formula1>
          <xm:sqref>D8</xm:sqref>
        </x14:dataValidation>
        <x14:dataValidation type="list" xr:uid="{47F83455-08C6-48F5-8C1D-E90D75F1E06C}" error="Please choose feedback from drop down only." errorTitle="An invalid feedback was entered" showErrorMessage="1">
          <x14:formula1>
            <xm:f>Antennas!A:A</xm:f>
          </x14:formula1>
          <xm:sqref>E8</xm:sqref>
        </x14:dataValidation>
        <x14:dataValidation type="list" xr:uid="{41414B05-2FCF-4288-8FCD-0ED1F0BD6320}" error="Please choose feedback from drop down only." errorTitle="An invalid feedback was entered" showErrorMessage="1">
          <x14:formula1>
            <xm:f>Antennas!A:A</xm:f>
          </x14:formula1>
          <xm:sqref>F8</xm:sqref>
        </x14:dataValidation>
        <x14:dataValidation type="list" xr:uid="{0E35F0EE-68A2-4570-AEA0-4764A8638E58}" error="Please choose feedback from drop down only." errorTitle="An invalid feedback was entered" showErrorMessage="1">
          <x14:formula1>
            <xm:f>Antennas!A:A</xm:f>
          </x14:formula1>
          <xm:sqref>G8</xm:sqref>
        </x14:dataValidation>
        <x14:dataValidation type="list" xr:uid="{7BE6BB22-895A-4CBD-B673-F36FFE466B8D}" error="Please choose feedback from drop down only." errorTitle="An invalid feedback was entered" showErrorMessage="1">
          <x14:formula1>
            <xm:f>Antennas!A:A</xm:f>
          </x14:formula1>
          <xm:sqref>H8</xm:sqref>
        </x14:dataValidation>
        <x14:dataValidation type="list" xr:uid="{A326ED1B-1E1A-4B4A-BF8E-F09F1E80D52D}" error="Please choose feedback from drop down only." errorTitle="An invalid feedback was entered" showErrorMessage="1">
          <x14:formula1>
            <xm:f>Antennas!A:A</xm:f>
          </x14:formula1>
          <xm:sqref>I8</xm:sqref>
        </x14:dataValidation>
        <x14:dataValidation type="list" xr:uid="{A6CE66B2-CAFC-472E-A932-408680C27F9C}" error="Please choose feedback from drop down only." errorTitle="An invalid feedback was entered" showErrorMessage="1">
          <x14:formula1>
            <xm:f>Antennas!A:A</xm:f>
          </x14:formula1>
          <xm:sqref>J8</xm:sqref>
        </x14:dataValidation>
        <x14:dataValidation type="list" xr:uid="{4A20040A-9B16-4CEB-AAD2-6DB925742350}" error="Please choose feedback from drop down only." errorTitle="An invalid feedback was entered" showErrorMessage="1">
          <x14:formula1>
            <xm:f>Antennas!A:A</xm:f>
          </x14:formula1>
          <xm:sqref>K8</xm:sqref>
        </x14:dataValidation>
        <x14:dataValidation type="list" xr:uid="{65DF4812-8472-48D6-B511-6599823AF473}" error="Please choose feedback from drop down only." errorTitle="An invalid feedback was entered" showErrorMessage="1">
          <x14:formula1>
            <xm:f>Antennas!A:A</xm:f>
          </x14:formula1>
          <xm:sqref>L8</xm:sqref>
        </x14:dataValidation>
        <x14:dataValidation type="list" xr:uid="{7D95DC45-6D91-4E8A-BCD6-CA6B52204748}" error="Please choose feedback from drop down only." errorTitle="An invalid feedback was entered" showErrorMessage="1">
          <x14:formula1>
            <xm:f>Antennas!A:A</xm:f>
          </x14:formula1>
          <xm:sqref>M8</xm:sqref>
        </x14:dataValidation>
        <x14:dataValidation type="list" xr:uid="{107A84C7-4933-4DC0-915B-38603326E3DB}" error="Please choose feedback from drop down only." errorTitle="An invalid feedback was entered" showErrorMessage="1">
          <x14:formula1>
            <xm:f>Antennas!A:A</xm:f>
          </x14:formula1>
          <xm:sqref>N8</xm:sqref>
        </x14:dataValidation>
        <x14:dataValidation type="list" xr:uid="{A90795DA-EC18-402A-96C3-C32B47CBB37F}" error="Please choose feedback from drop down only." errorTitle="An invalid feedback was entered" showErrorMessage="1">
          <x14:formula1>
            <xm:f>Antennas!A:A</xm:f>
          </x14:formula1>
          <xm:sqref>O8</xm:sqref>
        </x14:dataValidation>
        <x14:dataValidation type="list" xr:uid="{C046278A-1ED5-4D79-8DE9-90C19CBD22B2}" error="Please choose feedback from drop down only." errorTitle="An invalid feedback was entered" showErrorMessage="1">
          <x14:formula1>
            <xm:f>Antennas!A:A</xm:f>
          </x14:formula1>
          <xm:sqref>P8</xm:sqref>
        </x14:dataValidation>
        <x14:dataValidation type="list" xr:uid="{FA7E0CF4-9D65-4D92-B271-784EE51ABB06}" error="Please choose feedback from drop down only." errorTitle="An invalid feedback was entered" showErrorMessage="1">
          <x14:formula1>
            <xm:f>Antennas!A:A</xm:f>
          </x14:formula1>
          <xm:sqref>Q8</xm:sqref>
        </x14:dataValidation>
        <x14:dataValidation type="list" xr:uid="{FD0F6093-0A90-453E-96A5-4E4660C6878B}" error="Please choose feedback from drop down only." errorTitle="An invalid feedback was entered" showErrorMessage="1">
          <x14:formula1>
            <xm:f>Combiners!A:A</xm:f>
          </x14:formula1>
          <xm:sqref>C39</xm:sqref>
        </x14:dataValidation>
        <x14:dataValidation type="list" xr:uid="{E9EF45FE-5DFB-4C47-9B2A-CB5B2271DE71}" error="Please choose feedback from drop down only." errorTitle="An invalid feedback was entered" showErrorMessage="1">
          <x14:formula1>
            <xm:f>Combiners!A:A</xm:f>
          </x14:formula1>
          <xm:sqref>D39</xm:sqref>
        </x14:dataValidation>
        <x14:dataValidation type="list" xr:uid="{9EC831C1-B6C6-4ACE-8D76-BBFB7335162D}" error="Please choose feedback from drop down only." errorTitle="An invalid feedback was entered" showErrorMessage="1">
          <x14:formula1>
            <xm:f>Combiners!A:A</xm:f>
          </x14:formula1>
          <xm:sqref>E39</xm:sqref>
        </x14:dataValidation>
        <x14:dataValidation type="list" xr:uid="{5D6EA8EB-9BE0-4B23-914A-31D01EFF7404}" error="Please choose feedback from drop down only." errorTitle="An invalid feedback was entered" showErrorMessage="1">
          <x14:formula1>
            <xm:f>Combiners!A:A</xm:f>
          </x14:formula1>
          <xm:sqref>F39</xm:sqref>
        </x14:dataValidation>
        <x14:dataValidation type="list" xr:uid="{E4EFDB1F-9FA6-4558-BFC5-3DB8EA758F68}" error="Please choose feedback from drop down only." errorTitle="An invalid feedback was entered" showErrorMessage="1">
          <x14:formula1>
            <xm:f>Combiners!A:A</xm:f>
          </x14:formula1>
          <xm:sqref>G39</xm:sqref>
        </x14:dataValidation>
        <x14:dataValidation type="list" xr:uid="{0B26F220-4F76-4CC7-9244-BF2FACFC787A}" error="Please choose feedback from drop down only." errorTitle="An invalid feedback was entered" showErrorMessage="1">
          <x14:formula1>
            <xm:f>Combiners!A:A</xm:f>
          </x14:formula1>
          <xm:sqref>H39</xm:sqref>
        </x14:dataValidation>
        <x14:dataValidation type="list" xr:uid="{882376EF-67B6-4D20-8371-C4BC907F891B}" error="Please choose feedback from drop down only." errorTitle="An invalid feedback was entered" showErrorMessage="1">
          <x14:formula1>
            <xm:f>Combiners!A:A</xm:f>
          </x14:formula1>
          <xm:sqref>I39</xm:sqref>
        </x14:dataValidation>
        <x14:dataValidation type="list" xr:uid="{EC341FCE-12C7-4EEC-94E7-3C7975B22BC4}" error="Please choose feedback from drop down only." errorTitle="An invalid feedback was entered" showErrorMessage="1">
          <x14:formula1>
            <xm:f>Combiners!A:A</xm:f>
          </x14:formula1>
          <xm:sqref>J39</xm:sqref>
        </x14:dataValidation>
        <x14:dataValidation type="list" xr:uid="{652FF20D-708B-4BE0-A354-E6FCE532E5DE}" error="Please choose feedback from drop down only." errorTitle="An invalid feedback was entered" showErrorMessage="1">
          <x14:formula1>
            <xm:f>Combiners!A:A</xm:f>
          </x14:formula1>
          <xm:sqref>K39</xm:sqref>
        </x14:dataValidation>
        <x14:dataValidation type="list" xr:uid="{B4D3A5A4-06B9-4506-9F1F-0A4997863A50}" error="Please choose feedback from drop down only." errorTitle="An invalid feedback was entered" showErrorMessage="1">
          <x14:formula1>
            <xm:f>Combiners!A:A</xm:f>
          </x14:formula1>
          <xm:sqref>L39</xm:sqref>
        </x14:dataValidation>
        <x14:dataValidation type="list" xr:uid="{76AF522B-DA5B-49A4-A823-5D7CBF3F1C7C}" error="Please choose feedback from drop down only." errorTitle="An invalid feedback was entered" showErrorMessage="1">
          <x14:formula1>
            <xm:f>Combiners!A:A</xm:f>
          </x14:formula1>
          <xm:sqref>M39</xm:sqref>
        </x14:dataValidation>
        <x14:dataValidation type="list" xr:uid="{FBBC33DC-5C5E-481D-B1FB-1C1FA1067EC7}" error="Please choose feedback from drop down only." errorTitle="An invalid feedback was entered" showErrorMessage="1">
          <x14:formula1>
            <xm:f>Combiners!A:A</xm:f>
          </x14:formula1>
          <xm:sqref>N39</xm:sqref>
        </x14:dataValidation>
        <x14:dataValidation type="list" xr:uid="{9FCBCCE4-B3C3-48D3-BAF3-BB99F53816DD}" error="Please choose feedback from drop down only." errorTitle="An invalid feedback was entered" showErrorMessage="1">
          <x14:formula1>
            <xm:f>Combiners!A:A</xm:f>
          </x14:formula1>
          <xm:sqref>O39</xm:sqref>
        </x14:dataValidation>
        <x14:dataValidation type="list" xr:uid="{F6EB3649-FBA4-48DB-95A4-54A5B36F2C14}" error="Please choose feedback from drop down only." errorTitle="An invalid feedback was entered" showErrorMessage="1">
          <x14:formula1>
            <xm:f>Combiners!A:A</xm:f>
          </x14:formula1>
          <xm:sqref>P39</xm:sqref>
        </x14:dataValidation>
        <x14:dataValidation type="list" xr:uid="{71BB5F31-FC35-4FE1-ADC3-81413A22BBA3}" error="Please choose feedback from drop down only." errorTitle="An invalid feedback was entered" showErrorMessage="1">
          <x14:formula1>
            <xm:f>Combiners!A:A</xm:f>
          </x14:formula1>
          <xm:sqref>Q39</xm:sqref>
        </x14:dataValidation>
        <x14:dataValidation type="list" xr:uid="{EC44510C-4133-4A59-B2B8-8384F0244AAA}" error="Please choose feedback from drop down only." errorTitle="An invalid feedback was entered" showErrorMessage="0">
          <x14:formula1>
            <xm:f>RRUs!A:A</xm:f>
          </x14:formula1>
          <xm:sqref>C35</xm:sqref>
        </x14:dataValidation>
        <x14:dataValidation type="list" xr:uid="{3312CD72-4617-4670-BBC3-403F61CCEEF3}" error="Please choose feedback from drop down only." errorTitle="An invalid feedback was entered" showErrorMessage="0">
          <x14:formula1>
            <xm:f>RRUs!A:A</xm:f>
          </x14:formula1>
          <xm:sqref>D35</xm:sqref>
        </x14:dataValidation>
        <x14:dataValidation type="list" xr:uid="{0E5FAC66-F7C5-4C7C-993F-0DBC04BE0689}" error="Please choose feedback from drop down only." errorTitle="An invalid feedback was entered" showErrorMessage="0">
          <x14:formula1>
            <xm:f>RRUs!A:A</xm:f>
          </x14:formula1>
          <xm:sqref>E35</xm:sqref>
        </x14:dataValidation>
        <x14:dataValidation type="list" xr:uid="{B5CD8628-F1A3-4838-9F3D-1742EC6A82B4}" error="Please choose feedback from drop down only." errorTitle="An invalid feedback was entered" showErrorMessage="0">
          <x14:formula1>
            <xm:f>RRUs!A:A</xm:f>
          </x14:formula1>
          <xm:sqref>F35</xm:sqref>
        </x14:dataValidation>
        <x14:dataValidation type="list" xr:uid="{A9B95C2F-BD01-4D6F-8B2B-C69390D65AA1}" error="Please choose feedback from drop down only." errorTitle="An invalid feedback was entered" showErrorMessage="0">
          <x14:formula1>
            <xm:f>RRUs!A:A</xm:f>
          </x14:formula1>
          <xm:sqref>G35</xm:sqref>
        </x14:dataValidation>
        <x14:dataValidation type="list" xr:uid="{483D22D9-133D-40B0-A43C-5F8636CE6514}" error="Please choose feedback from drop down only." errorTitle="An invalid feedback was entered" showErrorMessage="0">
          <x14:formula1>
            <xm:f>RRUs!A:A</xm:f>
          </x14:formula1>
          <xm:sqref>H35</xm:sqref>
        </x14:dataValidation>
        <x14:dataValidation type="list" xr:uid="{8EAAB389-3F29-4198-9B0D-D1DC03946CD6}" error="Please choose feedback from drop down only." errorTitle="An invalid feedback was entered" showErrorMessage="0">
          <x14:formula1>
            <xm:f>RRUs!A:A</xm:f>
          </x14:formula1>
          <xm:sqref>I35</xm:sqref>
        </x14:dataValidation>
        <x14:dataValidation type="list" xr:uid="{F581BFDA-1629-4648-9F3E-1611F6363F7F}" error="Please choose feedback from drop down only." errorTitle="An invalid feedback was entered" showErrorMessage="0">
          <x14:formula1>
            <xm:f>RRUs!A:A</xm:f>
          </x14:formula1>
          <xm:sqref>J35</xm:sqref>
        </x14:dataValidation>
        <x14:dataValidation type="list" xr:uid="{EDE6C7AD-151C-41DB-ABF7-080EFE9440F4}" error="Please choose feedback from drop down only." errorTitle="An invalid feedback was entered" showErrorMessage="0">
          <x14:formula1>
            <xm:f>RRUs!A:A</xm:f>
          </x14:formula1>
          <xm:sqref>K35</xm:sqref>
        </x14:dataValidation>
        <x14:dataValidation type="list" xr:uid="{B3E2C1C3-9221-45CD-A6BB-BA29AB2E4661}" error="Please choose feedback from drop down only." errorTitle="An invalid feedback was entered" showErrorMessage="0">
          <x14:formula1>
            <xm:f>RRUs!A:A</xm:f>
          </x14:formula1>
          <xm:sqref>L35</xm:sqref>
        </x14:dataValidation>
        <x14:dataValidation type="list" xr:uid="{9848C236-ADB4-4282-8523-664DE4B407FE}" error="Please choose feedback from drop down only." errorTitle="An invalid feedback was entered" showErrorMessage="0">
          <x14:formula1>
            <xm:f>RRUs!A:A</xm:f>
          </x14:formula1>
          <xm:sqref>M35</xm:sqref>
        </x14:dataValidation>
        <x14:dataValidation type="list" xr:uid="{17546725-CE2F-4377-99CA-CB1F852B8B92}" error="Please choose feedback from drop down only." errorTitle="An invalid feedback was entered" showErrorMessage="0">
          <x14:formula1>
            <xm:f>RRUs!A:A</xm:f>
          </x14:formula1>
          <xm:sqref>N35</xm:sqref>
        </x14:dataValidation>
        <x14:dataValidation type="list" xr:uid="{9628FDA1-448D-4CBE-AD33-53845C876537}" error="Please choose feedback from drop down only." errorTitle="An invalid feedback was entered" showErrorMessage="0">
          <x14:formula1>
            <xm:f>RRUs!A:A</xm:f>
          </x14:formula1>
          <xm:sqref>O35</xm:sqref>
        </x14:dataValidation>
        <x14:dataValidation type="list" xr:uid="{00E97C22-4D81-439F-A36D-2B0B01D839B9}" error="Please choose feedback from drop down only." errorTitle="An invalid feedback was entered" showErrorMessage="0">
          <x14:formula1>
            <xm:f>RRUs!A:A</xm:f>
          </x14:formula1>
          <xm:sqref>P35</xm:sqref>
        </x14:dataValidation>
        <x14:dataValidation type="list" xr:uid="{968A3A4F-05CF-4127-A26F-B1F78F76EA3C}" error="Please choose feedback from drop down only." errorTitle="An invalid feedback was entered" showErrorMessage="0">
          <x14:formula1>
            <xm:f>RRUs!A:A</xm:f>
          </x14:formula1>
          <xm:sqref>Q35</xm:sqref>
        </x14:dataValidation>
        <x14:dataValidation type="list" xr:uid="{82F2E61A-EA30-4108-B8F2-82814BD4ABB4}" error="Please choose feedback from drop down only." errorTitle="An invalid feedback was entered" showErrorMessage="1">
          <x14:formula1>
            <xm:f>Combiners!A:A</xm:f>
          </x14:formula1>
          <xm:sqref>C41</xm:sqref>
        </x14:dataValidation>
        <x14:dataValidation type="list" xr:uid="{79728AD4-6882-4524-B1AB-661AB8AF11FA}" error="Please choose feedback from drop down only." errorTitle="An invalid feedback was entered" showErrorMessage="1">
          <x14:formula1>
            <xm:f>Combiners!A:A</xm:f>
          </x14:formula1>
          <xm:sqref>D41</xm:sqref>
        </x14:dataValidation>
        <x14:dataValidation type="list" xr:uid="{F284D3F2-0B6B-4175-9EC1-D763B0801026}" error="Please choose feedback from drop down only." errorTitle="An invalid feedback was entered" showErrorMessage="1">
          <x14:formula1>
            <xm:f>Combiners!A:A</xm:f>
          </x14:formula1>
          <xm:sqref>E41</xm:sqref>
        </x14:dataValidation>
        <x14:dataValidation type="list" xr:uid="{D168BBCD-F388-4CA5-99D6-7E073312DF38}" error="Please choose feedback from drop down only." errorTitle="An invalid feedback was entered" showErrorMessage="1">
          <x14:formula1>
            <xm:f>Combiners!A:A</xm:f>
          </x14:formula1>
          <xm:sqref>F41</xm:sqref>
        </x14:dataValidation>
        <x14:dataValidation type="list" xr:uid="{7F3EB142-D7E4-40DE-90FE-6B3398579422}" error="Please choose feedback from drop down only." errorTitle="An invalid feedback was entered" showErrorMessage="1">
          <x14:formula1>
            <xm:f>Combiners!A:A</xm:f>
          </x14:formula1>
          <xm:sqref>G41</xm:sqref>
        </x14:dataValidation>
        <x14:dataValidation type="list" xr:uid="{9DEE7CB0-1BF7-48B7-8F29-8E041D5D81CC}" error="Please choose feedback from drop down only." errorTitle="An invalid feedback was entered" showErrorMessage="1">
          <x14:formula1>
            <xm:f>Combiners!A:A</xm:f>
          </x14:formula1>
          <xm:sqref>H41</xm:sqref>
        </x14:dataValidation>
        <x14:dataValidation type="list" xr:uid="{871B73CE-E1A7-46DE-A984-001007E5F194}" error="Please choose feedback from drop down only." errorTitle="An invalid feedback was entered" showErrorMessage="1">
          <x14:formula1>
            <xm:f>Combiners!A:A</xm:f>
          </x14:formula1>
          <xm:sqref>I41</xm:sqref>
        </x14:dataValidation>
        <x14:dataValidation type="list" xr:uid="{B4D23F2B-1170-4898-8F15-F99DC493228C}" error="Please choose feedback from drop down only." errorTitle="An invalid feedback was entered" showErrorMessage="1">
          <x14:formula1>
            <xm:f>Combiners!A:A</xm:f>
          </x14:formula1>
          <xm:sqref>J41</xm:sqref>
        </x14:dataValidation>
        <x14:dataValidation type="list" xr:uid="{2C77E71A-BBF3-4953-B688-BCEC630FE940}" error="Please choose feedback from drop down only." errorTitle="An invalid feedback was entered" showErrorMessage="1">
          <x14:formula1>
            <xm:f>Combiners!A:A</xm:f>
          </x14:formula1>
          <xm:sqref>K41</xm:sqref>
        </x14:dataValidation>
        <x14:dataValidation type="list" xr:uid="{7249504D-0645-4B66-8181-91B68B20CA4D}" error="Please choose feedback from drop down only." errorTitle="An invalid feedback was entered" showErrorMessage="1">
          <x14:formula1>
            <xm:f>Combiners!A:A</xm:f>
          </x14:formula1>
          <xm:sqref>L41</xm:sqref>
        </x14:dataValidation>
        <x14:dataValidation type="list" xr:uid="{F8187600-5116-4156-A843-EA66BFF6B047}" error="Please choose feedback from drop down only." errorTitle="An invalid feedback was entered" showErrorMessage="1">
          <x14:formula1>
            <xm:f>Combiners!A:A</xm:f>
          </x14:formula1>
          <xm:sqref>M41</xm:sqref>
        </x14:dataValidation>
        <x14:dataValidation type="list" xr:uid="{C5689ADE-F076-41B0-9AAC-ADD21F3BED01}" error="Please choose feedback from drop down only." errorTitle="An invalid feedback was entered" showErrorMessage="1">
          <x14:formula1>
            <xm:f>Combiners!A:A</xm:f>
          </x14:formula1>
          <xm:sqref>N41</xm:sqref>
        </x14:dataValidation>
        <x14:dataValidation type="list" xr:uid="{6C93C7CE-CEA5-45D0-AF9C-51CF8234F2CB}" error="Please choose feedback from drop down only." errorTitle="An invalid feedback was entered" showErrorMessage="1">
          <x14:formula1>
            <xm:f>Combiners!A:A</xm:f>
          </x14:formula1>
          <xm:sqref>O41</xm:sqref>
        </x14:dataValidation>
        <x14:dataValidation type="list" xr:uid="{C29EC71C-5FDE-44E9-83D2-A9562EA64DBB}" error="Please choose feedback from drop down only." errorTitle="An invalid feedback was entered" showErrorMessage="1">
          <x14:formula1>
            <xm:f>Combiners!A:A</xm:f>
          </x14:formula1>
          <xm:sqref>P41</xm:sqref>
        </x14:dataValidation>
        <x14:dataValidation type="list" xr:uid="{C5F5B490-3398-49CA-B2F3-420C495BCD90}" error="Please choose feedback from drop down only." errorTitle="An invalid feedback was entered" showErrorMessage="1">
          <x14:formula1>
            <xm:f>Combiners!A:A</xm:f>
          </x14:formula1>
          <xm:sqref>Q41</xm:sqref>
        </x14:dataValidation>
      </x14:dataValidations>
    </ext>
  </extLst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mc:Ignorable="x14ac xr">
  <sheetPr codeName="Sheet6"/>
  <dimension ref="A1:U45"/>
  <sheetViews>
    <sheetView zoomScale="90" zoomScaleNormal="90" workbookViewId="0">
      <selection activeCell="C8" sqref="C8:H8"/>
    </sheetView>
  </sheetViews>
  <sheetFormatPr defaultColWidth="9.1328125" defaultRowHeight="12.75"/>
  <cols>
    <col min="1" max="1" bestFit="1" width="10.265625" customWidth="1" style="6"/>
    <col min="2" max="2" bestFit="1" width="40.1328125" customWidth="1" style="7"/>
    <col min="3" max="7" width="9.1328125" customWidth="1" style="21"/>
    <col min="8" max="8" bestFit="1" width="9.3984375" customWidth="1" style="21"/>
    <col min="9" max="16384" width="9.1328125" customWidth="1" style="21"/>
  </cols>
  <sheetData>
    <row r="1" ht="25.15" customHeight="1">
      <c r="A1" s="197"/>
      <c r="B1" s="198"/>
      <c r="C1" s="258" t="s">
        <v>112</v>
      </c>
      <c r="D1" s="258"/>
      <c r="E1" s="258"/>
      <c r="F1" s="258"/>
      <c r="G1" s="258"/>
      <c r="H1" s="258"/>
      <c r="I1" s="258"/>
      <c r="J1" s="258"/>
      <c r="K1" s="258"/>
      <c r="L1" s="258"/>
      <c r="M1" s="258"/>
      <c r="N1" s="258"/>
      <c r="O1" s="258"/>
      <c r="P1" s="258"/>
    </row>
    <row r="2" ht="18">
      <c r="A2" s="33"/>
      <c r="B2" s="14" t="s">
        <v>1</v>
      </c>
      <c r="C2" s="217">
        <v>1</v>
      </c>
      <c r="D2" s="251"/>
      <c r="E2" s="251"/>
      <c r="F2" s="251"/>
      <c r="G2" s="251"/>
      <c r="H2" s="219"/>
      <c r="I2" s="252">
        <v>2</v>
      </c>
      <c r="J2" s="253"/>
      <c r="K2" s="253"/>
      <c r="L2" s="254"/>
      <c r="M2" s="252">
        <v>3</v>
      </c>
      <c r="N2" s="253"/>
      <c r="O2" s="255"/>
      <c r="P2" s="72">
        <v>4</v>
      </c>
    </row>
    <row r="3" ht="17.25">
      <c r="A3" s="241"/>
      <c r="B3" s="12" t="s">
        <v>2</v>
      </c>
      <c r="C3" s="211"/>
      <c r="D3" s="212"/>
      <c r="E3" s="212"/>
      <c r="F3" s="212"/>
      <c r="G3" s="212"/>
      <c r="H3" s="212"/>
      <c r="I3" s="212"/>
      <c r="J3" s="212"/>
      <c r="K3" s="212"/>
      <c r="L3" s="212"/>
      <c r="M3" s="212"/>
      <c r="N3" s="212"/>
      <c r="O3" s="212"/>
      <c r="P3" s="213"/>
    </row>
    <row r="4" ht="25.15" s="22" customFormat="1">
      <c r="A4" s="241"/>
      <c r="B4" s="9" t="s">
        <v>3</v>
      </c>
      <c r="C4" s="248"/>
      <c r="D4" s="249"/>
      <c r="E4" s="249"/>
      <c r="F4" s="249"/>
      <c r="G4" s="249"/>
      <c r="H4" s="249"/>
      <c r="I4" s="249"/>
      <c r="J4" s="249"/>
      <c r="K4" s="249"/>
      <c r="L4" s="249"/>
      <c r="M4" s="249"/>
      <c r="N4" s="249"/>
      <c r="O4" s="249"/>
      <c r="P4" s="250"/>
    </row>
    <row r="5" ht="24.75">
      <c r="A5" s="241"/>
      <c r="B5" s="13" t="s">
        <v>4</v>
      </c>
      <c r="C5" s="245"/>
      <c r="D5" s="246"/>
      <c r="E5" s="246"/>
      <c r="F5" s="246"/>
      <c r="G5" s="246"/>
      <c r="H5" s="246"/>
      <c r="I5" s="246"/>
      <c r="J5" s="246"/>
      <c r="K5" s="246"/>
      <c r="L5" s="246"/>
      <c r="M5" s="246"/>
      <c r="N5" s="246"/>
      <c r="O5" s="246"/>
      <c r="P5" s="247"/>
    </row>
    <row r="6" ht="25.15" s="22" customFormat="1">
      <c r="A6" s="241"/>
      <c r="B6" s="32" t="s">
        <v>5</v>
      </c>
      <c r="C6" s="248"/>
      <c r="D6" s="249"/>
      <c r="E6" s="249"/>
      <c r="F6" s="249"/>
      <c r="G6" s="249"/>
      <c r="H6" s="249"/>
      <c r="I6" s="249"/>
      <c r="J6" s="249"/>
      <c r="K6" s="249"/>
      <c r="L6" s="249"/>
      <c r="M6" s="249"/>
      <c r="N6" s="249"/>
      <c r="O6" s="249"/>
      <c r="P6" s="250"/>
    </row>
    <row r="7" ht="17.25">
      <c r="A7" s="241"/>
      <c r="B7" s="8" t="s">
        <v>6</v>
      </c>
      <c r="C7" s="226"/>
      <c r="D7" s="227"/>
      <c r="E7" s="227"/>
      <c r="F7" s="227"/>
      <c r="G7" s="227"/>
      <c r="H7" s="228"/>
      <c r="I7" s="227"/>
      <c r="J7" s="227"/>
      <c r="K7" s="227"/>
      <c r="L7" s="228"/>
      <c r="M7" s="227"/>
      <c r="N7" s="227"/>
      <c r="O7" s="228"/>
      <c r="P7" s="90"/>
    </row>
    <row r="8" ht="17.65" s="22" customFormat="1">
      <c r="A8" s="241"/>
      <c r="B8" s="9" t="s">
        <v>8</v>
      </c>
      <c r="C8" s="229"/>
      <c r="D8" s="230"/>
      <c r="E8" s="230"/>
      <c r="F8" s="230"/>
      <c r="G8" s="230"/>
      <c r="H8" s="231"/>
      <c r="I8" s="229"/>
      <c r="J8" s="230"/>
      <c r="K8" s="230"/>
      <c r="L8" s="231"/>
      <c r="M8" s="229"/>
      <c r="N8" s="230"/>
      <c r="O8" s="231"/>
      <c r="P8" s="74"/>
    </row>
    <row r="9" ht="17.25">
      <c r="A9" s="241"/>
      <c r="B9" s="8" t="s">
        <v>9</v>
      </c>
      <c r="C9" s="211"/>
      <c r="D9" s="212"/>
      <c r="E9" s="212"/>
      <c r="F9" s="212"/>
      <c r="G9" s="212"/>
      <c r="H9" s="213"/>
      <c r="I9" s="212"/>
      <c r="J9" s="212"/>
      <c r="K9" s="212"/>
      <c r="L9" s="213"/>
      <c r="M9" s="212"/>
      <c r="N9" s="212"/>
      <c r="O9" s="213"/>
      <c r="P9" s="73"/>
    </row>
    <row r="10" ht="17.65" s="22" customFormat="1">
      <c r="A10" s="241"/>
      <c r="B10" s="10" t="s">
        <v>11</v>
      </c>
      <c r="C10" s="229"/>
      <c r="D10" s="230"/>
      <c r="E10" s="230"/>
      <c r="F10" s="230"/>
      <c r="G10" s="230"/>
      <c r="H10" s="231"/>
      <c r="I10" s="229"/>
      <c r="J10" s="230"/>
      <c r="K10" s="230"/>
      <c r="L10" s="231"/>
      <c r="M10" s="229"/>
      <c r="N10" s="230"/>
      <c r="O10" s="231"/>
      <c r="P10" s="74"/>
    </row>
    <row r="11" ht="17.25">
      <c r="A11" s="241"/>
      <c r="B11" s="8" t="s">
        <v>12</v>
      </c>
      <c r="C11" s="211"/>
      <c r="D11" s="212"/>
      <c r="E11" s="212"/>
      <c r="F11" s="212"/>
      <c r="G11" s="212"/>
      <c r="H11" s="213"/>
      <c r="I11" s="212"/>
      <c r="J11" s="212"/>
      <c r="K11" s="212"/>
      <c r="L11" s="213"/>
      <c r="M11" s="212"/>
      <c r="N11" s="212"/>
      <c r="O11" s="213"/>
      <c r="P11" s="73"/>
    </row>
    <row r="12" ht="17.65" s="22" customFormat="1">
      <c r="A12" s="241"/>
      <c r="B12" s="10" t="s">
        <v>13</v>
      </c>
      <c r="C12" s="214"/>
      <c r="D12" s="215"/>
      <c r="E12" s="215"/>
      <c r="F12" s="215"/>
      <c r="G12" s="215"/>
      <c r="H12" s="216"/>
      <c r="I12" s="214"/>
      <c r="J12" s="215"/>
      <c r="K12" s="215"/>
      <c r="L12" s="216"/>
      <c r="M12" s="214"/>
      <c r="N12" s="215"/>
      <c r="O12" s="216"/>
      <c r="P12" s="74"/>
    </row>
    <row r="13" ht="17.25">
      <c r="A13" s="241"/>
      <c r="B13" s="8" t="s">
        <v>14</v>
      </c>
      <c r="C13" s="211"/>
      <c r="D13" s="212"/>
      <c r="E13" s="212"/>
      <c r="F13" s="212"/>
      <c r="G13" s="212"/>
      <c r="H13" s="213"/>
      <c r="I13" s="212"/>
      <c r="J13" s="212"/>
      <c r="K13" s="212"/>
      <c r="L13" s="213"/>
      <c r="M13" s="212"/>
      <c r="N13" s="212"/>
      <c r="O13" s="213"/>
      <c r="P13" s="73"/>
    </row>
    <row r="14" ht="17.65" s="22" customFormat="1">
      <c r="A14" s="241"/>
      <c r="B14" s="10" t="s">
        <v>15</v>
      </c>
      <c r="C14" s="208"/>
      <c r="D14" s="209"/>
      <c r="E14" s="209"/>
      <c r="F14" s="209"/>
      <c r="G14" s="209"/>
      <c r="H14" s="210"/>
      <c r="I14" s="208"/>
      <c r="J14" s="209"/>
      <c r="K14" s="209"/>
      <c r="L14" s="210"/>
      <c r="M14" s="208"/>
      <c r="N14" s="209"/>
      <c r="O14" s="210"/>
      <c r="P14" s="81"/>
    </row>
    <row r="15" ht="17.25">
      <c r="A15" s="241"/>
      <c r="B15" s="8" t="s">
        <v>16</v>
      </c>
      <c r="C15" s="211"/>
      <c r="D15" s="212"/>
      <c r="E15" s="212"/>
      <c r="F15" s="212"/>
      <c r="G15" s="212"/>
      <c r="H15" s="213"/>
      <c r="I15" s="212"/>
      <c r="J15" s="212"/>
      <c r="K15" s="212"/>
      <c r="L15" s="213"/>
      <c r="M15" s="212"/>
      <c r="N15" s="212"/>
      <c r="O15" s="213"/>
      <c r="P15" s="80"/>
    </row>
    <row r="16" ht="17.25" s="22" customFormat="1">
      <c r="A16" s="241"/>
      <c r="B16" s="68" t="s">
        <v>17</v>
      </c>
      <c r="C16" s="199"/>
      <c r="D16" s="200"/>
      <c r="E16" s="200"/>
      <c r="F16" s="200"/>
      <c r="G16" s="200"/>
      <c r="H16" s="201"/>
      <c r="I16" s="202"/>
      <c r="J16" s="203"/>
      <c r="K16" s="203"/>
      <c r="L16" s="204"/>
      <c r="M16" s="202"/>
      <c r="N16" s="203"/>
      <c r="O16" s="204"/>
      <c r="P16" s="75"/>
    </row>
    <row r="17" ht="17.25">
      <c r="A17" s="256"/>
      <c r="B17" s="70" t="s">
        <v>18</v>
      </c>
      <c r="C17" s="63" t="s">
        <v>19</v>
      </c>
      <c r="D17" s="64" t="s">
        <v>20</v>
      </c>
      <c r="E17" s="64" t="s">
        <v>21</v>
      </c>
      <c r="F17" s="64" t="s">
        <v>22</v>
      </c>
      <c r="G17" s="64" t="s">
        <v>23</v>
      </c>
      <c r="H17" s="65" t="s">
        <v>24</v>
      </c>
      <c r="I17" s="63" t="s">
        <v>19</v>
      </c>
      <c r="J17" s="64" t="s">
        <v>20</v>
      </c>
      <c r="K17" s="64" t="s">
        <v>21</v>
      </c>
      <c r="L17" s="65" t="s">
        <v>22</v>
      </c>
      <c r="M17" s="63" t="s">
        <v>19</v>
      </c>
      <c r="N17" s="64" t="s">
        <v>20</v>
      </c>
      <c r="O17" s="65" t="s">
        <v>21</v>
      </c>
      <c r="P17" s="76" t="s">
        <v>19</v>
      </c>
    </row>
    <row r="18" ht="17.25">
      <c r="A18" s="256"/>
      <c r="B18" s="70" t="s">
        <v>25</v>
      </c>
      <c r="C18" s="63"/>
      <c r="D18" s="64"/>
      <c r="E18" s="64"/>
      <c r="F18" s="64"/>
      <c r="G18" s="64"/>
      <c r="H18" s="65"/>
      <c r="I18" s="63"/>
      <c r="J18" s="64"/>
      <c r="K18" s="64"/>
      <c r="L18" s="65"/>
      <c r="M18" s="63"/>
      <c r="N18" s="64"/>
      <c r="O18" s="65"/>
      <c r="P18" s="77"/>
    </row>
    <row r="19" ht="17.25">
      <c r="A19" s="256"/>
      <c r="B19" s="71" t="s">
        <v>32</v>
      </c>
      <c r="C19" s="105">
        <f>VLOOKUP(C8,AntennasPortName!A:H,2,FALSE)</f>
      </c>
      <c r="D19" s="105">
        <f>VLOOKUP(C8,AntennasPortName!A:H,3,FALSE)</f>
      </c>
      <c r="E19" s="105">
        <f>VLOOKUP(C8,AntennasPortName!A:H,4,FALSE)</f>
      </c>
      <c r="F19" s="105">
        <f>VLOOKUP(C8,AntennasPortName!A:H,5,FALSE)</f>
      </c>
      <c r="G19" s="105">
        <f>VLOOKUP(C8,AntennasPortName!A:H,6,FALSE)</f>
      </c>
      <c r="H19" s="105">
        <f>VLOOKUP(C8,AntennasPortName!A:H,7,FALSE)</f>
      </c>
      <c r="I19" s="105">
        <f>VLOOKUP(I8,AntennasPortName!A:H,2,FALSE)</f>
      </c>
      <c r="J19" s="105">
        <f>VLOOKUP(I8,AntennasPortName!A:H,3,FALSE)</f>
      </c>
      <c r="K19" s="105">
        <f>VLOOKUP(I8,AntennasPortName!A:H,4,FALSE)</f>
      </c>
      <c r="L19" s="105">
        <f>VLOOKUP(I8,AntennasPortName!A:H,5,FALSE)</f>
      </c>
      <c r="M19" s="105">
        <f>VLOOKUP(M8,AntennasPortName!A:H,2,FALSE)</f>
      </c>
      <c r="N19" s="105">
        <f>VLOOKUP(M8,AntennasPortName!A:H,3,FALSE)</f>
      </c>
      <c r="O19" s="105">
        <f>VLOOKUP(M8,AntennasPortName!A:H,4,FALSE)</f>
      </c>
      <c r="P19" s="99">
        <f>VLOOKUP(P8,AntennasPortName!A:H,2,FALSE)</f>
      </c>
    </row>
    <row r="20" ht="17.25">
      <c r="A20" s="241"/>
      <c r="B20" s="69" t="s">
        <v>33</v>
      </c>
      <c r="C20" s="61"/>
      <c r="D20" s="62"/>
      <c r="E20" s="62"/>
      <c r="F20" s="62"/>
      <c r="G20" s="62"/>
      <c r="H20" s="62"/>
      <c r="I20" s="61"/>
      <c r="J20" s="62"/>
      <c r="K20" s="62"/>
      <c r="L20" s="66"/>
      <c r="M20" s="67"/>
      <c r="N20" s="62"/>
      <c r="O20" s="66"/>
      <c r="P20" s="66"/>
    </row>
    <row r="21" ht="17.65">
      <c r="A21" s="241"/>
      <c r="B21" s="18" t="s">
        <v>36</v>
      </c>
      <c r="C21" s="42">
        <f>VLOOKUP(C8,Antennas!A:H,2,FALSE)</f>
      </c>
      <c r="D21" s="43">
        <f>VLOOKUP(C8,Antennas!A:H,3,FALSE)</f>
      </c>
      <c r="E21" s="43">
        <f>VLOOKUP(C8,Antennas!A:H,4,FALSE)</f>
      </c>
      <c r="F21" s="43">
        <f>VLOOKUP(C8,Antennas!A:H,5,FALSE)</f>
      </c>
      <c r="G21" s="43">
        <f>VLOOKUP(C8,Antennas!A:H,6,FALSE)</f>
      </c>
      <c r="H21" s="43">
        <f>VLOOKUP(C8,Antennas!A:H,7,FALSE)</f>
      </c>
      <c r="I21" s="43">
        <f>VLOOKUP(I8,Antennas!A:H,2,FALSE)</f>
      </c>
      <c r="J21" s="43">
        <f>VLOOKUP(I8,Antennas!A:H,3,FALSE)</f>
      </c>
      <c r="K21" s="43">
        <f>VLOOKUP(I8,Antennas!A:H,4,FALSE)</f>
      </c>
      <c r="L21" s="44">
        <f>VLOOKUP(I8,Antennas!A:H,5,FALSE)</f>
      </c>
      <c r="M21" s="45">
        <f>VLOOKUP(M8,Antennas!A:H,2,FALSE)</f>
      </c>
      <c r="N21" s="43">
        <f>VLOOKUP(M8,Antennas!A:H,3,FALSE)</f>
      </c>
      <c r="O21" s="42">
        <f>VLOOKUP(M8,Antennas!A:H,4,FALSE)</f>
      </c>
      <c r="P21" s="42">
        <f>VLOOKUP(P8,Antennas!A:H,2,FALSE)</f>
      </c>
      <c r="R21" s="17"/>
    </row>
    <row r="22" ht="17.65" s="22" customFormat="1">
      <c r="A22" s="241"/>
      <c r="B22" s="28" t="s">
        <v>37</v>
      </c>
      <c r="C22" s="46"/>
      <c r="D22" s="47"/>
      <c r="E22" s="47"/>
      <c r="F22" s="47"/>
      <c r="G22" s="47"/>
      <c r="H22" s="47"/>
      <c r="I22" s="47"/>
      <c r="J22" s="47"/>
      <c r="K22" s="47"/>
      <c r="L22" s="48"/>
      <c r="M22" s="49"/>
      <c r="N22" s="47"/>
      <c r="O22" s="50"/>
      <c r="P22" s="50"/>
    </row>
    <row r="23" ht="17.65" s="22" customFormat="1">
      <c r="A23" s="241"/>
      <c r="B23" s="28" t="s">
        <v>38</v>
      </c>
      <c r="C23" s="46"/>
      <c r="D23" s="46"/>
      <c r="E23" s="46"/>
      <c r="F23" s="46"/>
      <c r="G23" s="46"/>
      <c r="H23" s="46"/>
      <c r="I23" s="46"/>
      <c r="J23" s="46"/>
      <c r="K23" s="46"/>
      <c r="L23" s="46"/>
      <c r="M23" s="46"/>
      <c r="N23" s="46"/>
      <c r="O23" s="46"/>
      <c r="P23" s="46"/>
    </row>
    <row r="24" ht="17.25">
      <c r="A24" s="241"/>
      <c r="B24" s="11" t="s">
        <v>39</v>
      </c>
      <c r="C24" s="25"/>
      <c r="D24" s="25"/>
      <c r="E24" s="25"/>
      <c r="F24" s="25"/>
      <c r="G24" s="25"/>
      <c r="H24" s="25"/>
      <c r="I24" s="25"/>
      <c r="J24" s="25"/>
      <c r="K24" s="25"/>
      <c r="L24" s="25"/>
      <c r="M24" s="25"/>
      <c r="N24" s="25"/>
      <c r="O24" s="25"/>
      <c r="P24" s="25"/>
    </row>
    <row r="25" ht="17.65" s="22" customFormat="1">
      <c r="A25" s="241"/>
      <c r="B25" s="29" t="s">
        <v>43</v>
      </c>
      <c r="C25" s="51"/>
      <c r="D25" s="51"/>
      <c r="E25" s="51"/>
      <c r="F25" s="51"/>
      <c r="G25" s="51"/>
      <c r="H25" s="51"/>
      <c r="I25" s="51"/>
      <c r="J25" s="51"/>
      <c r="K25" s="51"/>
      <c r="L25" s="51"/>
      <c r="M25" s="51"/>
      <c r="N25" s="51"/>
      <c r="O25" s="51"/>
      <c r="P25" s="78"/>
    </row>
    <row r="26" ht="17.25">
      <c r="A26" s="241"/>
      <c r="B26" s="27" t="s">
        <v>44</v>
      </c>
      <c r="C26" s="24"/>
      <c r="D26" s="24"/>
      <c r="E26" s="24"/>
      <c r="F26" s="24"/>
      <c r="G26" s="24"/>
      <c r="H26" s="24"/>
      <c r="I26" s="24"/>
      <c r="J26" s="24"/>
      <c r="K26" s="24"/>
      <c r="L26" s="24"/>
      <c r="M26" s="24"/>
      <c r="N26" s="24"/>
      <c r="O26" s="24"/>
      <c r="P26" s="24"/>
    </row>
    <row r="27" ht="17.65" s="22" customFormat="1">
      <c r="A27" s="241"/>
      <c r="B27" s="30" t="s">
        <v>45</v>
      </c>
      <c r="C27" s="52"/>
      <c r="D27" s="52"/>
      <c r="E27" s="52"/>
      <c r="F27" s="52"/>
      <c r="G27" s="52"/>
      <c r="H27" s="52"/>
      <c r="I27" s="52"/>
      <c r="J27" s="52"/>
      <c r="K27" s="52"/>
      <c r="L27" s="52"/>
      <c r="M27" s="52"/>
      <c r="N27" s="52"/>
      <c r="O27" s="52"/>
      <c r="P27" s="52"/>
    </row>
    <row r="28" ht="17.25">
      <c r="A28" s="241"/>
      <c r="B28" s="11" t="s">
        <v>46</v>
      </c>
      <c r="C28" s="24"/>
      <c r="D28" s="24"/>
      <c r="E28" s="24"/>
      <c r="F28" s="24"/>
      <c r="G28" s="24"/>
      <c r="H28" s="24"/>
      <c r="I28" s="24"/>
      <c r="J28" s="24"/>
      <c r="K28" s="24"/>
      <c r="L28" s="24"/>
      <c r="M28" s="24"/>
      <c r="N28" s="24"/>
      <c r="O28" s="24"/>
      <c r="P28" s="24"/>
    </row>
    <row r="29" ht="17.65" s="22" customFormat="1">
      <c r="A29" s="241"/>
      <c r="B29" s="31" t="s">
        <v>47</v>
      </c>
      <c r="C29" s="51"/>
      <c r="D29" s="51"/>
      <c r="E29" s="51"/>
      <c r="F29" s="51"/>
      <c r="G29" s="51"/>
      <c r="H29" s="51"/>
      <c r="I29" s="51"/>
      <c r="J29" s="51"/>
      <c r="K29" s="51"/>
      <c r="L29" s="51"/>
      <c r="M29" s="51"/>
      <c r="N29" s="51"/>
      <c r="O29" s="51"/>
      <c r="P29" s="78"/>
    </row>
    <row r="30" ht="17.25">
      <c r="A30" s="241"/>
      <c r="B30" s="27" t="s">
        <v>48</v>
      </c>
      <c r="C30" s="24"/>
      <c r="D30" s="24"/>
      <c r="E30" s="24"/>
      <c r="F30" s="24"/>
      <c r="G30" s="24"/>
      <c r="H30" s="24"/>
      <c r="I30" s="24"/>
      <c r="J30" s="24"/>
      <c r="K30" s="24"/>
      <c r="L30" s="24"/>
      <c r="M30" s="24"/>
      <c r="N30" s="24"/>
      <c r="O30" s="24"/>
      <c r="P30" s="24"/>
    </row>
    <row r="31" ht="17.65" s="22" customFormat="1">
      <c r="A31" s="241"/>
      <c r="B31" s="30" t="s">
        <v>50</v>
      </c>
      <c r="C31" s="53"/>
      <c r="D31" s="53"/>
      <c r="E31" s="53"/>
      <c r="F31" s="53"/>
      <c r="G31" s="53"/>
      <c r="H31" s="53"/>
      <c r="I31" s="53"/>
      <c r="J31" s="53"/>
      <c r="K31" s="53"/>
      <c r="L31" s="53"/>
      <c r="M31" s="53"/>
      <c r="N31" s="53"/>
      <c r="O31" s="53"/>
      <c r="P31" s="79"/>
    </row>
    <row r="32" ht="17.25">
      <c r="A32" s="241"/>
      <c r="B32" s="11" t="s">
        <v>51</v>
      </c>
      <c r="C32" s="25"/>
      <c r="D32" s="25"/>
      <c r="E32" s="25"/>
      <c r="F32" s="25"/>
      <c r="G32" s="25"/>
      <c r="H32" s="25"/>
      <c r="I32" s="25"/>
      <c r="J32" s="25"/>
      <c r="K32" s="25"/>
      <c r="L32" s="25"/>
      <c r="M32" s="25"/>
      <c r="N32" s="25"/>
      <c r="O32" s="25"/>
      <c r="P32" s="25"/>
    </row>
    <row r="33" ht="17.65" s="22" customFormat="1">
      <c r="A33" s="241"/>
      <c r="B33" s="30" t="s">
        <v>52</v>
      </c>
      <c r="C33" s="51"/>
      <c r="D33" s="51"/>
      <c r="E33" s="51"/>
      <c r="F33" s="51"/>
      <c r="G33" s="51"/>
      <c r="H33" s="51"/>
      <c r="I33" s="51"/>
      <c r="J33" s="51"/>
      <c r="K33" s="51"/>
      <c r="L33" s="51"/>
      <c r="M33" s="51"/>
      <c r="N33" s="51"/>
      <c r="O33" s="51"/>
      <c r="P33" s="78"/>
    </row>
    <row r="34" ht="17.25">
      <c r="A34" s="241"/>
      <c r="B34" s="27" t="s">
        <v>53</v>
      </c>
      <c r="C34" s="24"/>
      <c r="D34" s="24"/>
      <c r="E34" s="24"/>
      <c r="F34" s="24"/>
      <c r="G34" s="24"/>
      <c r="H34" s="24"/>
      <c r="I34" s="24"/>
      <c r="J34" s="24"/>
      <c r="K34" s="24"/>
      <c r="L34" s="24"/>
      <c r="M34" s="24"/>
      <c r="N34" s="24"/>
      <c r="O34" s="24"/>
      <c r="P34" s="24"/>
      <c r="U34" s="22"/>
    </row>
    <row r="35" ht="17.65" s="22" customFormat="1">
      <c r="A35" s="241"/>
      <c r="B35" s="28" t="s">
        <v>56</v>
      </c>
      <c r="C35" s="51"/>
      <c r="D35" s="51"/>
      <c r="E35" s="51"/>
      <c r="F35" s="51"/>
      <c r="G35" s="51"/>
      <c r="H35" s="51"/>
      <c r="I35" s="51"/>
      <c r="J35" s="51"/>
      <c r="K35" s="51"/>
      <c r="L35" s="51"/>
      <c r="M35" s="51"/>
      <c r="N35" s="51"/>
      <c r="O35" s="51"/>
      <c r="P35" s="78"/>
      <c r="U35" s="21"/>
    </row>
    <row r="36" ht="17.25">
      <c r="A36" s="241"/>
      <c r="B36" s="11" t="s">
        <v>57</v>
      </c>
      <c r="C36" s="25"/>
      <c r="D36" s="25"/>
      <c r="E36" s="25"/>
      <c r="F36" s="25"/>
      <c r="G36" s="25"/>
      <c r="H36" s="25"/>
      <c r="I36" s="25"/>
      <c r="J36" s="25"/>
      <c r="K36" s="25"/>
      <c r="L36" s="25"/>
      <c r="M36" s="25"/>
      <c r="N36" s="25"/>
      <c r="O36" s="25"/>
      <c r="P36" s="25"/>
    </row>
    <row r="37" ht="17.65" s="22" customFormat="1">
      <c r="A37" s="241"/>
      <c r="B37" s="28" t="s">
        <v>60</v>
      </c>
      <c r="C37" s="51"/>
      <c r="D37" s="51"/>
      <c r="E37" s="51"/>
      <c r="F37" s="51"/>
      <c r="G37" s="51"/>
      <c r="H37" s="51"/>
      <c r="I37" s="51"/>
      <c r="J37" s="51"/>
      <c r="K37" s="51"/>
      <c r="L37" s="51"/>
      <c r="M37" s="51"/>
      <c r="N37" s="51"/>
      <c r="O37" s="51"/>
      <c r="P37" s="78"/>
    </row>
    <row r="38" ht="17.25">
      <c r="A38" s="241"/>
      <c r="B38" s="11" t="s">
        <v>61</v>
      </c>
      <c r="C38" s="25"/>
      <c r="D38" s="25"/>
      <c r="E38" s="25"/>
      <c r="F38" s="25"/>
      <c r="G38" s="25"/>
      <c r="H38" s="25"/>
      <c r="I38" s="25"/>
      <c r="J38" s="25"/>
      <c r="K38" s="25"/>
      <c r="L38" s="25"/>
      <c r="M38" s="25"/>
      <c r="N38" s="25"/>
      <c r="O38" s="25"/>
      <c r="P38" s="25"/>
    </row>
    <row r="39" ht="17.65" s="22" customFormat="1">
      <c r="A39" s="241"/>
      <c r="B39" s="28" t="s">
        <v>64</v>
      </c>
      <c r="C39" s="51"/>
      <c r="D39" s="51"/>
      <c r="E39" s="51"/>
      <c r="F39" s="51"/>
      <c r="G39" s="51"/>
      <c r="H39" s="51"/>
      <c r="I39" s="51"/>
      <c r="J39" s="51"/>
      <c r="K39" s="51"/>
      <c r="L39" s="51"/>
      <c r="M39" s="51"/>
      <c r="N39" s="51"/>
      <c r="O39" s="51"/>
      <c r="P39" s="78"/>
    </row>
    <row r="40" ht="17.25">
      <c r="A40" s="241"/>
      <c r="B40" s="11" t="s">
        <v>65</v>
      </c>
      <c r="C40" s="26"/>
      <c r="D40" s="26"/>
      <c r="E40" s="26"/>
      <c r="F40" s="26"/>
      <c r="G40" s="26"/>
      <c r="H40" s="26"/>
      <c r="I40" s="26"/>
      <c r="J40" s="26"/>
      <c r="K40" s="26"/>
      <c r="L40" s="26"/>
      <c r="M40" s="26"/>
      <c r="N40" s="26"/>
      <c r="O40" s="26"/>
      <c r="P40" s="26"/>
    </row>
    <row r="41" ht="17.65" s="22" customFormat="1">
      <c r="A41" s="241"/>
      <c r="B41" s="29" t="s">
        <v>66</v>
      </c>
      <c r="C41" s="51"/>
      <c r="D41" s="51"/>
      <c r="E41" s="51"/>
      <c r="F41" s="51"/>
      <c r="G41" s="51"/>
      <c r="H41" s="51"/>
      <c r="I41" s="51"/>
      <c r="J41" s="51"/>
      <c r="K41" s="51"/>
      <c r="L41" s="51"/>
      <c r="M41" s="51"/>
      <c r="N41" s="51"/>
      <c r="O41" s="51"/>
      <c r="P41" s="78"/>
    </row>
    <row r="42" ht="12.75" customHeight="1">
      <c r="A42" s="223" t="s">
        <v>67</v>
      </c>
      <c r="B42" s="232"/>
      <c r="C42" s="233"/>
      <c r="D42" s="233"/>
      <c r="E42" s="233"/>
      <c r="F42" s="233"/>
      <c r="G42" s="233"/>
      <c r="H42" s="233"/>
      <c r="I42" s="233"/>
      <c r="J42" s="233"/>
      <c r="K42" s="233"/>
      <c r="L42" s="233"/>
      <c r="M42" s="233"/>
      <c r="N42" s="233"/>
      <c r="O42" s="233"/>
      <c r="P42" s="234"/>
      <c r="Q42" s="22"/>
      <c r="R42" s="22"/>
      <c r="S42" s="22"/>
    </row>
    <row r="43" ht="13.15" customHeight="1">
      <c r="A43" s="224"/>
      <c r="B43" s="235"/>
      <c r="C43" s="236"/>
      <c r="D43" s="236"/>
      <c r="E43" s="236"/>
      <c r="F43" s="236"/>
      <c r="G43" s="236"/>
      <c r="H43" s="236"/>
      <c r="I43" s="236"/>
      <c r="J43" s="236"/>
      <c r="K43" s="236"/>
      <c r="L43" s="236"/>
      <c r="M43" s="236"/>
      <c r="N43" s="236"/>
      <c r="O43" s="236"/>
      <c r="P43" s="237"/>
      <c r="Q43" s="22"/>
      <c r="R43" s="22"/>
      <c r="S43" s="22"/>
    </row>
    <row r="44" ht="13.15" customHeight="1">
      <c r="A44" s="224"/>
      <c r="B44" s="235"/>
      <c r="C44" s="236"/>
      <c r="D44" s="236"/>
      <c r="E44" s="236"/>
      <c r="F44" s="236"/>
      <c r="G44" s="236"/>
      <c r="H44" s="236"/>
      <c r="I44" s="236"/>
      <c r="J44" s="236"/>
      <c r="K44" s="236"/>
      <c r="L44" s="236"/>
      <c r="M44" s="236"/>
      <c r="N44" s="236"/>
      <c r="O44" s="236"/>
      <c r="P44" s="237"/>
      <c r="Q44" s="22"/>
      <c r="R44" s="22"/>
      <c r="S44" s="22"/>
    </row>
    <row r="45" ht="13.9" customHeight="1">
      <c r="A45" s="225"/>
      <c r="B45" s="238"/>
      <c r="C45" s="239"/>
      <c r="D45" s="239"/>
      <c r="E45" s="239"/>
      <c r="F45" s="239"/>
      <c r="G45" s="239"/>
      <c r="H45" s="239"/>
      <c r="I45" s="239"/>
      <c r="J45" s="239"/>
      <c r="K45" s="239"/>
      <c r="L45" s="239"/>
      <c r="M45" s="239"/>
      <c r="N45" s="239"/>
      <c r="O45" s="239"/>
      <c r="P45" s="240"/>
      <c r="Q45" s="22"/>
      <c r="R45" s="22"/>
      <c r="S45" s="22"/>
    </row>
  </sheetData>
  <mergeCells>
    <mergeCell ref="M14:O14"/>
    <mergeCell ref="M10:O10"/>
    <mergeCell ref="C11:H11"/>
    <mergeCell ref="I11:L11"/>
    <mergeCell ref="M11:O11"/>
    <mergeCell ref="C12:H12"/>
    <mergeCell ref="I12:L12"/>
    <mergeCell ref="M12:O12"/>
    <mergeCell ref="C10:H10"/>
    <mergeCell ref="I10:L10"/>
    <mergeCell ref="A34:A35"/>
    <mergeCell ref="A36:A41"/>
    <mergeCell ref="A42:A45"/>
    <mergeCell ref="C15:H15"/>
    <mergeCell ref="I15:L15"/>
    <mergeCell ref="B42:P45"/>
    <mergeCell ref="M15:O15"/>
    <mergeCell ref="C16:H16"/>
    <mergeCell ref="I16:L16"/>
    <mergeCell ref="M16:O16"/>
    <mergeCell ref="A3:A33"/>
    <mergeCell ref="C13:H13"/>
    <mergeCell ref="I13:L13"/>
    <mergeCell ref="M13:O13"/>
    <mergeCell ref="C14:H14"/>
    <mergeCell ref="I14:L14"/>
    <mergeCell ref="A1:B1"/>
    <mergeCell ref="C2:H2"/>
    <mergeCell ref="I2:L2"/>
    <mergeCell ref="M2:O2"/>
    <mergeCell ref="C1:P1"/>
    <mergeCell ref="C3:P3"/>
    <mergeCell ref="C4:P4"/>
    <mergeCell ref="C5:P5"/>
    <mergeCell ref="C6:P6"/>
    <mergeCell ref="C7:H7"/>
    <mergeCell ref="I7:L7"/>
    <mergeCell ref="M7:O7"/>
    <mergeCell ref="C8:H8"/>
    <mergeCell ref="I8:L8"/>
    <mergeCell ref="M8:O8"/>
    <mergeCell ref="C9:H9"/>
    <mergeCell ref="I9:L9"/>
    <mergeCell ref="M9:O9"/>
  </mergeCells>
  <conditionalFormatting sqref="C22:E22 C4 H22:O22">
    <cfRule type="cellIs" dxfId="0" priority="49" operator="greaterThan">
      <formula>0</formula>
    </cfRule>
  </conditionalFormatting>
  <conditionalFormatting sqref="C21:E21 H21:O21">
    <cfRule type="expression" dxfId="1" priority="48">
      <formula>ISERROR(C21)</formula>
    </cfRule>
  </conditionalFormatting>
  <conditionalFormatting sqref="C21:E21 H21:O21">
    <cfRule type="cellIs" dxfId="1" priority="47" operator="equal">
      <formula>0</formula>
    </cfRule>
  </conditionalFormatting>
  <conditionalFormatting sqref="C21:E21 H21:O21">
    <cfRule type="cellIs" dxfId="3" priority="46" operator="greaterThan">
      <formula>0</formula>
    </cfRule>
  </conditionalFormatting>
  <conditionalFormatting sqref="C27:O27 D29:O29 D33:O33">
    <cfRule type="cellIs" dxfId="0" priority="45" operator="notEqual">
      <formula>VALUE(C26)</formula>
    </cfRule>
  </conditionalFormatting>
  <conditionalFormatting sqref="C8:O8 C10:O10 C12:O12 C14:O14 C16:O16 C27:O27 D29:O29 D31:O31 D33:O33 D35:O35 D37:O37 D25:O25 D39:O39 D41:O41">
    <cfRule type="expression" dxfId="10" priority="41">
      <formula>ISBLANK(C8)</formula>
    </cfRule>
  </conditionalFormatting>
  <conditionalFormatting sqref="C29">
    <cfRule type="cellIs" dxfId="0" priority="43" operator="notEqual">
      <formula>VALUE(C28)</formula>
    </cfRule>
  </conditionalFormatting>
  <conditionalFormatting sqref="C29">
    <cfRule type="expression" dxfId="10" priority="42">
      <formula>ISBLANK(C29)</formula>
    </cfRule>
  </conditionalFormatting>
  <conditionalFormatting sqref="C8:O8 C10:O10 C12:O12 C14:O14 C16:O16 C31:O31 D35:O35 D37:O37 D25:O25 D39:O39 D41:O41">
    <cfRule type="cellIs" dxfId="0" priority="44" operator="notEqual">
      <formula>C7</formula>
    </cfRule>
  </conditionalFormatting>
  <conditionalFormatting sqref="C31">
    <cfRule type="expression" dxfId="10" priority="40">
      <formula>ISBLANK(C31)</formula>
    </cfRule>
  </conditionalFormatting>
  <conditionalFormatting sqref="C33">
    <cfRule type="cellIs" dxfId="0" priority="39" operator="notEqual">
      <formula>VALUE(C32)</formula>
    </cfRule>
  </conditionalFormatting>
  <conditionalFormatting sqref="C33">
    <cfRule type="expression" dxfId="10" priority="38">
      <formula>ISBLANK(C33)</formula>
    </cfRule>
  </conditionalFormatting>
  <conditionalFormatting sqref="C35">
    <cfRule type="cellIs" dxfId="0" priority="37" operator="notEqual">
      <formula>C34</formula>
    </cfRule>
  </conditionalFormatting>
  <conditionalFormatting sqref="C35">
    <cfRule type="expression" dxfId="10" priority="36">
      <formula>ISBLANK(C35)</formula>
    </cfRule>
  </conditionalFormatting>
  <conditionalFormatting sqref="C37">
    <cfRule type="cellIs" dxfId="0" priority="35" operator="notEqual">
      <formula>C36</formula>
    </cfRule>
  </conditionalFormatting>
  <conditionalFormatting sqref="C37">
    <cfRule type="expression" dxfId="10" priority="34">
      <formula>ISBLANK(C37)</formula>
    </cfRule>
  </conditionalFormatting>
  <conditionalFormatting sqref="C6">
    <cfRule type="expression" dxfId="10" priority="32">
      <formula>ISBLANK(C6)</formula>
    </cfRule>
    <cfRule type="cellIs" dxfId="0" priority="33" operator="notEqual">
      <formula>C5</formula>
    </cfRule>
  </conditionalFormatting>
  <conditionalFormatting sqref="C25">
    <cfRule type="cellIs" dxfId="0" priority="31" operator="notEqual">
      <formula>C24</formula>
    </cfRule>
  </conditionalFormatting>
  <conditionalFormatting sqref="C25">
    <cfRule type="expression" dxfId="10" priority="30">
      <formula>ISBLANK(C25)</formula>
    </cfRule>
  </conditionalFormatting>
  <conditionalFormatting sqref="C39">
    <cfRule type="cellIs" dxfId="0" priority="29" operator="notEqual">
      <formula>C38</formula>
    </cfRule>
  </conditionalFormatting>
  <conditionalFormatting sqref="C39">
    <cfRule type="expression" dxfId="10" priority="28">
      <formula>ISBLANK(C39)</formula>
    </cfRule>
  </conditionalFormatting>
  <conditionalFormatting sqref="C41">
    <cfRule type="cellIs" dxfId="0" priority="27" operator="notEqual">
      <formula>C40</formula>
    </cfRule>
  </conditionalFormatting>
  <conditionalFormatting sqref="C41">
    <cfRule type="expression" dxfId="10" priority="26">
      <formula>ISBLANK(C41)</formula>
    </cfRule>
  </conditionalFormatting>
  <conditionalFormatting sqref="C24:O41">
    <cfRule type="expression" dxfId="1" priority="25" stopIfTrue="1">
      <formula>OR(C$22="Free",C$22="Telenor",C$22="Mtel",C$22="Telenor&amp;Mtel")</formula>
    </cfRule>
  </conditionalFormatting>
  <conditionalFormatting sqref="F22:G22">
    <cfRule type="cellIs" dxfId="0" priority="24" operator="greaterThan">
      <formula>0</formula>
    </cfRule>
  </conditionalFormatting>
  <conditionalFormatting sqref="F21:G21">
    <cfRule type="expression" dxfId="1" priority="23">
      <formula>ISERROR(F21)</formula>
    </cfRule>
  </conditionalFormatting>
  <conditionalFormatting sqref="F21:G21">
    <cfRule type="cellIs" dxfId="1" priority="22" operator="equal">
      <formula>0</formula>
    </cfRule>
  </conditionalFormatting>
  <conditionalFormatting sqref="F21:G21">
    <cfRule type="cellIs" dxfId="3" priority="21" operator="greaterThan">
      <formula>0</formula>
    </cfRule>
  </conditionalFormatting>
  <conditionalFormatting sqref="C19">
    <cfRule type="cellIs" dxfId="1" priority="19" operator="equal">
      <formula>0</formula>
    </cfRule>
    <cfRule type="expression" dxfId="1" priority="20">
      <formula>ISERROR(C19)</formula>
    </cfRule>
  </conditionalFormatting>
  <conditionalFormatting sqref="D19:O19">
    <cfRule type="cellIs" dxfId="1" priority="17" operator="equal">
      <formula>0</formula>
    </cfRule>
    <cfRule type="expression" dxfId="1" priority="18">
      <formula>ISERROR(D19)</formula>
    </cfRule>
  </conditionalFormatting>
  <conditionalFormatting sqref="P22">
    <cfRule type="cellIs" dxfId="0" priority="11" operator="greaterThan">
      <formula>0</formula>
    </cfRule>
  </conditionalFormatting>
  <conditionalFormatting sqref="P21">
    <cfRule type="expression" dxfId="1" priority="10">
      <formula>ISERROR(P21)</formula>
    </cfRule>
  </conditionalFormatting>
  <conditionalFormatting sqref="P21">
    <cfRule type="cellIs" dxfId="1" priority="9" operator="equal">
      <formula>0</formula>
    </cfRule>
  </conditionalFormatting>
  <conditionalFormatting sqref="P21">
    <cfRule type="cellIs" dxfId="3" priority="8" operator="greaterThan">
      <formula>0</formula>
    </cfRule>
  </conditionalFormatting>
  <conditionalFormatting sqref="P27 P29 P33">
    <cfRule type="cellIs" dxfId="0" priority="7" operator="notEqual">
      <formula>VALUE(P26)</formula>
    </cfRule>
  </conditionalFormatting>
  <conditionalFormatting sqref="P8 P10 P12 P14 P16 P27 P29 P31 P33 P35 P37 P25 P39 P41">
    <cfRule type="expression" dxfId="10" priority="5">
      <formula>ISBLANK(P8)</formula>
    </cfRule>
  </conditionalFormatting>
  <conditionalFormatting sqref="P8 P10 P12 P14 P16 P31 P35 P37 P25 P39 P41">
    <cfRule type="cellIs" dxfId="0" priority="6" operator="notEqual">
      <formula>P7</formula>
    </cfRule>
  </conditionalFormatting>
  <conditionalFormatting sqref="P24:P41">
    <cfRule type="expression" dxfId="1" priority="4" stopIfTrue="1">
      <formula>OR(P$22="Free",P$22="Telenor",P$22="Mtel",P$22="Telenor&amp;Mtel")</formula>
    </cfRule>
  </conditionalFormatting>
  <conditionalFormatting sqref="P19">
    <cfRule type="cellIs" dxfId="1" priority="2" operator="equal">
      <formula>0</formula>
    </cfRule>
    <cfRule type="expression" dxfId="1" priority="3">
      <formula>ISERROR(P19)</formula>
    </cfRule>
  </conditionalFormatting>
  <conditionalFormatting sqref="C23:P23">
    <cfRule type="cellIs" dxfId="0" priority="1" operator="greaterThan">
      <formula>0</formula>
    </cfRule>
  </conditionalFormatting>
  <dataValidations count="165">
    <dataValidation type="list" xr:uid="{6DF84FA0-222F-4B67-B5A5-51F6361B5EBB}" sqref="C2" showErrorMessage="1" errorTitle="An invalid feedback was entered" error="Please choose feedback from drop down only.">
      <formula1>"1,2,3"</formula1>
    </dataValidation>
    <dataValidation type="list" xr:uid="{6CA33BF6-465D-4C29-ABFE-67E045BFB219}" sqref="D2" showErrorMessage="1" errorTitle="An invalid feedback was entered" error="Please choose feedback from drop down only.">
      <formula1>"1,2,3"</formula1>
    </dataValidation>
    <dataValidation type="list" xr:uid="{FF680A01-55C3-4CD2-B2CA-3CB01588E6F7}" sqref="E2" showErrorMessage="1" errorTitle="An invalid feedback was entered" error="Please choose feedback from drop down only.">
      <formula1>"1,2,3"</formula1>
    </dataValidation>
    <dataValidation type="list" xr:uid="{FD430367-B706-4121-B1AA-3BAA51586821}" sqref="F2" showErrorMessage="1" errorTitle="An invalid feedback was entered" error="Please choose feedback from drop down only.">
      <formula1>"1,2,3"</formula1>
    </dataValidation>
    <dataValidation type="list" xr:uid="{339EE2D5-794B-4B81-9DB1-519A10171FDD}" sqref="G2" showErrorMessage="1" errorTitle="An invalid feedback was entered" error="Please choose feedback from drop down only.">
      <formula1>"1,2,3"</formula1>
    </dataValidation>
    <dataValidation type="list" xr:uid="{017AA32E-78C2-416A-8C29-51A2C83E8B25}" sqref="H2" showErrorMessage="1" errorTitle="An invalid feedback was entered" error="Please choose feedback from drop down only.">
      <formula1>"1,2,3"</formula1>
    </dataValidation>
    <dataValidation type="list" xr:uid="{DAC795F1-43F4-40D2-A6F9-143F7B0608E5}" sqref="I2" showErrorMessage="1" errorTitle="An invalid feedback was entered" error="Please choose feedback from drop down only.">
      <formula1>"1,2,3"</formula1>
    </dataValidation>
    <dataValidation type="list" xr:uid="{E8B6DE20-9367-4382-9213-B7C8896CBE05}" sqref="J2" showErrorMessage="1" errorTitle="An invalid feedback was entered" error="Please choose feedback from drop down only.">
      <formula1>"1,2,3"</formula1>
    </dataValidation>
    <dataValidation type="list" xr:uid="{D8431ED0-39CA-4EC4-85DB-53CFE6EF21FA}" sqref="K2" showErrorMessage="1" errorTitle="An invalid feedback was entered" error="Please choose feedback from drop down only.">
      <formula1>"1,2,3"</formula1>
    </dataValidation>
    <dataValidation type="list" xr:uid="{723B816A-30B4-4AC6-B664-4FB800F7BA90}" sqref="L2" showErrorMessage="1" errorTitle="An invalid feedback was entered" error="Please choose feedback from drop down only.">
      <formula1>"1,2,3"</formula1>
    </dataValidation>
    <dataValidation type="list" xr:uid="{2451849C-2839-4250-8A61-0C6C86F73B6B}" sqref="M2" showErrorMessage="1" errorTitle="An invalid feedback was entered" error="Please choose feedback from drop down only.">
      <formula1>"1,2,3"</formula1>
    </dataValidation>
    <dataValidation type="list" xr:uid="{332791AC-D047-4980-BC5B-3DE10308BA01}" sqref="N2" showErrorMessage="1" errorTitle="An invalid feedback was entered" error="Please choose feedback from drop down only.">
      <formula1>"1,2,3"</formula1>
    </dataValidation>
    <dataValidation type="list" xr:uid="{E0DE1F0A-2EEE-4D7B-BA64-7DF408EE430B}" sqref="O2" showErrorMessage="1" errorTitle="An invalid feedback was entered" error="Please choose feedback from drop down only.">
      <formula1>"1,2,3"</formula1>
    </dataValidation>
    <dataValidation type="list" xr:uid="{EE33D28A-FB83-437E-AFC8-4D7A23794459}" sqref="P2" showErrorMessage="1" errorTitle="An invalid feedback was entered" error="Please choose feedback from drop down only.">
      <formula1>"1,2,3"</formula1>
    </dataValidation>
    <dataValidation type="list" xr:uid="{8A126DE8-DFF9-48B0-BAB4-2E4FFBC2280F}" sqref="Q2" showErrorMessage="1" errorTitle="An invalid feedback was entered" error="Please choose feedback from drop down only.">
      <formula1>"1,2,3"</formula1>
    </dataValidation>
    <dataValidation type="list" xr:uid="{E84CEA85-4677-4DAB-8C98-7E1F9B2FC4CA}" sqref="C17" showErrorMessage="1" errorTitle="An invalid feedback was entered" error="Please choose feedback from drop down only.">
      <formula1>"1-2,3-4,5-6,7-8,9-10,N/A"</formula1>
    </dataValidation>
    <dataValidation type="list" xr:uid="{736E0BFD-B21D-4433-86F6-FC41B3B43AB2}" sqref="D17" showErrorMessage="1" errorTitle="An invalid feedback was entered" error="Please choose feedback from drop down only.">
      <formula1>"1-2,3-4,5-6,7-8,9-10,N/A"</formula1>
    </dataValidation>
    <dataValidation type="list" xr:uid="{1AF35C38-79B9-43F7-9CAB-6CB11FF554F6}" sqref="E17" showErrorMessage="1" errorTitle="An invalid feedback was entered" error="Please choose feedback from drop down only.">
      <formula1>"1-2,3-4,5-6,7-8,9-10,N/A"</formula1>
    </dataValidation>
    <dataValidation type="list" xr:uid="{767EC6F6-F824-4600-8F3C-3A9DBAF90978}" sqref="F17" showErrorMessage="1" errorTitle="An invalid feedback was entered" error="Please choose feedback from drop down only.">
      <formula1>"1-2,3-4,5-6,7-8,9-10,N/A"</formula1>
    </dataValidation>
    <dataValidation type="list" xr:uid="{876D21D7-2D4A-40F4-BD4D-D613EF30C5A8}" sqref="G17" showErrorMessage="1" errorTitle="An invalid feedback was entered" error="Please choose feedback from drop down only.">
      <formula1>"1-2,3-4,5-6,7-8,9-10,N/A"</formula1>
    </dataValidation>
    <dataValidation type="list" xr:uid="{F4F9D909-C533-47C0-9530-A5AD276296A7}" sqref="H17" showErrorMessage="1" errorTitle="An invalid feedback was entered" error="Please choose feedback from drop down only.">
      <formula1>"1-2,3-4,5-6,7-8,9-10,N/A"</formula1>
    </dataValidation>
    <dataValidation type="list" xr:uid="{44DCAE86-3D3E-4E63-9366-BF31BE47740E}" sqref="I17" showErrorMessage="1" errorTitle="An invalid feedback was entered" error="Please choose feedback from drop down only.">
      <formula1>"1-2,3-4,5-6,7-8,9-10,N/A"</formula1>
    </dataValidation>
    <dataValidation type="list" xr:uid="{952234BD-8250-4711-9E6F-FA1B1A7C7B88}" sqref="J17" showErrorMessage="1" errorTitle="An invalid feedback was entered" error="Please choose feedback from drop down only.">
      <formula1>"1-2,3-4,5-6,7-8,9-10,N/A"</formula1>
    </dataValidation>
    <dataValidation type="list" xr:uid="{5E1D6327-8F8E-4F68-8DB5-B0736BC23A43}" sqref="K17" showErrorMessage="1" errorTitle="An invalid feedback was entered" error="Please choose feedback from drop down only.">
      <formula1>"1-2,3-4,5-6,7-8,9-10,N/A"</formula1>
    </dataValidation>
    <dataValidation type="list" xr:uid="{97324791-CE62-4ECA-91BC-7E75105D8319}" sqref="L17" showErrorMessage="1" errorTitle="An invalid feedback was entered" error="Please choose feedback from drop down only.">
      <formula1>"1-2,3-4,5-6,7-8,9-10,N/A"</formula1>
    </dataValidation>
    <dataValidation type="list" xr:uid="{F7E93220-13EF-4AD2-9970-28E65018CEF5}" sqref="M17" showErrorMessage="1" errorTitle="An invalid feedback was entered" error="Please choose feedback from drop down only.">
      <formula1>"1-2,3-4,5-6,7-8,9-10,N/A"</formula1>
    </dataValidation>
    <dataValidation type="list" xr:uid="{B83D8842-571B-4DC0-A003-6E2017904F4D}" sqref="N17" showErrorMessage="1" errorTitle="An invalid feedback was entered" error="Please choose feedback from drop down only.">
      <formula1>"1-2,3-4,5-6,7-8,9-10,N/A"</formula1>
    </dataValidation>
    <dataValidation type="list" xr:uid="{F2FBDFC3-DA2B-48D2-AF6F-5FF21EED4836}" sqref="O17" showErrorMessage="1" errorTitle="An invalid feedback was entered" error="Please choose feedback from drop down only.">
      <formula1>"1-2,3-4,5-6,7-8,9-10,N/A"</formula1>
    </dataValidation>
    <dataValidation type="list" xr:uid="{8079E4A2-9920-4052-9167-6D61FD970718}" sqref="P17" showErrorMessage="1" errorTitle="An invalid feedback was entered" error="Please choose feedback from drop down only.">
      <formula1>"1-2,3-4,5-6,7-8,9-10,N/A"</formula1>
    </dataValidation>
    <dataValidation type="list" xr:uid="{278B3A1B-5A92-40D1-9FFA-D279BF5C09CE}" sqref="Q17" showErrorMessage="1" errorTitle="An invalid feedback was entered" error="Please choose feedback from drop down only.">
      <formula1>"1-2,3-4,5-6,7-8,9-10,N/A"</formula1>
    </dataValidation>
    <dataValidation type="list" xr:uid="{EC28E5E0-C540-4D9C-804A-1A761B5E9060}" sqref="C10" showErrorMessage="1" errorTitle="An invalid feedback was entered" error="Please choose feedback from drop down only.">
      <formula1>"STK Top,STK Bottom,STKx2,DTK Top,DTK Bottom,DTKx2,None"</formula1>
    </dataValidation>
    <dataValidation type="list" xr:uid="{141EC549-49DC-4937-9595-4AE55C725910}" sqref="D10" showErrorMessage="1" errorTitle="An invalid feedback was entered" error="Please choose feedback from drop down only.">
      <formula1>"STK Top,STK Bottom,STKx2,DTK Top,DTK Bottom,DTKx2,None"</formula1>
    </dataValidation>
    <dataValidation type="list" xr:uid="{9F88C6E1-6CC3-42AD-9BAE-E8CD48E6FCBE}" sqref="E10" showErrorMessage="1" errorTitle="An invalid feedback was entered" error="Please choose feedback from drop down only.">
      <formula1>"STK Top,STK Bottom,STKx2,DTK Top,DTK Bottom,DTKx2,None"</formula1>
    </dataValidation>
    <dataValidation type="list" xr:uid="{7C5D2E72-11BB-4F39-B2CA-6699E01A444F}" sqref="F10" showErrorMessage="1" errorTitle="An invalid feedback was entered" error="Please choose feedback from drop down only.">
      <formula1>"STK Top,STK Bottom,STKx2,DTK Top,DTK Bottom,DTKx2,None"</formula1>
    </dataValidation>
    <dataValidation type="list" xr:uid="{C7D5C86E-EDFE-4B5B-9C86-264CAA60A909}" sqref="G10" showErrorMessage="1" errorTitle="An invalid feedback was entered" error="Please choose feedback from drop down only.">
      <formula1>"STK Top,STK Bottom,STKx2,DTK Top,DTK Bottom,DTKx2,None"</formula1>
    </dataValidation>
    <dataValidation type="list" xr:uid="{3DD2ACAE-C2D5-47DB-835C-4E1D0E197DE1}" sqref="H10" showErrorMessage="1" errorTitle="An invalid feedback was entered" error="Please choose feedback from drop down only.">
      <formula1>"STK Top,STK Bottom,STKx2,DTK Top,DTK Bottom,DTKx2,None"</formula1>
    </dataValidation>
    <dataValidation type="list" xr:uid="{E1CFF9C0-3D0E-4CB9-B850-85A3F012B206}" sqref="I10" showErrorMessage="1" errorTitle="An invalid feedback was entered" error="Please choose feedback from drop down only.">
      <formula1>"STK Top,STK Bottom,STKx2,DTK Top,DTK Bottom,DTKx2,None"</formula1>
    </dataValidation>
    <dataValidation type="list" xr:uid="{9484D8BA-BA6D-4D39-A30B-CCF7D2B2C420}" sqref="J10" showErrorMessage="1" errorTitle="An invalid feedback was entered" error="Please choose feedback from drop down only.">
      <formula1>"STK Top,STK Bottom,STKx2,DTK Top,DTK Bottom,DTKx2,None"</formula1>
    </dataValidation>
    <dataValidation type="list" xr:uid="{0ACB4404-9D14-43BA-96BC-391E393A0DC3}" sqref="K10" showErrorMessage="1" errorTitle="An invalid feedback was entered" error="Please choose feedback from drop down only.">
      <formula1>"STK Top,STK Bottom,STKx2,DTK Top,DTK Bottom,DTKx2,None"</formula1>
    </dataValidation>
    <dataValidation type="list" xr:uid="{9CE8A958-B79A-4A48-B666-B1294F044C39}" sqref="L10" showErrorMessage="1" errorTitle="An invalid feedback was entered" error="Please choose feedback from drop down only.">
      <formula1>"STK Top,STK Bottom,STKx2,DTK Top,DTK Bottom,DTKx2,None"</formula1>
    </dataValidation>
    <dataValidation type="list" xr:uid="{C2BA40C7-8745-44CE-8A5D-D9EB2CA8BBA2}" sqref="M10" showErrorMessage="1" errorTitle="An invalid feedback was entered" error="Please choose feedback from drop down only.">
      <formula1>"STK Top,STK Bottom,STKx2,DTK Top,DTK Bottom,DTKx2,None"</formula1>
    </dataValidation>
    <dataValidation type="list" xr:uid="{4C77B6C2-FFC0-4879-8219-5F5CACE532FE}" sqref="N10" showErrorMessage="1" errorTitle="An invalid feedback was entered" error="Please choose feedback from drop down only.">
      <formula1>"STK Top,STK Bottom,STKx2,DTK Top,DTK Bottom,DTKx2,None"</formula1>
    </dataValidation>
    <dataValidation type="list" xr:uid="{2B631DAC-CDA6-4329-96CF-0B9902139704}" sqref="O10" showErrorMessage="1" errorTitle="An invalid feedback was entered" error="Please choose feedback from drop down only.">
      <formula1>"STK Top,STK Bottom,STKx2,DTK Top,DTK Bottom,DTKx2,None"</formula1>
    </dataValidation>
    <dataValidation type="list" xr:uid="{6F0F297D-D505-4141-9993-5C91EA5C1EF2}" sqref="P10" showErrorMessage="1" errorTitle="An invalid feedback was entered" error="Please choose feedback from drop down only.">
      <formula1>"STK Top,STK Bottom,STKx2,DTK Top,DTK Bottom,DTKx2,None"</formula1>
    </dataValidation>
    <dataValidation type="list" xr:uid="{2824BA47-E1DC-4309-8C7F-5ACFD3FA41C2}" sqref="Q10" showErrorMessage="1" errorTitle="An invalid feedback was entered" error="Please choose feedback from drop down only.">
      <formula1>"STK Top,STK Bottom,STKx2,DTK Top,DTK Bottom,DTKx2,None"</formula1>
    </dataValidation>
    <dataValidation type="list" xr:uid="{927ED1DF-F84B-4A2D-B45A-F671C298B67A}" sqref="C23" showErrorMessage="1" errorTitle="An invalid feedback was entered" error="Please choose feedback from drop down only.">
      <formula1>"Yetel,Bulsatcom,A1,Yetel&amp;A1,N/A"</formula1>
    </dataValidation>
    <dataValidation type="list" xr:uid="{D4794B0B-D61C-4D29-A411-1EF4DF52F47A}" sqref="D23" showErrorMessage="1" errorTitle="An invalid feedback was entered" error="Please choose feedback from drop down only.">
      <formula1>"Yetel,Bulsatcom,A1,Yetel&amp;A1,N/A"</formula1>
    </dataValidation>
    <dataValidation type="list" xr:uid="{63B38434-3A6E-4D9D-8563-DE8E9D926203}" sqref="E23" showErrorMessage="1" errorTitle="An invalid feedback was entered" error="Please choose feedback from drop down only.">
      <formula1>"Yetel,Bulsatcom,A1,Yetel&amp;A1,N/A"</formula1>
    </dataValidation>
    <dataValidation type="list" xr:uid="{1EE7EA5A-75FD-4482-B1BE-81EBB07DD049}" sqref="F23" showErrorMessage="1" errorTitle="An invalid feedback was entered" error="Please choose feedback from drop down only.">
      <formula1>"Yetel,Bulsatcom,A1,Yetel&amp;A1,N/A"</formula1>
    </dataValidation>
    <dataValidation type="list" xr:uid="{42296AB0-700E-440B-98F8-EB0C5ABBC0A4}" sqref="G23" showErrorMessage="1" errorTitle="An invalid feedback was entered" error="Please choose feedback from drop down only.">
      <formula1>"Yetel,Bulsatcom,A1,Yetel&amp;A1,N/A"</formula1>
    </dataValidation>
    <dataValidation type="list" xr:uid="{34D38A41-6B2D-4474-8EE8-73212933E6CF}" sqref="H23" showErrorMessage="1" errorTitle="An invalid feedback was entered" error="Please choose feedback from drop down only.">
      <formula1>"Yetel,Bulsatcom,A1,Yetel&amp;A1,N/A"</formula1>
    </dataValidation>
    <dataValidation type="list" xr:uid="{0A972515-00D0-406E-A233-DDE002A8A9DD}" sqref="I23" showErrorMessage="1" errorTitle="An invalid feedback was entered" error="Please choose feedback from drop down only.">
      <formula1>"Yetel,Bulsatcom,A1,Yetel&amp;A1,N/A"</formula1>
    </dataValidation>
    <dataValidation type="list" xr:uid="{3A16C759-98EE-4ABE-BBBF-E5743340898B}" sqref="J23" showErrorMessage="1" errorTitle="An invalid feedback was entered" error="Please choose feedback from drop down only.">
      <formula1>"Yetel,Bulsatcom,A1,Yetel&amp;A1,N/A"</formula1>
    </dataValidation>
    <dataValidation type="list" xr:uid="{5D469C21-D133-4318-BA7C-40D23C2F972B}" sqref="K23" showErrorMessage="1" errorTitle="An invalid feedback was entered" error="Please choose feedback from drop down only.">
      <formula1>"Yetel,Bulsatcom,A1,Yetel&amp;A1,N/A"</formula1>
    </dataValidation>
    <dataValidation type="list" xr:uid="{E4A88BBD-86E3-49EC-A790-8DEC86E9D7F9}" sqref="L23" showErrorMessage="1" errorTitle="An invalid feedback was entered" error="Please choose feedback from drop down only.">
      <formula1>"Yetel,Bulsatcom,A1,Yetel&amp;A1,N/A"</formula1>
    </dataValidation>
    <dataValidation type="list" xr:uid="{8A5FCFC0-942D-4ECB-AF2B-EDC842D6BD12}" sqref="M23" showErrorMessage="1" errorTitle="An invalid feedback was entered" error="Please choose feedback from drop down only.">
      <formula1>"Yetel,Bulsatcom,A1,Yetel&amp;A1,N/A"</formula1>
    </dataValidation>
    <dataValidation type="list" xr:uid="{B9C98F77-6655-462E-A5FB-0BD1568E9351}" sqref="N23" showErrorMessage="1" errorTitle="An invalid feedback was entered" error="Please choose feedback from drop down only.">
      <formula1>"Yetel,Bulsatcom,A1,Yetel&amp;A1,N/A"</formula1>
    </dataValidation>
    <dataValidation type="list" xr:uid="{7C74AFC9-9983-4FF8-99E3-56D737077A91}" sqref="O23" showErrorMessage="1" errorTitle="An invalid feedback was entered" error="Please choose feedback from drop down only.">
      <formula1>"Yetel,Bulsatcom,A1,Yetel&amp;A1,N/A"</formula1>
    </dataValidation>
    <dataValidation type="list" xr:uid="{9E238A58-7F9F-4C19-A210-6327A3708247}" sqref="P23" showErrorMessage="1" errorTitle="An invalid feedback was entered" error="Please choose feedback from drop down only.">
      <formula1>"Yetel,Bulsatcom,A1,Yetel&amp;A1,N/A"</formula1>
    </dataValidation>
    <dataValidation type="list" xr:uid="{E67160A8-9F01-4EDC-AFEC-5298244121E8}" sqref="Q23" showErrorMessage="1" errorTitle="An invalid feedback was entered" error="Please choose feedback from drop down only.">
      <formula1>"Yetel,Bulsatcom,A1,Yetel&amp;A1,N/A"</formula1>
    </dataValidation>
    <dataValidation type="list" xr:uid="{FC883309-054C-473E-BDE8-CD19000A6CDA}" sqref="C31" showErrorMessage="1" errorTitle="An invalid feedback was entered" error="Please choose feedback from drop down only.">
      <formula1>"1/2,5/4,7/8,RRU TOP JUMPER,N/A"</formula1>
    </dataValidation>
    <dataValidation type="list" xr:uid="{13D29E06-909B-4F98-8929-F33BCE1C051E}" sqref="D31" showErrorMessage="1" errorTitle="An invalid feedback was entered" error="Please choose feedback from drop down only.">
      <formula1>"1/2,5/4,7/8,RRU TOP JUMPER,N/A"</formula1>
    </dataValidation>
    <dataValidation type="list" xr:uid="{BB2CB310-8038-4EA4-9B8F-C9D77D5B46AB}" sqref="E31" showErrorMessage="1" errorTitle="An invalid feedback was entered" error="Please choose feedback from drop down only.">
      <formula1>"1/2,5/4,7/8,RRU TOP JUMPER,N/A"</formula1>
    </dataValidation>
    <dataValidation type="list" xr:uid="{60B6F626-9C31-422B-A7BB-887E9E67E081}" sqref="F31" showErrorMessage="1" errorTitle="An invalid feedback was entered" error="Please choose feedback from drop down only.">
      <formula1>"1/2,5/4,7/8,RRU TOP JUMPER,N/A"</formula1>
    </dataValidation>
    <dataValidation type="list" xr:uid="{015F47EE-00F1-4570-A4E7-EABD2B7C7444}" sqref="G31" showErrorMessage="1" errorTitle="An invalid feedback was entered" error="Please choose feedback from drop down only.">
      <formula1>"1/2,5/4,7/8,RRU TOP JUMPER,N/A"</formula1>
    </dataValidation>
    <dataValidation type="list" xr:uid="{D1DCEB1B-EFB4-4D6A-B434-E6DB7DC17EA1}" sqref="H31" showErrorMessage="1" errorTitle="An invalid feedback was entered" error="Please choose feedback from drop down only.">
      <formula1>"1/2,5/4,7/8,RRU TOP JUMPER,N/A"</formula1>
    </dataValidation>
    <dataValidation type="list" xr:uid="{AE47DB26-2431-4D97-B551-178A0C55BB48}" sqref="I31" showErrorMessage="1" errorTitle="An invalid feedback was entered" error="Please choose feedback from drop down only.">
      <formula1>"1/2,5/4,7/8,RRU TOP JUMPER,N/A"</formula1>
    </dataValidation>
    <dataValidation type="list" xr:uid="{1434414B-F3C4-479A-8A53-565EB5810E62}" sqref="J31" showErrorMessage="1" errorTitle="An invalid feedback was entered" error="Please choose feedback from drop down only.">
      <formula1>"1/2,5/4,7/8,RRU TOP JUMPER,N/A"</formula1>
    </dataValidation>
    <dataValidation type="list" xr:uid="{36A0801A-D327-4198-BCCD-9F8BE0BE2F2A}" sqref="K31" showErrorMessage="1" errorTitle="An invalid feedback was entered" error="Please choose feedback from drop down only.">
      <formula1>"1/2,5/4,7/8,RRU TOP JUMPER,N/A"</formula1>
    </dataValidation>
    <dataValidation type="list" xr:uid="{8D6E8666-E21B-4455-A44A-2B04B891B213}" sqref="L31" showErrorMessage="1" errorTitle="An invalid feedback was entered" error="Please choose feedback from drop down only.">
      <formula1>"1/2,5/4,7/8,RRU TOP JUMPER,N/A"</formula1>
    </dataValidation>
    <dataValidation type="list" xr:uid="{FDE086F7-D805-428D-919D-9BB51DA2340B}" sqref="M31" showErrorMessage="1" errorTitle="An invalid feedback was entered" error="Please choose feedback from drop down only.">
      <formula1>"1/2,5/4,7/8,RRU TOP JUMPER,N/A"</formula1>
    </dataValidation>
    <dataValidation type="list" xr:uid="{A49A60CE-0336-4126-B4B0-B614C1300738}" sqref="N31" showErrorMessage="1" errorTitle="An invalid feedback was entered" error="Please choose feedback from drop down only.">
      <formula1>"1/2,5/4,7/8,RRU TOP JUMPER,N/A"</formula1>
    </dataValidation>
    <dataValidation type="list" xr:uid="{A527937C-F1A7-423F-ACA9-A1639C8ADB5A}" sqref="O31" showErrorMessage="1" errorTitle="An invalid feedback was entered" error="Please choose feedback from drop down only.">
      <formula1>"1/2,5/4,7/8,RRU TOP JUMPER,N/A"</formula1>
    </dataValidation>
    <dataValidation type="list" xr:uid="{AC6C520F-9390-4B54-88E1-B627A31D1FD2}" sqref="P31" showErrorMessage="1" errorTitle="An invalid feedback was entered" error="Please choose feedback from drop down only.">
      <formula1>"1/2,5/4,7/8,RRU TOP JUMPER,N/A"</formula1>
    </dataValidation>
    <dataValidation type="list" xr:uid="{16AB96D9-BC7A-4DDC-8B45-0EC6A6B1706A}" sqref="Q31" showErrorMessage="1" errorTitle="An invalid feedback was entered" error="Please choose feedback from drop down only.">
      <formula1>"1/2,5/4,7/8,RRU TOP JUMPER,N/A"</formula1>
    </dataValidation>
    <dataValidation type="list" xr:uid="{DF3CFC4F-573B-4925-8E4A-A9077B9FB6D9}" sqref="C4" showErrorMessage="1" errorTitle="An invalid feedback was entered" error="Please choose feedback from drop down only.">
      <formula1>"1,2,3,4,5,6,N/A"</formula1>
    </dataValidation>
    <dataValidation type="list" xr:uid="{F8CA80B3-7D6D-4F8A-A420-B9C603232E37}" sqref="D4" showErrorMessage="1" errorTitle="An invalid feedback was entered" error="Please choose feedback from drop down only.">
      <formula1>"1,2,3,4,5,6,N/A"</formula1>
    </dataValidation>
    <dataValidation type="list" xr:uid="{6337E075-9874-4913-9523-39618165A5F2}" sqref="E4" showErrorMessage="1" errorTitle="An invalid feedback was entered" error="Please choose feedback from drop down only.">
      <formula1>"1,2,3,4,5,6,N/A"</formula1>
    </dataValidation>
    <dataValidation type="list" xr:uid="{B958D017-8609-489A-8B60-584AB73B5297}" sqref="F4" showErrorMessage="1" errorTitle="An invalid feedback was entered" error="Please choose feedback from drop down only.">
      <formula1>"1,2,3,4,5,6,N/A"</formula1>
    </dataValidation>
    <dataValidation type="list" xr:uid="{21795563-1C55-4927-8F7C-A1C29A3D5E30}" sqref="G4" showErrorMessage="1" errorTitle="An invalid feedback was entered" error="Please choose feedback from drop down only.">
      <formula1>"1,2,3,4,5,6,N/A"</formula1>
    </dataValidation>
    <dataValidation type="list" xr:uid="{88E74B72-8991-44BA-950C-4889EC39332E}" sqref="H4" showErrorMessage="1" errorTitle="An invalid feedback was entered" error="Please choose feedback from drop down only.">
      <formula1>"1,2,3,4,5,6,N/A"</formula1>
    </dataValidation>
    <dataValidation type="list" xr:uid="{49412BE1-20E4-4338-8E6D-66F88007A670}" sqref="I4" showErrorMessage="1" errorTitle="An invalid feedback was entered" error="Please choose feedback from drop down only.">
      <formula1>"1,2,3,4,5,6,N/A"</formula1>
    </dataValidation>
    <dataValidation type="list" xr:uid="{FEAB41CA-38A2-4570-A29B-1B5A5C271B3E}" sqref="J4" showErrorMessage="1" errorTitle="An invalid feedback was entered" error="Please choose feedback from drop down only.">
      <formula1>"1,2,3,4,5,6,N/A"</formula1>
    </dataValidation>
    <dataValidation type="list" xr:uid="{1CFCC03D-77F6-47FE-A49D-3153A2AA0EE9}" sqref="K4" showErrorMessage="1" errorTitle="An invalid feedback was entered" error="Please choose feedback from drop down only.">
      <formula1>"1,2,3,4,5,6,N/A"</formula1>
    </dataValidation>
    <dataValidation type="list" xr:uid="{45F6A70C-A6A8-4CA3-801B-007EBABD4CCA}" sqref="L4" showErrorMessage="1" errorTitle="An invalid feedback was entered" error="Please choose feedback from drop down only.">
      <formula1>"1,2,3,4,5,6,N/A"</formula1>
    </dataValidation>
    <dataValidation type="list" xr:uid="{D32515F5-A600-4D55-A4F6-8388EAD50E06}" sqref="M4" showErrorMessage="1" errorTitle="An invalid feedback was entered" error="Please choose feedback from drop down only.">
      <formula1>"1,2,3,4,5,6,N/A"</formula1>
    </dataValidation>
    <dataValidation type="list" xr:uid="{3D1B7545-87CE-4604-8969-9F20540CB2E1}" sqref="N4" showErrorMessage="1" errorTitle="An invalid feedback was entered" error="Please choose feedback from drop down only.">
      <formula1>"1,2,3,4,5,6,N/A"</formula1>
    </dataValidation>
    <dataValidation type="list" xr:uid="{58E7DBDE-82F6-4D26-A50B-B145BABA328A}" sqref="O4" showErrorMessage="1" errorTitle="An invalid feedback was entered" error="Please choose feedback from drop down only.">
      <formula1>"1,2,3,4,5,6,N/A"</formula1>
    </dataValidation>
    <dataValidation type="list" xr:uid="{2E991373-A349-43D0-B61D-FC3D2DE58F21}" sqref="P4" showErrorMessage="1" errorTitle="An invalid feedback was entered" error="Please choose feedback from drop down only.">
      <formula1>"1,2,3,4,5,6,N/A"</formula1>
    </dataValidation>
    <dataValidation type="list" xr:uid="{786C08E0-D192-4E5C-9E58-14FEDDA2FA55}" sqref="Q4" showErrorMessage="1" errorTitle="An invalid feedback was entered" error="Please choose feedback from drop down only.">
      <formula1>"1,2,3,4,5,6,N/A"</formula1>
    </dataValidation>
    <dataValidation type="list" xr:uid="{0DF87BDE-F6AC-48CD-84FD-6D0250C7C408}" sqref="C22" showErrorMessage="1" errorTitle="An invalid feedback was entered" error="Please choose feedback from drop down only.">
      <formula1>"700,800&amp;900,900,1800,2100,2600,3600,1800&amp;2100,1800&amp;2600,2100&amp;2600,18&amp;21&amp;26,Free,N/A,Yetel,A1,Yetel&amp;A1"</formula1>
    </dataValidation>
    <dataValidation type="list" xr:uid="{01113DE4-0938-4ECA-AE6C-826A4E7C6B2D}" sqref="D22" showErrorMessage="1" errorTitle="An invalid feedback was entered" error="Please choose feedback from drop down only.">
      <formula1>"700,800&amp;900,900,1800,2100,2600,3600,1800&amp;2100,1800&amp;2600,2100&amp;2600,18&amp;21&amp;26,Free,N/A,Yetel,A1,Yetel&amp;A1"</formula1>
    </dataValidation>
    <dataValidation type="list" xr:uid="{90D43427-E25B-4ADF-8CC4-3E90267699D0}" sqref="E22" showErrorMessage="1" errorTitle="An invalid feedback was entered" error="Please choose feedback from drop down only.">
      <formula1>"700,800&amp;900,900,1800,2100,2600,3600,1800&amp;2100,1800&amp;2600,2100&amp;2600,18&amp;21&amp;26,Free,N/A,Yetel,A1,Yetel&amp;A1"</formula1>
    </dataValidation>
    <dataValidation type="list" xr:uid="{7AD2D935-A084-4598-A948-63A0BDD97BF4}" sqref="F22" showErrorMessage="1" errorTitle="An invalid feedback was entered" error="Please choose feedback from drop down only.">
      <formula1>"700,800&amp;900,900,1800,2100,2600,3600,1800&amp;2100,1800&amp;2600,2100&amp;2600,18&amp;21&amp;26,Free,N/A,Yetel,A1,Yetel&amp;A1"</formula1>
    </dataValidation>
    <dataValidation type="list" xr:uid="{B01AFF37-CD32-4883-972F-3FAB6F05C30A}" sqref="G22" showErrorMessage="1" errorTitle="An invalid feedback was entered" error="Please choose feedback from drop down only.">
      <formula1>"700,800&amp;900,900,1800,2100,2600,3600,1800&amp;2100,1800&amp;2600,2100&amp;2600,18&amp;21&amp;26,Free,N/A,Yetel,A1,Yetel&amp;A1"</formula1>
    </dataValidation>
    <dataValidation type="list" xr:uid="{CE47B365-8A0C-4BCB-97D9-EB7F9BA9B785}" sqref="H22" showErrorMessage="1" errorTitle="An invalid feedback was entered" error="Please choose feedback from drop down only.">
      <formula1>"700,800&amp;900,900,1800,2100,2600,3600,1800&amp;2100,1800&amp;2600,2100&amp;2600,18&amp;21&amp;26,Free,N/A,Yetel,A1,Yetel&amp;A1"</formula1>
    </dataValidation>
    <dataValidation type="list" xr:uid="{6D26BF2F-8859-4685-AAFC-A5731D6E49AD}" sqref="I22" showErrorMessage="1" errorTitle="An invalid feedback was entered" error="Please choose feedback from drop down only.">
      <formula1>"700,800&amp;900,900,1800,2100,2600,3600,1800&amp;2100,1800&amp;2600,2100&amp;2600,18&amp;21&amp;26,Free,N/A,Yetel,A1,Yetel&amp;A1"</formula1>
    </dataValidation>
    <dataValidation type="list" xr:uid="{69DBF2C2-7014-419F-9F18-A97848C5AF26}" sqref="J22" showErrorMessage="1" errorTitle="An invalid feedback was entered" error="Please choose feedback from drop down only.">
      <formula1>"700,800&amp;900,900,1800,2100,2600,3600,1800&amp;2100,1800&amp;2600,2100&amp;2600,18&amp;21&amp;26,Free,N/A,Yetel,A1,Yetel&amp;A1"</formula1>
    </dataValidation>
    <dataValidation type="list" xr:uid="{3B951AA4-78A9-4E1B-9CC2-B695015F5864}" sqref="K22" showErrorMessage="1" errorTitle="An invalid feedback was entered" error="Please choose feedback from drop down only.">
      <formula1>"700,800&amp;900,900,1800,2100,2600,3600,1800&amp;2100,1800&amp;2600,2100&amp;2600,18&amp;21&amp;26,Free,N/A,Yetel,A1,Yetel&amp;A1"</formula1>
    </dataValidation>
    <dataValidation type="list" xr:uid="{6488A2A5-2301-44E3-93AD-48F09DBB4B90}" sqref="L22" showErrorMessage="1" errorTitle="An invalid feedback was entered" error="Please choose feedback from drop down only.">
      <formula1>"700,800&amp;900,900,1800,2100,2600,3600,1800&amp;2100,1800&amp;2600,2100&amp;2600,18&amp;21&amp;26,Free,N/A,Yetel,A1,Yetel&amp;A1"</formula1>
    </dataValidation>
    <dataValidation type="list" xr:uid="{A4987F74-58A6-4A16-B762-363F46CDE3AE}" sqref="M22" showErrorMessage="1" errorTitle="An invalid feedback was entered" error="Please choose feedback from drop down only.">
      <formula1>"700,800&amp;900,900,1800,2100,2600,3600,1800&amp;2100,1800&amp;2600,2100&amp;2600,18&amp;21&amp;26,Free,N/A,Yetel,A1,Yetel&amp;A1"</formula1>
    </dataValidation>
    <dataValidation type="list" xr:uid="{FF862643-53DD-4D48-8249-07122265243D}" sqref="N22" showErrorMessage="1" errorTitle="An invalid feedback was entered" error="Please choose feedback from drop down only.">
      <formula1>"700,800&amp;900,900,1800,2100,2600,3600,1800&amp;2100,1800&amp;2600,2100&amp;2600,18&amp;21&amp;26,Free,N/A,Yetel,A1,Yetel&amp;A1"</formula1>
    </dataValidation>
    <dataValidation type="list" xr:uid="{9C192227-17F4-44F4-8A6A-966B5B98C193}" sqref="O22" showErrorMessage="1" errorTitle="An invalid feedback was entered" error="Please choose feedback from drop down only.">
      <formula1>"700,800&amp;900,900,1800,2100,2600,3600,1800&amp;2100,1800&amp;2600,2100&amp;2600,18&amp;21&amp;26,Free,N/A,Yetel,A1,Yetel&amp;A1"</formula1>
    </dataValidation>
    <dataValidation type="list" xr:uid="{A599CE15-3F1B-4F54-B0F6-64CAA4106301}" sqref="P22" showErrorMessage="1" errorTitle="An invalid feedback was entered" error="Please choose feedback from drop down only.">
      <formula1>"700,800&amp;900,900,1800,2100,2600,3600,1800&amp;2100,1800&amp;2600,2100&amp;2600,18&amp;21&amp;26,Free,N/A,Yetel,A1,Yetel&amp;A1"</formula1>
    </dataValidation>
    <dataValidation type="list" xr:uid="{66723D8E-8AED-4E5B-BC3F-66A21D53E45D}" sqref="Q22" showErrorMessage="1" errorTitle="An invalid feedback was entered" error="Please choose feedback from drop down only.">
      <formula1>"700,800&amp;900,900,1800,2100,2600,3600,1800&amp;2100,1800&amp;2600,2100&amp;2600,18&amp;21&amp;26,Free,N/A,Yetel,A1,Yetel&amp;A1"</formula1>
    </dataValidation>
    <dataValidation type="list" xr:uid="{03F5196A-4295-4850-835D-853AE177B32F}" sqref="C28" showErrorMessage="1" errorTitle="An invalid feedback was entered" error="Please choose feedback from drop down only.">
      <formula1>"Yes,No,FlexRET"</formula1>
    </dataValidation>
    <dataValidation type="list" xr:uid="{660C0B3E-8843-41E3-AF4F-1581751D5CF5}" sqref="D28" showErrorMessage="1" errorTitle="An invalid feedback was entered" error="Please choose feedback from drop down only.">
      <formula1>"Yes,No,FlexRET"</formula1>
    </dataValidation>
    <dataValidation type="list" xr:uid="{B494039E-76E2-48C1-916B-2DBAB093E074}" sqref="E28" showErrorMessage="1" errorTitle="An invalid feedback was entered" error="Please choose feedback from drop down only.">
      <formula1>"Yes,No,FlexRET"</formula1>
    </dataValidation>
    <dataValidation type="list" xr:uid="{8D9285A5-C4B0-49B9-B73E-ED41E1E48C67}" sqref="F28" showErrorMessage="1" errorTitle="An invalid feedback was entered" error="Please choose feedback from drop down only.">
      <formula1>"Yes,No,FlexRET"</formula1>
    </dataValidation>
    <dataValidation type="list" xr:uid="{6F0C7383-AA5F-4207-83E4-013D89053740}" sqref="G28" showErrorMessage="1" errorTitle="An invalid feedback was entered" error="Please choose feedback from drop down only.">
      <formula1>"Yes,No,FlexRET"</formula1>
    </dataValidation>
    <dataValidation type="list" xr:uid="{C305AEDD-CAC0-49ED-BC49-6E24C5C106B6}" sqref="H28" showErrorMessage="1" errorTitle="An invalid feedback was entered" error="Please choose feedback from drop down only.">
      <formula1>"Yes,No,FlexRET"</formula1>
    </dataValidation>
    <dataValidation type="list" xr:uid="{14CCBCDC-A495-4F55-AEFF-B9025C2CE15E}" sqref="I28" showErrorMessage="1" errorTitle="An invalid feedback was entered" error="Please choose feedback from drop down only.">
      <formula1>"Yes,No,FlexRET"</formula1>
    </dataValidation>
    <dataValidation type="list" xr:uid="{955BFD92-D1EB-4B87-8077-A4D26DEDD0C6}" sqref="J28" showErrorMessage="1" errorTitle="An invalid feedback was entered" error="Please choose feedback from drop down only.">
      <formula1>"Yes,No,FlexRET"</formula1>
    </dataValidation>
    <dataValidation type="list" xr:uid="{28BE6C02-D080-4ED6-8A41-3DCF53DC0ACD}" sqref="K28" showErrorMessage="1" errorTitle="An invalid feedback was entered" error="Please choose feedback from drop down only.">
      <formula1>"Yes,No,FlexRET"</formula1>
    </dataValidation>
    <dataValidation type="list" xr:uid="{C514D52A-4F07-4C67-AE3A-AD7E74793551}" sqref="L28" showErrorMessage="1" errorTitle="An invalid feedback was entered" error="Please choose feedback from drop down only.">
      <formula1>"Yes,No,FlexRET"</formula1>
    </dataValidation>
    <dataValidation type="list" xr:uid="{6424FF14-F936-46FD-B361-555492A1B1AF}" sqref="M28" showErrorMessage="1" errorTitle="An invalid feedback was entered" error="Please choose feedback from drop down only.">
      <formula1>"Yes,No,FlexRET"</formula1>
    </dataValidation>
    <dataValidation type="list" xr:uid="{29952254-112F-4753-AC42-37CE2C1BDEE3}" sqref="N28" showErrorMessage="1" errorTitle="An invalid feedback was entered" error="Please choose feedback from drop down only.">
      <formula1>"Yes,No,FlexRET"</formula1>
    </dataValidation>
    <dataValidation type="list" xr:uid="{FBB70A09-BE5E-4E3E-94F2-D75E2B3F1C82}" sqref="O28" showErrorMessage="1" errorTitle="An invalid feedback was entered" error="Please choose feedback from drop down only.">
      <formula1>"Yes,No,FlexRET"</formula1>
    </dataValidation>
    <dataValidation type="list" xr:uid="{035DF3C1-6847-4927-B3BC-A58D3EA0DFBE}" sqref="P28" showErrorMessage="1" errorTitle="An invalid feedback was entered" error="Please choose feedback from drop down only.">
      <formula1>"Yes,No,FlexRET"</formula1>
    </dataValidation>
    <dataValidation type="list" xr:uid="{D6E6E3A2-07C0-4B38-A457-4E7CFD092091}" sqref="Q28" showErrorMessage="1" errorTitle="An invalid feedback was entered" error="Please choose feedback from drop down only.">
      <formula1>"Yes,No,FlexRET"</formula1>
    </dataValidation>
    <dataValidation type="list" xr:uid="{103126BB-37D8-49F7-913B-2DC3CFC3EDD0}" sqref="C29" showErrorMessage="1" errorTitle="An invalid feedback was entered" error="Please choose feedback from drop down only.">
      <formula1>"Yes,No,FlexRET"</formula1>
    </dataValidation>
    <dataValidation type="list" xr:uid="{0E8BE9EA-D45F-4EAB-BF91-9B3B8F57A41A}" sqref="D29" showErrorMessage="1" errorTitle="An invalid feedback was entered" error="Please choose feedback from drop down only.">
      <formula1>"Yes,No,FlexRET"</formula1>
    </dataValidation>
    <dataValidation type="list" xr:uid="{523C7694-266A-491D-A505-3015B2A986B2}" sqref="E29" showErrorMessage="1" errorTitle="An invalid feedback was entered" error="Please choose feedback from drop down only.">
      <formula1>"Yes,No,FlexRET"</formula1>
    </dataValidation>
    <dataValidation type="list" xr:uid="{FFEC6E24-D93E-47E7-AD41-D4E56B95CDF1}" sqref="F29" showErrorMessage="1" errorTitle="An invalid feedback was entered" error="Please choose feedback from drop down only.">
      <formula1>"Yes,No,FlexRET"</formula1>
    </dataValidation>
    <dataValidation type="list" xr:uid="{3C05DD8B-A609-45AB-91C5-236E408C079D}" sqref="G29" showErrorMessage="1" errorTitle="An invalid feedback was entered" error="Please choose feedback from drop down only.">
      <formula1>"Yes,No,FlexRET"</formula1>
    </dataValidation>
    <dataValidation type="list" xr:uid="{EABFB152-B3F6-4F85-AA88-8019C0D0A803}" sqref="H29" showErrorMessage="1" errorTitle="An invalid feedback was entered" error="Please choose feedback from drop down only.">
      <formula1>"Yes,No,FlexRET"</formula1>
    </dataValidation>
    <dataValidation type="list" xr:uid="{8F6F6972-64EA-44AB-8572-05B45F805A57}" sqref="I29" showErrorMessage="1" errorTitle="An invalid feedback was entered" error="Please choose feedback from drop down only.">
      <formula1>"Yes,No,FlexRET"</formula1>
    </dataValidation>
    <dataValidation type="list" xr:uid="{E9FE15A7-043D-4055-A664-14FDD89A1B4C}" sqref="J29" showErrorMessage="1" errorTitle="An invalid feedback was entered" error="Please choose feedback from drop down only.">
      <formula1>"Yes,No,FlexRET"</formula1>
    </dataValidation>
    <dataValidation type="list" xr:uid="{CA9D21EA-3347-4138-B643-E0E8115E068A}" sqref="K29" showErrorMessage="1" errorTitle="An invalid feedback was entered" error="Please choose feedback from drop down only.">
      <formula1>"Yes,No,FlexRET"</formula1>
    </dataValidation>
    <dataValidation type="list" xr:uid="{50DC17B5-DA5F-44E5-BB29-838E55956B79}" sqref="L29" showErrorMessage="1" errorTitle="An invalid feedback was entered" error="Please choose feedback from drop down only.">
      <formula1>"Yes,No,FlexRET"</formula1>
    </dataValidation>
    <dataValidation type="list" xr:uid="{E9288630-D111-4443-95AB-7FA47F6974FD}" sqref="M29" showErrorMessage="1" errorTitle="An invalid feedback was entered" error="Please choose feedback from drop down only.">
      <formula1>"Yes,No,FlexRET"</formula1>
    </dataValidation>
    <dataValidation type="list" xr:uid="{BBE50DD8-ECEF-4DC0-B8D0-41E9E7968635}" sqref="N29" showErrorMessage="1" errorTitle="An invalid feedback was entered" error="Please choose feedback from drop down only.">
      <formula1>"Yes,No,FlexRET"</formula1>
    </dataValidation>
    <dataValidation type="list" xr:uid="{0D34DDC8-8614-41CC-AF88-A29E2C013084}" sqref="O29" showErrorMessage="1" errorTitle="An invalid feedback was entered" error="Please choose feedback from drop down only.">
      <formula1>"Yes,No,FlexRET"</formula1>
    </dataValidation>
    <dataValidation type="list" xr:uid="{27BA34B4-643A-49D5-8CB6-A0AF7BC2F300}" sqref="P29" showErrorMessage="1" errorTitle="An invalid feedback was entered" error="Please choose feedback from drop down only.">
      <formula1>"Yes,No,FlexRET"</formula1>
    </dataValidation>
    <dataValidation type="list" xr:uid="{C3D1E1DC-CF2B-47FF-8A19-9347F2A1533C}" sqref="Q29" showErrorMessage="1" errorTitle="An invalid feedback was entered" error="Please choose feedback from drop down only.">
      <formula1>"Yes,No,FlexRET"</formula1>
    </dataValidation>
    <dataValidation type="list" xr:uid="{969D0A6F-5DE8-4887-8F75-FDC178E751EE}" sqref="C25" showErrorMessage="1" errorTitle="An invalid feedback was entered" error="Please choose feedback from drop down only.">
      <formula1>"G,U,L,NR,GU,UL,GL,GUL,LNR,ULNR,None"</formula1>
    </dataValidation>
    <dataValidation type="list" xr:uid="{466B02BF-4683-41C1-8CB4-5E8119B102F7}" sqref="D25" showErrorMessage="1" errorTitle="An invalid feedback was entered" error="Please choose feedback from drop down only.">
      <formula1>"G,U,L,NR,GU,UL,GL,GUL,LNR,ULNR,None"</formula1>
    </dataValidation>
    <dataValidation type="list" xr:uid="{70609D3E-F259-47B8-AA37-8E63BA81A511}" sqref="E25" showErrorMessage="1" errorTitle="An invalid feedback was entered" error="Please choose feedback from drop down only.">
      <formula1>"G,U,L,NR,GU,UL,GL,GUL,LNR,ULNR,None"</formula1>
    </dataValidation>
    <dataValidation type="list" xr:uid="{EB48CEA3-26B2-4FD2-9BE2-95A603AAA288}" sqref="F25" showErrorMessage="1" errorTitle="An invalid feedback was entered" error="Please choose feedback from drop down only.">
      <formula1>"G,U,L,NR,GU,UL,GL,GUL,LNR,ULNR,None"</formula1>
    </dataValidation>
    <dataValidation type="list" xr:uid="{45D6D701-E26D-41B2-AE92-D6D0D7EC86CC}" sqref="G25" showErrorMessage="1" errorTitle="An invalid feedback was entered" error="Please choose feedback from drop down only.">
      <formula1>"G,U,L,NR,GU,UL,GL,GUL,LNR,ULNR,None"</formula1>
    </dataValidation>
    <dataValidation type="list" xr:uid="{84109AAA-EB76-4215-A80E-78C1EBCAB44A}" sqref="H25" showErrorMessage="1" errorTitle="An invalid feedback was entered" error="Please choose feedback from drop down only.">
      <formula1>"G,U,L,NR,GU,UL,GL,GUL,LNR,ULNR,None"</formula1>
    </dataValidation>
    <dataValidation type="list" xr:uid="{48DD71FD-154C-4243-99B8-BD3E13B28D80}" sqref="I25" showErrorMessage="1" errorTitle="An invalid feedback was entered" error="Please choose feedback from drop down only.">
      <formula1>"G,U,L,NR,GU,UL,GL,GUL,LNR,ULNR,None"</formula1>
    </dataValidation>
    <dataValidation type="list" xr:uid="{EC4EB797-9AD7-47B1-A98F-BA50B730ABCA}" sqref="J25" showErrorMessage="1" errorTitle="An invalid feedback was entered" error="Please choose feedback from drop down only.">
      <formula1>"G,U,L,NR,GU,UL,GL,GUL,LNR,ULNR,None"</formula1>
    </dataValidation>
    <dataValidation type="list" xr:uid="{EB7CA13F-E653-4E27-9DE6-707FF3509A75}" sqref="K25" showErrorMessage="1" errorTitle="An invalid feedback was entered" error="Please choose feedback from drop down only.">
      <formula1>"G,U,L,NR,GU,UL,GL,GUL,LNR,ULNR,None"</formula1>
    </dataValidation>
    <dataValidation type="list" xr:uid="{89A70EC9-CDED-4846-856B-6063E59280E1}" sqref="L25" showErrorMessage="1" errorTitle="An invalid feedback was entered" error="Please choose feedback from drop down only.">
      <formula1>"G,U,L,NR,GU,UL,GL,GUL,LNR,ULNR,None"</formula1>
    </dataValidation>
    <dataValidation type="list" xr:uid="{F49A2235-D3E3-4011-9635-21C88BDC4C44}" sqref="M25" showErrorMessage="1" errorTitle="An invalid feedback was entered" error="Please choose feedback from drop down only.">
      <formula1>"G,U,L,NR,GU,UL,GL,GUL,LNR,ULNR,None"</formula1>
    </dataValidation>
    <dataValidation type="list" xr:uid="{B483125A-B155-48A1-AEF8-BD18E6FBE527}" sqref="N25" showErrorMessage="1" errorTitle="An invalid feedback was entered" error="Please choose feedback from drop down only.">
      <formula1>"G,U,L,NR,GU,UL,GL,GUL,LNR,ULNR,None"</formula1>
    </dataValidation>
    <dataValidation type="list" xr:uid="{536E0358-7604-4D69-B237-D1C6A2CF1717}" sqref="O25" showErrorMessage="1" errorTitle="An invalid feedback was entered" error="Please choose feedback from drop down only.">
      <formula1>"G,U,L,NR,GU,UL,GL,GUL,LNR,ULNR,None"</formula1>
    </dataValidation>
    <dataValidation type="list" xr:uid="{F9BDC53E-C953-4C1D-A0D6-1C1E32FAD1A3}" sqref="P25" showErrorMessage="1" errorTitle="An invalid feedback was entered" error="Please choose feedback from drop down only.">
      <formula1>"G,U,L,NR,GU,UL,GL,GUL,LNR,ULNR,None"</formula1>
    </dataValidation>
    <dataValidation type="list" xr:uid="{6D2E2115-9693-45CE-81D7-A2E870C96150}" sqref="Q25" showErrorMessage="1" errorTitle="An invalid feedback was entered" error="Please choose feedback from drop down only.">
      <formula1>"G,U,L,NR,GU,UL,GL,GUL,LNR,ULNR,None"</formula1>
    </dataValidation>
    <dataValidation type="list" xr:uid="{FA4EB2FB-490F-4129-958D-9B41F4AEACA3}" sqref="C37" showErrorMessage="1" errorTitle="An invalid feedback was entered" error="Please choose feedback from drop down only.">
      <formula1>"Yes,No,SASU,SASU/SASA,DCS/UMTS2100share,78210440,78211110,78210510,DTMA UMTS 12 ASIG,78211106,78210312,TMA 900 Tower amplifier,TMA900,MI-15832,MI-16331,MI-12731,MI-12031,N/A,Unknown,None"</formula1>
    </dataValidation>
    <dataValidation type="list" xr:uid="{8110DCFC-5181-4151-8654-EAC128E5873D}" sqref="D37" showErrorMessage="1" errorTitle="An invalid feedback was entered" error="Please choose feedback from drop down only.">
      <formula1>"Yes,No,SASU,SASU/SASA,DCS/UMTS2100share,78210440,78211110,78210510,DTMA UMTS 12 ASIG,78211106,78210312,TMA 900 Tower amplifier,TMA900,MI-15832,MI-16331,MI-12731,MI-12031,N/A,Unknown,None"</formula1>
    </dataValidation>
    <dataValidation type="list" xr:uid="{78F7301B-CF17-4B88-84AC-67EC56B08A8C}" sqref="E37" showErrorMessage="1" errorTitle="An invalid feedback was entered" error="Please choose feedback from drop down only.">
      <formula1>"Yes,No,SASU,SASU/SASA,DCS/UMTS2100share,78210440,78211110,78210510,DTMA UMTS 12 ASIG,78211106,78210312,TMA 900 Tower amplifier,TMA900,MI-15832,MI-16331,MI-12731,MI-12031,N/A,Unknown,None"</formula1>
    </dataValidation>
    <dataValidation type="list" xr:uid="{1995E128-CABA-4BEC-80B1-BC36C3BA86E0}" sqref="F37" showErrorMessage="1" errorTitle="An invalid feedback was entered" error="Please choose feedback from drop down only.">
      <formula1>"Yes,No,SASU,SASU/SASA,DCS/UMTS2100share,78210440,78211110,78210510,DTMA UMTS 12 ASIG,78211106,78210312,TMA 900 Tower amplifier,TMA900,MI-15832,MI-16331,MI-12731,MI-12031,N/A,Unknown,None"</formula1>
    </dataValidation>
    <dataValidation type="list" xr:uid="{C7812AC6-10B0-41EF-A3D8-1A144D9303CB}" sqref="G37" showErrorMessage="1" errorTitle="An invalid feedback was entered" error="Please choose feedback from drop down only.">
      <formula1>"Yes,No,SASU,SASU/SASA,DCS/UMTS2100share,78210440,78211110,78210510,DTMA UMTS 12 ASIG,78211106,78210312,TMA 900 Tower amplifier,TMA900,MI-15832,MI-16331,MI-12731,MI-12031,N/A,Unknown,None"</formula1>
    </dataValidation>
    <dataValidation type="list" xr:uid="{E629B10C-41C6-4B5B-820B-26D8B52244A6}" sqref="H37" showErrorMessage="1" errorTitle="An invalid feedback was entered" error="Please choose feedback from drop down only.">
      <formula1>"Yes,No,SASU,SASU/SASA,DCS/UMTS2100share,78210440,78211110,78210510,DTMA UMTS 12 ASIG,78211106,78210312,TMA 900 Tower amplifier,TMA900,MI-15832,MI-16331,MI-12731,MI-12031,N/A,Unknown,None"</formula1>
    </dataValidation>
    <dataValidation type="list" xr:uid="{B2F7B787-CBB4-4EFD-81DA-CD9490283B75}" sqref="I37" showErrorMessage="1" errorTitle="An invalid feedback was entered" error="Please choose feedback from drop down only.">
      <formula1>"Yes,No,SASU,SASU/SASA,DCS/UMTS2100share,78210440,78211110,78210510,DTMA UMTS 12 ASIG,78211106,78210312,TMA 900 Tower amplifier,TMA900,MI-15832,MI-16331,MI-12731,MI-12031,N/A,Unknown,None"</formula1>
    </dataValidation>
    <dataValidation type="list" xr:uid="{C7F82707-8FD3-4E2D-A165-34C72EBC2C3B}" sqref="J37" showErrorMessage="1" errorTitle="An invalid feedback was entered" error="Please choose feedback from drop down only.">
      <formula1>"Yes,No,SASU,SASU/SASA,DCS/UMTS2100share,78210440,78211110,78210510,DTMA UMTS 12 ASIG,78211106,78210312,TMA 900 Tower amplifier,TMA900,MI-15832,MI-16331,MI-12731,MI-12031,N/A,Unknown,None"</formula1>
    </dataValidation>
    <dataValidation type="list" xr:uid="{5F59141D-D665-456B-8E88-1D29B023CD3E}" sqref="K37" showErrorMessage="1" errorTitle="An invalid feedback was entered" error="Please choose feedback from drop down only.">
      <formula1>"Yes,No,SASU,SASU/SASA,DCS/UMTS2100share,78210440,78211110,78210510,DTMA UMTS 12 ASIG,78211106,78210312,TMA 900 Tower amplifier,TMA900,MI-15832,MI-16331,MI-12731,MI-12031,N/A,Unknown,None"</formula1>
    </dataValidation>
    <dataValidation type="list" xr:uid="{56BA4CA3-1BCF-4AF6-A75D-040304FBB280}" sqref="L37" showErrorMessage="1" errorTitle="An invalid feedback was entered" error="Please choose feedback from drop down only.">
      <formula1>"Yes,No,SASU,SASU/SASA,DCS/UMTS2100share,78210440,78211110,78210510,DTMA UMTS 12 ASIG,78211106,78210312,TMA 900 Tower amplifier,TMA900,MI-15832,MI-16331,MI-12731,MI-12031,N/A,Unknown,None"</formula1>
    </dataValidation>
    <dataValidation type="list" xr:uid="{2DFF4F0D-4861-469B-ADFC-D67229E7A3F3}" sqref="M37" showErrorMessage="1" errorTitle="An invalid feedback was entered" error="Please choose feedback from drop down only.">
      <formula1>"Yes,No,SASU,SASU/SASA,DCS/UMTS2100share,78210440,78211110,78210510,DTMA UMTS 12 ASIG,78211106,78210312,TMA 900 Tower amplifier,TMA900,MI-15832,MI-16331,MI-12731,MI-12031,N/A,Unknown,None"</formula1>
    </dataValidation>
    <dataValidation type="list" xr:uid="{86607723-B334-406A-AB7E-46A2A5F724D6}" sqref="N37" showErrorMessage="1" errorTitle="An invalid feedback was entered" error="Please choose feedback from drop down only.">
      <formula1>"Yes,No,SASU,SASU/SASA,DCS/UMTS2100share,78210440,78211110,78210510,DTMA UMTS 12 ASIG,78211106,78210312,TMA 900 Tower amplifier,TMA900,MI-15832,MI-16331,MI-12731,MI-12031,N/A,Unknown,None"</formula1>
    </dataValidation>
    <dataValidation type="list" xr:uid="{02E6B37F-9A50-482F-96EB-7910D7B107F2}" sqref="O37" showErrorMessage="1" errorTitle="An invalid feedback was entered" error="Please choose feedback from drop down only.">
      <formula1>"Yes,No,SASU,SASU/SASA,DCS/UMTS2100share,78210440,78211110,78210510,DTMA UMTS 12 ASIG,78211106,78210312,TMA 900 Tower amplifier,TMA900,MI-15832,MI-16331,MI-12731,MI-12031,N/A,Unknown,None"</formula1>
    </dataValidation>
    <dataValidation type="list" xr:uid="{A2F07313-A07E-4EB9-B3AB-D85160E2927A}" sqref="P37" showErrorMessage="1" errorTitle="An invalid feedback was entered" error="Please choose feedback from drop down only.">
      <formula1>"Yes,No,SASU,SASU/SASA,DCS/UMTS2100share,78210440,78211110,78210510,DTMA UMTS 12 ASIG,78211106,78210312,TMA 900 Tower amplifier,TMA900,MI-15832,MI-16331,MI-12731,MI-12031,N/A,Unknown,None"</formula1>
    </dataValidation>
    <dataValidation type="list" xr:uid="{E027ED07-13B5-49D5-A3E7-81CC766D0C64}" sqref="Q37" showErrorMessage="1" errorTitle="An invalid feedback was entered" error="Please choose feedback from drop down only.">
      <formula1>"Yes,No,SASU,SASU/SASA,DCS/UMTS2100share,78210440,78211110,78210510,DTMA UMTS 12 ASIG,78211106,78210312,TMA 900 Tower amplifier,TMA900,MI-15832,MI-16331,MI-12731,MI-12031,N/A,Unknown,None"</formula1>
    </dataValidation>
  </dataValidations>
  <pageMargins left="0.7" right="0.7" top="0.75" bottom="0.75" header="0.3" footer="0.3"/>
  <pageSetup orientation="portrait"/>
  <headerFooter/>
  <extLst>
    <ext xmlns:x14="http://schemas.microsoft.com/office/spreadsheetml/2009/9/main" uri="{CCE6A557-97BC-4b89-ADB6-D9C93CAAB3DF}">
      <x14:dataValidations xmlns:xm="http://schemas.microsoft.com/office/excel/2006/main" count="60">
        <x14:dataValidation type="list" xr:uid="{004E5912-3F83-454E-B06A-19147719F5C5}" error="Please choose feedback from drop down only." errorTitle="An invalid feedback was entered" showErrorMessage="1">
          <x14:formula1>
            <xm:f>Antennas!A:A</xm:f>
          </x14:formula1>
          <xm:sqref>C8</xm:sqref>
        </x14:dataValidation>
        <x14:dataValidation type="list" xr:uid="{7AA31186-F815-4279-97C3-50FCD90CD77A}" error="Please choose feedback from drop down only." errorTitle="An invalid feedback was entered" showErrorMessage="1">
          <x14:formula1>
            <xm:f>Antennas!A:A</xm:f>
          </x14:formula1>
          <xm:sqref>D8</xm:sqref>
        </x14:dataValidation>
        <x14:dataValidation type="list" xr:uid="{CF9D3DB9-050E-4572-B417-99AE89F0EFA8}" error="Please choose feedback from drop down only." errorTitle="An invalid feedback was entered" showErrorMessage="1">
          <x14:formula1>
            <xm:f>Antennas!A:A</xm:f>
          </x14:formula1>
          <xm:sqref>E8</xm:sqref>
        </x14:dataValidation>
        <x14:dataValidation type="list" xr:uid="{43C77326-CB76-4229-9FC6-BCA155A155BA}" error="Please choose feedback from drop down only." errorTitle="An invalid feedback was entered" showErrorMessage="1">
          <x14:formula1>
            <xm:f>Antennas!A:A</xm:f>
          </x14:formula1>
          <xm:sqref>F8</xm:sqref>
        </x14:dataValidation>
        <x14:dataValidation type="list" xr:uid="{A3AFC49B-10C2-4379-AB09-3AE40B754494}" error="Please choose feedback from drop down only." errorTitle="An invalid feedback was entered" showErrorMessage="1">
          <x14:formula1>
            <xm:f>Antennas!A:A</xm:f>
          </x14:formula1>
          <xm:sqref>G8</xm:sqref>
        </x14:dataValidation>
        <x14:dataValidation type="list" xr:uid="{A82B5F98-CFB0-4BCF-966E-60B4D5CCACBD}" error="Please choose feedback from drop down only." errorTitle="An invalid feedback was entered" showErrorMessage="1">
          <x14:formula1>
            <xm:f>Antennas!A:A</xm:f>
          </x14:formula1>
          <xm:sqref>H8</xm:sqref>
        </x14:dataValidation>
        <x14:dataValidation type="list" xr:uid="{C7B1D2D7-2090-474D-A9DB-025D25349E98}" error="Please choose feedback from drop down only." errorTitle="An invalid feedback was entered" showErrorMessage="1">
          <x14:formula1>
            <xm:f>Antennas!A:A</xm:f>
          </x14:formula1>
          <xm:sqref>I8</xm:sqref>
        </x14:dataValidation>
        <x14:dataValidation type="list" xr:uid="{6FDFF71E-47ED-4CF9-994A-04A2ED78ECE3}" error="Please choose feedback from drop down only." errorTitle="An invalid feedback was entered" showErrorMessage="1">
          <x14:formula1>
            <xm:f>Antennas!A:A</xm:f>
          </x14:formula1>
          <xm:sqref>J8</xm:sqref>
        </x14:dataValidation>
        <x14:dataValidation type="list" xr:uid="{8A885068-09DF-4D86-85BB-9F4C36D9E0D3}" error="Please choose feedback from drop down only." errorTitle="An invalid feedback was entered" showErrorMessage="1">
          <x14:formula1>
            <xm:f>Antennas!A:A</xm:f>
          </x14:formula1>
          <xm:sqref>K8</xm:sqref>
        </x14:dataValidation>
        <x14:dataValidation type="list" xr:uid="{9201E85F-60C4-40A2-9A93-E99FB4CDFC91}" error="Please choose feedback from drop down only." errorTitle="An invalid feedback was entered" showErrorMessage="1">
          <x14:formula1>
            <xm:f>Antennas!A:A</xm:f>
          </x14:formula1>
          <xm:sqref>L8</xm:sqref>
        </x14:dataValidation>
        <x14:dataValidation type="list" xr:uid="{7190BB25-DFD8-4442-A56D-59F9383356EB}" error="Please choose feedback from drop down only." errorTitle="An invalid feedback was entered" showErrorMessage="1">
          <x14:formula1>
            <xm:f>Antennas!A:A</xm:f>
          </x14:formula1>
          <xm:sqref>M8</xm:sqref>
        </x14:dataValidation>
        <x14:dataValidation type="list" xr:uid="{6669A85E-91E6-4AF6-A6FE-0781534C3713}" error="Please choose feedback from drop down only." errorTitle="An invalid feedback was entered" showErrorMessage="1">
          <x14:formula1>
            <xm:f>Antennas!A:A</xm:f>
          </x14:formula1>
          <xm:sqref>N8</xm:sqref>
        </x14:dataValidation>
        <x14:dataValidation type="list" xr:uid="{2C37DB61-B836-4E2B-9966-A9D0E232CAFC}" error="Please choose feedback from drop down only." errorTitle="An invalid feedback was entered" showErrorMessage="1">
          <x14:formula1>
            <xm:f>Antennas!A:A</xm:f>
          </x14:formula1>
          <xm:sqref>O8</xm:sqref>
        </x14:dataValidation>
        <x14:dataValidation type="list" xr:uid="{0CC2AC4F-B3E3-46CA-A689-2955BBABD9EF}" error="Please choose feedback from drop down only." errorTitle="An invalid feedback was entered" showErrorMessage="1">
          <x14:formula1>
            <xm:f>Antennas!A:A</xm:f>
          </x14:formula1>
          <xm:sqref>P8</xm:sqref>
        </x14:dataValidation>
        <x14:dataValidation type="list" xr:uid="{090105C7-8177-48C7-872E-86AAB207CF4C}" error="Please choose feedback from drop down only." errorTitle="An invalid feedback was entered" showErrorMessage="1">
          <x14:formula1>
            <xm:f>Antennas!A:A</xm:f>
          </x14:formula1>
          <xm:sqref>Q8</xm:sqref>
        </x14:dataValidation>
        <x14:dataValidation type="list" xr:uid="{5731501B-F94C-4BBE-9728-A3DA7BD5B35E}" error="Please choose feedback from drop down only." errorTitle="An invalid feedback was entered" showErrorMessage="1">
          <x14:formula1>
            <xm:f>Combiners!A:A</xm:f>
          </x14:formula1>
          <xm:sqref>C39</xm:sqref>
        </x14:dataValidation>
        <x14:dataValidation type="list" xr:uid="{F6158630-9A62-4940-8A9F-3C83FB23775E}" error="Please choose feedback from drop down only." errorTitle="An invalid feedback was entered" showErrorMessage="1">
          <x14:formula1>
            <xm:f>Combiners!A:A</xm:f>
          </x14:formula1>
          <xm:sqref>D39</xm:sqref>
        </x14:dataValidation>
        <x14:dataValidation type="list" xr:uid="{7834073B-4EEF-4CC3-989C-6A217DB59C11}" error="Please choose feedback from drop down only." errorTitle="An invalid feedback was entered" showErrorMessage="1">
          <x14:formula1>
            <xm:f>Combiners!A:A</xm:f>
          </x14:formula1>
          <xm:sqref>E39</xm:sqref>
        </x14:dataValidation>
        <x14:dataValidation type="list" xr:uid="{14CCA369-8CBD-4412-A911-7544F611A86C}" error="Please choose feedback from drop down only." errorTitle="An invalid feedback was entered" showErrorMessage="1">
          <x14:formula1>
            <xm:f>Combiners!A:A</xm:f>
          </x14:formula1>
          <xm:sqref>F39</xm:sqref>
        </x14:dataValidation>
        <x14:dataValidation type="list" xr:uid="{1AD9BE73-B0F0-4BB4-A8B3-6151F75CACB0}" error="Please choose feedback from drop down only." errorTitle="An invalid feedback was entered" showErrorMessage="1">
          <x14:formula1>
            <xm:f>Combiners!A:A</xm:f>
          </x14:formula1>
          <xm:sqref>G39</xm:sqref>
        </x14:dataValidation>
        <x14:dataValidation type="list" xr:uid="{DDC4578C-A6A3-4372-96DD-154F117C701B}" error="Please choose feedback from drop down only." errorTitle="An invalid feedback was entered" showErrorMessage="1">
          <x14:formula1>
            <xm:f>Combiners!A:A</xm:f>
          </x14:formula1>
          <xm:sqref>H39</xm:sqref>
        </x14:dataValidation>
        <x14:dataValidation type="list" xr:uid="{CB4A2860-89A1-47DF-B076-55EDCF9DE3D3}" error="Please choose feedback from drop down only." errorTitle="An invalid feedback was entered" showErrorMessage="1">
          <x14:formula1>
            <xm:f>Combiners!A:A</xm:f>
          </x14:formula1>
          <xm:sqref>I39</xm:sqref>
        </x14:dataValidation>
        <x14:dataValidation type="list" xr:uid="{6D4C956D-A71C-49FF-86B7-67091B105A07}" error="Please choose feedback from drop down only." errorTitle="An invalid feedback was entered" showErrorMessage="1">
          <x14:formula1>
            <xm:f>Combiners!A:A</xm:f>
          </x14:formula1>
          <xm:sqref>J39</xm:sqref>
        </x14:dataValidation>
        <x14:dataValidation type="list" xr:uid="{E74350D5-938F-4530-B5A5-A61A0399B267}" error="Please choose feedback from drop down only." errorTitle="An invalid feedback was entered" showErrorMessage="1">
          <x14:formula1>
            <xm:f>Combiners!A:A</xm:f>
          </x14:formula1>
          <xm:sqref>K39</xm:sqref>
        </x14:dataValidation>
        <x14:dataValidation type="list" xr:uid="{901915DD-D60B-4A06-B4F4-BBE3E5C65333}" error="Please choose feedback from drop down only." errorTitle="An invalid feedback was entered" showErrorMessage="1">
          <x14:formula1>
            <xm:f>Combiners!A:A</xm:f>
          </x14:formula1>
          <xm:sqref>L39</xm:sqref>
        </x14:dataValidation>
        <x14:dataValidation type="list" xr:uid="{C92FC7F5-678B-4F94-94EC-73BD33020F02}" error="Please choose feedback from drop down only." errorTitle="An invalid feedback was entered" showErrorMessage="1">
          <x14:formula1>
            <xm:f>Combiners!A:A</xm:f>
          </x14:formula1>
          <xm:sqref>M39</xm:sqref>
        </x14:dataValidation>
        <x14:dataValidation type="list" xr:uid="{729184E9-F1F2-4187-A805-3A6AE9CA90C8}" error="Please choose feedback from drop down only." errorTitle="An invalid feedback was entered" showErrorMessage="1">
          <x14:formula1>
            <xm:f>Combiners!A:A</xm:f>
          </x14:formula1>
          <xm:sqref>N39</xm:sqref>
        </x14:dataValidation>
        <x14:dataValidation type="list" xr:uid="{CAD257A3-0736-4C0D-ABD1-82D63E3AD5F5}" error="Please choose feedback from drop down only." errorTitle="An invalid feedback was entered" showErrorMessage="1">
          <x14:formula1>
            <xm:f>Combiners!A:A</xm:f>
          </x14:formula1>
          <xm:sqref>O39</xm:sqref>
        </x14:dataValidation>
        <x14:dataValidation type="list" xr:uid="{E15EAD2A-449A-4762-8D6F-253B9A2414A0}" error="Please choose feedback from drop down only." errorTitle="An invalid feedback was entered" showErrorMessage="1">
          <x14:formula1>
            <xm:f>Combiners!A:A</xm:f>
          </x14:formula1>
          <xm:sqref>P39</xm:sqref>
        </x14:dataValidation>
        <x14:dataValidation type="list" xr:uid="{DFDAE035-8733-44C2-8222-9BC98206FE3E}" error="Please choose feedback from drop down only." errorTitle="An invalid feedback was entered" showErrorMessage="1">
          <x14:formula1>
            <xm:f>Combiners!A:A</xm:f>
          </x14:formula1>
          <xm:sqref>Q39</xm:sqref>
        </x14:dataValidation>
        <x14:dataValidation type="list" xr:uid="{A597DB58-1A08-4AB0-9514-46964907AA85}" error="Please choose feedback from drop down only." errorTitle="An invalid feedback was entered" showErrorMessage="0">
          <x14:formula1>
            <xm:f>RRUs!A:A</xm:f>
          </x14:formula1>
          <xm:sqref>C35</xm:sqref>
        </x14:dataValidation>
        <x14:dataValidation type="list" xr:uid="{1A279CE9-F0E1-4AD9-A7B3-B5977A436A0B}" error="Please choose feedback from drop down only." errorTitle="An invalid feedback was entered" showErrorMessage="0">
          <x14:formula1>
            <xm:f>RRUs!A:A</xm:f>
          </x14:formula1>
          <xm:sqref>D35</xm:sqref>
        </x14:dataValidation>
        <x14:dataValidation type="list" xr:uid="{FD7C68B3-996B-413F-8F71-76FD71B1666C}" error="Please choose feedback from drop down only." errorTitle="An invalid feedback was entered" showErrorMessage="0">
          <x14:formula1>
            <xm:f>RRUs!A:A</xm:f>
          </x14:formula1>
          <xm:sqref>E35</xm:sqref>
        </x14:dataValidation>
        <x14:dataValidation type="list" xr:uid="{D153E105-02C5-4FA2-BD41-3111194EC1E8}" error="Please choose feedback from drop down only." errorTitle="An invalid feedback was entered" showErrorMessage="0">
          <x14:formula1>
            <xm:f>RRUs!A:A</xm:f>
          </x14:formula1>
          <xm:sqref>F35</xm:sqref>
        </x14:dataValidation>
        <x14:dataValidation type="list" xr:uid="{103F59C9-D3E1-45F7-818A-A2F86193E5D1}" error="Please choose feedback from drop down only." errorTitle="An invalid feedback was entered" showErrorMessage="0">
          <x14:formula1>
            <xm:f>RRUs!A:A</xm:f>
          </x14:formula1>
          <xm:sqref>G35</xm:sqref>
        </x14:dataValidation>
        <x14:dataValidation type="list" xr:uid="{9838A128-CF9C-4B11-9B88-FFD3A3F63F08}" error="Please choose feedback from drop down only." errorTitle="An invalid feedback was entered" showErrorMessage="0">
          <x14:formula1>
            <xm:f>RRUs!A:A</xm:f>
          </x14:formula1>
          <xm:sqref>H35</xm:sqref>
        </x14:dataValidation>
        <x14:dataValidation type="list" xr:uid="{66F801C9-E460-4331-A36B-75011613287A}" error="Please choose feedback from drop down only." errorTitle="An invalid feedback was entered" showErrorMessage="0">
          <x14:formula1>
            <xm:f>RRUs!A:A</xm:f>
          </x14:formula1>
          <xm:sqref>I35</xm:sqref>
        </x14:dataValidation>
        <x14:dataValidation type="list" xr:uid="{9A0F4E6C-D611-4C2A-918C-F8AC0BE8B28C}" error="Please choose feedback from drop down only." errorTitle="An invalid feedback was entered" showErrorMessage="0">
          <x14:formula1>
            <xm:f>RRUs!A:A</xm:f>
          </x14:formula1>
          <xm:sqref>J35</xm:sqref>
        </x14:dataValidation>
        <x14:dataValidation type="list" xr:uid="{D4EEF81A-28A4-47FB-A014-7FC6BC7B607C}" error="Please choose feedback from drop down only." errorTitle="An invalid feedback was entered" showErrorMessage="0">
          <x14:formula1>
            <xm:f>RRUs!A:A</xm:f>
          </x14:formula1>
          <xm:sqref>K35</xm:sqref>
        </x14:dataValidation>
        <x14:dataValidation type="list" xr:uid="{95DBB885-16BF-47DF-A022-FDB9EBCF348B}" error="Please choose feedback from drop down only." errorTitle="An invalid feedback was entered" showErrorMessage="0">
          <x14:formula1>
            <xm:f>RRUs!A:A</xm:f>
          </x14:formula1>
          <xm:sqref>L35</xm:sqref>
        </x14:dataValidation>
        <x14:dataValidation type="list" xr:uid="{60117D2E-01F2-4980-B341-E6807693881C}" error="Please choose feedback from drop down only." errorTitle="An invalid feedback was entered" showErrorMessage="0">
          <x14:formula1>
            <xm:f>RRUs!A:A</xm:f>
          </x14:formula1>
          <xm:sqref>M35</xm:sqref>
        </x14:dataValidation>
        <x14:dataValidation type="list" xr:uid="{8EB53D06-0A39-4E3B-A450-9D420036FE60}" error="Please choose feedback from drop down only." errorTitle="An invalid feedback was entered" showErrorMessage="0">
          <x14:formula1>
            <xm:f>RRUs!A:A</xm:f>
          </x14:formula1>
          <xm:sqref>N35</xm:sqref>
        </x14:dataValidation>
        <x14:dataValidation type="list" xr:uid="{17E83BD6-91A6-4CB3-9A62-5770A1414155}" error="Please choose feedback from drop down only." errorTitle="An invalid feedback was entered" showErrorMessage="0">
          <x14:formula1>
            <xm:f>RRUs!A:A</xm:f>
          </x14:formula1>
          <xm:sqref>O35</xm:sqref>
        </x14:dataValidation>
        <x14:dataValidation type="list" xr:uid="{0A73E8FC-8074-456D-960A-0BC0D8EEECC0}" error="Please choose feedback from drop down only." errorTitle="An invalid feedback was entered" showErrorMessage="0">
          <x14:formula1>
            <xm:f>RRUs!A:A</xm:f>
          </x14:formula1>
          <xm:sqref>P35</xm:sqref>
        </x14:dataValidation>
        <x14:dataValidation type="list" xr:uid="{3BD0AE5E-CAE0-47DB-83AD-361D64B6DA64}" error="Please choose feedback from drop down only." errorTitle="An invalid feedback was entered" showErrorMessage="0">
          <x14:formula1>
            <xm:f>RRUs!A:A</xm:f>
          </x14:formula1>
          <xm:sqref>Q35</xm:sqref>
        </x14:dataValidation>
        <x14:dataValidation type="list" xr:uid="{0E28700A-CDA2-4B1D-83F7-767CF2C68D27}" error="Please choose feedback from drop down only." errorTitle="An invalid feedback was entered" showErrorMessage="1">
          <x14:formula1>
            <xm:f>Combiners!A:A</xm:f>
          </x14:formula1>
          <xm:sqref>C41</xm:sqref>
        </x14:dataValidation>
        <x14:dataValidation type="list" xr:uid="{7F8CD857-2E36-42A9-A890-D5A9A9429438}" error="Please choose feedback from drop down only." errorTitle="An invalid feedback was entered" showErrorMessage="1">
          <x14:formula1>
            <xm:f>Combiners!A:A</xm:f>
          </x14:formula1>
          <xm:sqref>D41</xm:sqref>
        </x14:dataValidation>
        <x14:dataValidation type="list" xr:uid="{98730011-2F32-47F0-999A-BFFA00BE164D}" error="Please choose feedback from drop down only." errorTitle="An invalid feedback was entered" showErrorMessage="1">
          <x14:formula1>
            <xm:f>Combiners!A:A</xm:f>
          </x14:formula1>
          <xm:sqref>E41</xm:sqref>
        </x14:dataValidation>
        <x14:dataValidation type="list" xr:uid="{99BFF15C-4DEE-40E4-BF64-5D292EFC955E}" error="Please choose feedback from drop down only." errorTitle="An invalid feedback was entered" showErrorMessage="1">
          <x14:formula1>
            <xm:f>Combiners!A:A</xm:f>
          </x14:formula1>
          <xm:sqref>F41</xm:sqref>
        </x14:dataValidation>
        <x14:dataValidation type="list" xr:uid="{51D7267E-3D4E-416A-AA46-D23240597B53}" error="Please choose feedback from drop down only." errorTitle="An invalid feedback was entered" showErrorMessage="1">
          <x14:formula1>
            <xm:f>Combiners!A:A</xm:f>
          </x14:formula1>
          <xm:sqref>G41</xm:sqref>
        </x14:dataValidation>
        <x14:dataValidation type="list" xr:uid="{67C1A91D-3582-418C-8B3A-C007EFEAED1E}" error="Please choose feedback from drop down only." errorTitle="An invalid feedback was entered" showErrorMessage="1">
          <x14:formula1>
            <xm:f>Combiners!A:A</xm:f>
          </x14:formula1>
          <xm:sqref>H41</xm:sqref>
        </x14:dataValidation>
        <x14:dataValidation type="list" xr:uid="{EB83A19F-356A-4B20-957B-68F0176755B3}" error="Please choose feedback from drop down only." errorTitle="An invalid feedback was entered" showErrorMessage="1">
          <x14:formula1>
            <xm:f>Combiners!A:A</xm:f>
          </x14:formula1>
          <xm:sqref>I41</xm:sqref>
        </x14:dataValidation>
        <x14:dataValidation type="list" xr:uid="{A68AF5B6-6848-43D4-AB28-8B6D69B7AD80}" error="Please choose feedback from drop down only." errorTitle="An invalid feedback was entered" showErrorMessage="1">
          <x14:formula1>
            <xm:f>Combiners!A:A</xm:f>
          </x14:formula1>
          <xm:sqref>J41</xm:sqref>
        </x14:dataValidation>
        <x14:dataValidation type="list" xr:uid="{A4C8B7B6-24F4-485B-AD7A-6DC84D687BB9}" error="Please choose feedback from drop down only." errorTitle="An invalid feedback was entered" showErrorMessage="1">
          <x14:formula1>
            <xm:f>Combiners!A:A</xm:f>
          </x14:formula1>
          <xm:sqref>K41</xm:sqref>
        </x14:dataValidation>
        <x14:dataValidation type="list" xr:uid="{12122946-5922-45F7-9721-1A4CB9AA6D26}" error="Please choose feedback from drop down only." errorTitle="An invalid feedback was entered" showErrorMessage="1">
          <x14:formula1>
            <xm:f>Combiners!A:A</xm:f>
          </x14:formula1>
          <xm:sqref>L41</xm:sqref>
        </x14:dataValidation>
        <x14:dataValidation type="list" xr:uid="{F8CDD5F3-D53E-4818-B6C1-F3665DF914BF}" error="Please choose feedback from drop down only." errorTitle="An invalid feedback was entered" showErrorMessage="1">
          <x14:formula1>
            <xm:f>Combiners!A:A</xm:f>
          </x14:formula1>
          <xm:sqref>M41</xm:sqref>
        </x14:dataValidation>
        <x14:dataValidation type="list" xr:uid="{862E19B4-8C94-4C7E-9A20-6A0258E60BEA}" error="Please choose feedback from drop down only." errorTitle="An invalid feedback was entered" showErrorMessage="1">
          <x14:formula1>
            <xm:f>Combiners!A:A</xm:f>
          </x14:formula1>
          <xm:sqref>N41</xm:sqref>
        </x14:dataValidation>
        <x14:dataValidation type="list" xr:uid="{BF2FD086-6332-45DF-8091-51387E2878CD}" error="Please choose feedback from drop down only." errorTitle="An invalid feedback was entered" showErrorMessage="1">
          <x14:formula1>
            <xm:f>Combiners!A:A</xm:f>
          </x14:formula1>
          <xm:sqref>O41</xm:sqref>
        </x14:dataValidation>
        <x14:dataValidation type="list" xr:uid="{10F6D40D-E155-4FC9-8010-3356F58C9A18}" error="Please choose feedback from drop down only." errorTitle="An invalid feedback was entered" showErrorMessage="1">
          <x14:formula1>
            <xm:f>Combiners!A:A</xm:f>
          </x14:formula1>
          <xm:sqref>P41</xm:sqref>
        </x14:dataValidation>
        <x14:dataValidation type="list" xr:uid="{B723E800-0E2D-4C78-8CC2-B6D474A7426E}" error="Please choose feedback from drop down only." errorTitle="An invalid feedback was entered" showErrorMessage="1">
          <x14:formula1>
            <xm:f>Combiners!A:A</xm:f>
          </x14:formula1>
          <xm:sqref>Q41</xm:sqref>
        </x14:dataValidation>
      </x14:dataValidations>
    </ext>
  </extLst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mc:Ignorable="x14ac xr">
  <sheetPr codeName="Sheet7"/>
  <dimension ref="A1:U45"/>
  <sheetViews>
    <sheetView zoomScale="90" zoomScaleNormal="90" workbookViewId="0">
      <selection activeCell="C8" sqref="C8:H8"/>
    </sheetView>
  </sheetViews>
  <sheetFormatPr defaultColWidth="9.1328125" defaultRowHeight="12.75"/>
  <cols>
    <col min="1" max="1" bestFit="1" width="10.265625" customWidth="1" style="6"/>
    <col min="2" max="2" bestFit="1" width="40.1328125" customWidth="1" style="7"/>
    <col min="3" max="7" width="9.1328125" customWidth="1" style="21"/>
    <col min="8" max="8" bestFit="1" width="9.3984375" customWidth="1" style="21"/>
    <col min="9" max="16384" width="9.1328125" customWidth="1" style="21"/>
  </cols>
  <sheetData>
    <row r="1" ht="25.15" customHeight="1">
      <c r="A1" s="197"/>
      <c r="B1" s="198"/>
      <c r="C1" s="258" t="s">
        <v>115</v>
      </c>
      <c r="D1" s="258"/>
      <c r="E1" s="258"/>
      <c r="F1" s="258"/>
      <c r="G1" s="258"/>
      <c r="H1" s="258"/>
      <c r="I1" s="258"/>
      <c r="J1" s="258"/>
      <c r="K1" s="258"/>
      <c r="L1" s="258"/>
      <c r="M1" s="258"/>
      <c r="N1" s="258"/>
      <c r="O1" s="258"/>
      <c r="P1" s="258"/>
    </row>
    <row r="2" ht="18">
      <c r="A2" s="33"/>
      <c r="B2" s="14" t="s">
        <v>1</v>
      </c>
      <c r="C2" s="217">
        <v>1</v>
      </c>
      <c r="D2" s="251"/>
      <c r="E2" s="251"/>
      <c r="F2" s="251"/>
      <c r="G2" s="251"/>
      <c r="H2" s="219"/>
      <c r="I2" s="252">
        <v>2</v>
      </c>
      <c r="J2" s="253"/>
      <c r="K2" s="253"/>
      <c r="L2" s="254"/>
      <c r="M2" s="252">
        <v>3</v>
      </c>
      <c r="N2" s="253"/>
      <c r="O2" s="255"/>
      <c r="P2" s="72">
        <v>4</v>
      </c>
    </row>
    <row r="3" ht="17.65">
      <c r="A3" s="241"/>
      <c r="B3" s="12" t="s">
        <v>2</v>
      </c>
      <c r="C3" s="226"/>
      <c r="D3" s="227"/>
      <c r="E3" s="227"/>
      <c r="F3" s="227"/>
      <c r="G3" s="227"/>
      <c r="H3" s="227"/>
      <c r="I3" s="227"/>
      <c r="J3" s="227"/>
      <c r="K3" s="227"/>
      <c r="L3" s="227"/>
      <c r="M3" s="227"/>
      <c r="N3" s="227"/>
      <c r="O3" s="227"/>
      <c r="P3" s="228"/>
    </row>
    <row r="4" ht="25.15" s="22" customFormat="1">
      <c r="A4" s="241"/>
      <c r="B4" s="9" t="s">
        <v>3</v>
      </c>
      <c r="C4" s="267"/>
      <c r="D4" s="268"/>
      <c r="E4" s="268"/>
      <c r="F4" s="268"/>
      <c r="G4" s="268"/>
      <c r="H4" s="268"/>
      <c r="I4" s="268"/>
      <c r="J4" s="268"/>
      <c r="K4" s="268"/>
      <c r="L4" s="268"/>
      <c r="M4" s="268"/>
      <c r="N4" s="268"/>
      <c r="O4" s="268"/>
      <c r="P4" s="269"/>
    </row>
    <row r="5" ht="24.75">
      <c r="A5" s="241"/>
      <c r="B5" s="13" t="s">
        <v>4</v>
      </c>
      <c r="C5" s="245"/>
      <c r="D5" s="246"/>
      <c r="E5" s="246"/>
      <c r="F5" s="246"/>
      <c r="G5" s="246"/>
      <c r="H5" s="246"/>
      <c r="I5" s="246"/>
      <c r="J5" s="246"/>
      <c r="K5" s="246"/>
      <c r="L5" s="246"/>
      <c r="M5" s="246"/>
      <c r="N5" s="246"/>
      <c r="O5" s="246"/>
      <c r="P5" s="247"/>
    </row>
    <row r="6" ht="25.15" s="22" customFormat="1">
      <c r="A6" s="241"/>
      <c r="B6" s="32" t="s">
        <v>5</v>
      </c>
      <c r="C6" s="248"/>
      <c r="D6" s="249"/>
      <c r="E6" s="249"/>
      <c r="F6" s="249"/>
      <c r="G6" s="249"/>
      <c r="H6" s="249"/>
      <c r="I6" s="249"/>
      <c r="J6" s="249"/>
      <c r="K6" s="249"/>
      <c r="L6" s="249"/>
      <c r="M6" s="249"/>
      <c r="N6" s="249"/>
      <c r="O6" s="249"/>
      <c r="P6" s="250"/>
    </row>
    <row r="7" ht="17.25">
      <c r="A7" s="241"/>
      <c r="B7" s="8" t="s">
        <v>6</v>
      </c>
      <c r="C7" s="226"/>
      <c r="D7" s="227"/>
      <c r="E7" s="227"/>
      <c r="F7" s="227"/>
      <c r="G7" s="227"/>
      <c r="H7" s="228"/>
      <c r="I7" s="227"/>
      <c r="J7" s="227"/>
      <c r="K7" s="227"/>
      <c r="L7" s="228"/>
      <c r="M7" s="227"/>
      <c r="N7" s="227"/>
      <c r="O7" s="228"/>
      <c r="P7" s="90"/>
    </row>
    <row r="8" ht="17.65" s="22" customFormat="1">
      <c r="A8" s="241"/>
      <c r="B8" s="9" t="s">
        <v>8</v>
      </c>
      <c r="C8" s="229"/>
      <c r="D8" s="230"/>
      <c r="E8" s="230"/>
      <c r="F8" s="230"/>
      <c r="G8" s="230"/>
      <c r="H8" s="231"/>
      <c r="I8" s="229"/>
      <c r="J8" s="230"/>
      <c r="K8" s="230"/>
      <c r="L8" s="231"/>
      <c r="M8" s="229"/>
      <c r="N8" s="230"/>
      <c r="O8" s="231"/>
      <c r="P8" s="74"/>
    </row>
    <row r="9" ht="17.25">
      <c r="A9" s="241"/>
      <c r="B9" s="8" t="s">
        <v>9</v>
      </c>
      <c r="C9" s="211"/>
      <c r="D9" s="212"/>
      <c r="E9" s="212"/>
      <c r="F9" s="212"/>
      <c r="G9" s="212"/>
      <c r="H9" s="213"/>
      <c r="I9" s="212"/>
      <c r="J9" s="212"/>
      <c r="K9" s="212"/>
      <c r="L9" s="213"/>
      <c r="M9" s="212"/>
      <c r="N9" s="212"/>
      <c r="O9" s="213"/>
      <c r="P9" s="73"/>
    </row>
    <row r="10" ht="17.65" s="22" customFormat="1">
      <c r="A10" s="241"/>
      <c r="B10" s="10" t="s">
        <v>11</v>
      </c>
      <c r="C10" s="229"/>
      <c r="D10" s="230"/>
      <c r="E10" s="230"/>
      <c r="F10" s="230"/>
      <c r="G10" s="230"/>
      <c r="H10" s="231"/>
      <c r="I10" s="229"/>
      <c r="J10" s="230"/>
      <c r="K10" s="230"/>
      <c r="L10" s="231"/>
      <c r="M10" s="229"/>
      <c r="N10" s="230"/>
      <c r="O10" s="231"/>
      <c r="P10" s="74"/>
    </row>
    <row r="11" ht="17.25">
      <c r="A11" s="241"/>
      <c r="B11" s="8" t="s">
        <v>12</v>
      </c>
      <c r="C11" s="211"/>
      <c r="D11" s="212"/>
      <c r="E11" s="212"/>
      <c r="F11" s="212"/>
      <c r="G11" s="212"/>
      <c r="H11" s="213"/>
      <c r="I11" s="212"/>
      <c r="J11" s="212"/>
      <c r="K11" s="212"/>
      <c r="L11" s="213"/>
      <c r="M11" s="212"/>
      <c r="N11" s="212"/>
      <c r="O11" s="213"/>
      <c r="P11" s="73"/>
    </row>
    <row r="12" ht="17.65" s="22" customFormat="1">
      <c r="A12" s="241"/>
      <c r="B12" s="10" t="s">
        <v>13</v>
      </c>
      <c r="C12" s="214"/>
      <c r="D12" s="215"/>
      <c r="E12" s="215"/>
      <c r="F12" s="215"/>
      <c r="G12" s="215"/>
      <c r="H12" s="216"/>
      <c r="I12" s="214"/>
      <c r="J12" s="215"/>
      <c r="K12" s="215"/>
      <c r="L12" s="216"/>
      <c r="M12" s="214"/>
      <c r="N12" s="215"/>
      <c r="O12" s="216"/>
      <c r="P12" s="74"/>
    </row>
    <row r="13" ht="17.25">
      <c r="A13" s="241"/>
      <c r="B13" s="8" t="s">
        <v>14</v>
      </c>
      <c r="C13" s="211"/>
      <c r="D13" s="212"/>
      <c r="E13" s="212"/>
      <c r="F13" s="212"/>
      <c r="G13" s="212"/>
      <c r="H13" s="213"/>
      <c r="I13" s="212"/>
      <c r="J13" s="212"/>
      <c r="K13" s="212"/>
      <c r="L13" s="213"/>
      <c r="M13" s="212"/>
      <c r="N13" s="212"/>
      <c r="O13" s="213"/>
      <c r="P13" s="73"/>
    </row>
    <row r="14" ht="17.65" s="22" customFormat="1">
      <c r="A14" s="241"/>
      <c r="B14" s="10" t="s">
        <v>15</v>
      </c>
      <c r="C14" s="208"/>
      <c r="D14" s="209"/>
      <c r="E14" s="209"/>
      <c r="F14" s="209"/>
      <c r="G14" s="209"/>
      <c r="H14" s="210"/>
      <c r="I14" s="208"/>
      <c r="J14" s="209"/>
      <c r="K14" s="209"/>
      <c r="L14" s="210"/>
      <c r="M14" s="208"/>
      <c r="N14" s="209"/>
      <c r="O14" s="210"/>
      <c r="P14" s="81"/>
    </row>
    <row r="15" ht="17.25">
      <c r="A15" s="241"/>
      <c r="B15" s="8" t="s">
        <v>16</v>
      </c>
      <c r="C15" s="211"/>
      <c r="D15" s="212"/>
      <c r="E15" s="212"/>
      <c r="F15" s="212"/>
      <c r="G15" s="212"/>
      <c r="H15" s="213"/>
      <c r="I15" s="212"/>
      <c r="J15" s="212"/>
      <c r="K15" s="212"/>
      <c r="L15" s="213"/>
      <c r="M15" s="212"/>
      <c r="N15" s="212"/>
      <c r="O15" s="213"/>
      <c r="P15" s="80"/>
    </row>
    <row r="16" ht="17.25" s="22" customFormat="1">
      <c r="A16" s="241"/>
      <c r="B16" s="68" t="s">
        <v>17</v>
      </c>
      <c r="C16" s="199"/>
      <c r="D16" s="200"/>
      <c r="E16" s="200"/>
      <c r="F16" s="200"/>
      <c r="G16" s="200"/>
      <c r="H16" s="201"/>
      <c r="I16" s="202"/>
      <c r="J16" s="203"/>
      <c r="K16" s="203"/>
      <c r="L16" s="204"/>
      <c r="M16" s="202"/>
      <c r="N16" s="203"/>
      <c r="O16" s="204"/>
      <c r="P16" s="75"/>
    </row>
    <row r="17" ht="17.25">
      <c r="A17" s="256"/>
      <c r="B17" s="70" t="s">
        <v>18</v>
      </c>
      <c r="C17" s="63" t="s">
        <v>19</v>
      </c>
      <c r="D17" s="64" t="s">
        <v>20</v>
      </c>
      <c r="E17" s="64" t="s">
        <v>21</v>
      </c>
      <c r="F17" s="64" t="s">
        <v>22</v>
      </c>
      <c r="G17" s="64" t="s">
        <v>23</v>
      </c>
      <c r="H17" s="65" t="s">
        <v>24</v>
      </c>
      <c r="I17" s="63" t="s">
        <v>19</v>
      </c>
      <c r="J17" s="64" t="s">
        <v>20</v>
      </c>
      <c r="K17" s="64" t="s">
        <v>21</v>
      </c>
      <c r="L17" s="65" t="s">
        <v>22</v>
      </c>
      <c r="M17" s="63" t="s">
        <v>19</v>
      </c>
      <c r="N17" s="64" t="s">
        <v>20</v>
      </c>
      <c r="O17" s="65" t="s">
        <v>21</v>
      </c>
      <c r="P17" s="76" t="s">
        <v>19</v>
      </c>
    </row>
    <row r="18" ht="17.25">
      <c r="A18" s="256"/>
      <c r="B18" s="70" t="s">
        <v>25</v>
      </c>
      <c r="C18" s="63"/>
      <c r="D18" s="64"/>
      <c r="E18" s="64"/>
      <c r="F18" s="64"/>
      <c r="G18" s="64"/>
      <c r="H18" s="65"/>
      <c r="I18" s="63"/>
      <c r="J18" s="64"/>
      <c r="K18" s="64"/>
      <c r="L18" s="65"/>
      <c r="M18" s="63"/>
      <c r="N18" s="64"/>
      <c r="O18" s="65"/>
      <c r="P18" s="77"/>
    </row>
    <row r="19" ht="17.25">
      <c r="A19" s="256"/>
      <c r="B19" s="71" t="s">
        <v>32</v>
      </c>
      <c r="C19" s="105">
        <f>VLOOKUP(C8,AntennasPortName!A:H,2,FALSE)</f>
      </c>
      <c r="D19" s="105">
        <f>VLOOKUP(C8,AntennasPortName!A:H,3,FALSE)</f>
      </c>
      <c r="E19" s="105">
        <f>VLOOKUP(C8,AntennasPortName!A:H,4,FALSE)</f>
      </c>
      <c r="F19" s="105">
        <f>VLOOKUP(C8,AntennasPortName!A:H,5,FALSE)</f>
      </c>
      <c r="G19" s="105">
        <f>VLOOKUP(C8,AntennasPortName!A:H,6,FALSE)</f>
      </c>
      <c r="H19" s="105">
        <f>VLOOKUP(C8,AntennasPortName!A:H,7,FALSE)</f>
      </c>
      <c r="I19" s="105">
        <f>VLOOKUP(I8,AntennasPortName!A:H,2,FALSE)</f>
      </c>
      <c r="J19" s="105">
        <f>VLOOKUP(I8,AntennasPortName!A:H,3,FALSE)</f>
      </c>
      <c r="K19" s="105">
        <f>VLOOKUP(I8,AntennasPortName!A:H,4,FALSE)</f>
      </c>
      <c r="L19" s="105">
        <f>VLOOKUP(I8,AntennasPortName!A:H,5,FALSE)</f>
      </c>
      <c r="M19" s="105">
        <f>VLOOKUP(M8,AntennasPortName!A:H,2,FALSE)</f>
      </c>
      <c r="N19" s="105">
        <f>VLOOKUP(M8,AntennasPortName!A:H,3,FALSE)</f>
      </c>
      <c r="O19" s="105">
        <f>VLOOKUP(M8,AntennasPortName!A:H,4,FALSE)</f>
      </c>
      <c r="P19" s="99">
        <f>VLOOKUP(P8,AntennasPortName!A:H,2,FALSE)</f>
      </c>
    </row>
    <row r="20" ht="17.25">
      <c r="A20" s="241"/>
      <c r="B20" s="69" t="s">
        <v>33</v>
      </c>
      <c r="C20" s="61"/>
      <c r="D20" s="62"/>
      <c r="E20" s="62"/>
      <c r="F20" s="62"/>
      <c r="G20" s="62"/>
      <c r="H20" s="62"/>
      <c r="I20" s="61"/>
      <c r="J20" s="62"/>
      <c r="K20" s="62"/>
      <c r="L20" s="66"/>
      <c r="M20" s="67"/>
      <c r="N20" s="62"/>
      <c r="O20" s="66"/>
      <c r="P20" s="66"/>
    </row>
    <row r="21" ht="17.65">
      <c r="A21" s="241"/>
      <c r="B21" s="18" t="s">
        <v>36</v>
      </c>
      <c r="C21" s="42">
        <f>VLOOKUP(C8,Antennas!A:H,2,FALSE)</f>
      </c>
      <c r="D21" s="43">
        <f>VLOOKUP(C8,Antennas!A:H,3,FALSE)</f>
      </c>
      <c r="E21" s="43">
        <f>VLOOKUP(C8,Antennas!A:H,4,FALSE)</f>
      </c>
      <c r="F21" s="43">
        <f>VLOOKUP(C8,Antennas!A:H,5,FALSE)</f>
      </c>
      <c r="G21" s="43">
        <f>VLOOKUP(C8,Antennas!A:H,6,FALSE)</f>
      </c>
      <c r="H21" s="43">
        <f>VLOOKUP(C8,Antennas!A:H,7,FALSE)</f>
      </c>
      <c r="I21" s="43">
        <f>VLOOKUP(I8,Antennas!A:H,2,FALSE)</f>
      </c>
      <c r="J21" s="43">
        <f>VLOOKUP(I8,Antennas!A:H,3,FALSE)</f>
      </c>
      <c r="K21" s="43">
        <f>VLOOKUP(I8,Antennas!A:H,4,FALSE)</f>
      </c>
      <c r="L21" s="44">
        <f>VLOOKUP(I8,Antennas!A:H,5,FALSE)</f>
      </c>
      <c r="M21" s="45">
        <f>VLOOKUP(M8,Antennas!A:H,2,FALSE)</f>
      </c>
      <c r="N21" s="43">
        <f>VLOOKUP(M8,Antennas!A:H,3,FALSE)</f>
      </c>
      <c r="O21" s="42">
        <f>VLOOKUP(M8,Antennas!A:H,4,FALSE)</f>
      </c>
      <c r="P21" s="42">
        <f>VLOOKUP(P8,Antennas!A:H,2,FALSE)</f>
      </c>
      <c r="R21" s="17"/>
    </row>
    <row r="22" ht="17.65" s="22" customFormat="1">
      <c r="A22" s="241"/>
      <c r="B22" s="28" t="s">
        <v>37</v>
      </c>
      <c r="C22" s="46"/>
      <c r="D22" s="47"/>
      <c r="E22" s="47"/>
      <c r="F22" s="47"/>
      <c r="G22" s="47"/>
      <c r="H22" s="47"/>
      <c r="I22" s="47"/>
      <c r="J22" s="47"/>
      <c r="K22" s="47"/>
      <c r="L22" s="48"/>
      <c r="M22" s="49"/>
      <c r="N22" s="47"/>
      <c r="O22" s="50"/>
      <c r="P22" s="50"/>
    </row>
    <row r="23" ht="17.65" s="22" customFormat="1">
      <c r="A23" s="241"/>
      <c r="B23" s="28" t="s">
        <v>38</v>
      </c>
      <c r="C23" s="46"/>
      <c r="D23" s="46"/>
      <c r="E23" s="46"/>
      <c r="F23" s="46"/>
      <c r="G23" s="46"/>
      <c r="H23" s="46"/>
      <c r="I23" s="46"/>
      <c r="J23" s="46"/>
      <c r="K23" s="46"/>
      <c r="L23" s="46"/>
      <c r="M23" s="46"/>
      <c r="N23" s="46"/>
      <c r="O23" s="46"/>
      <c r="P23" s="46"/>
    </row>
    <row r="24" ht="17.25">
      <c r="A24" s="241"/>
      <c r="B24" s="11" t="s">
        <v>39</v>
      </c>
      <c r="C24" s="25"/>
      <c r="D24" s="25"/>
      <c r="E24" s="25"/>
      <c r="F24" s="25"/>
      <c r="G24" s="25"/>
      <c r="H24" s="25"/>
      <c r="I24" s="25"/>
      <c r="J24" s="25"/>
      <c r="K24" s="25"/>
      <c r="L24" s="25"/>
      <c r="M24" s="25"/>
      <c r="N24" s="25"/>
      <c r="O24" s="25"/>
      <c r="P24" s="25"/>
    </row>
    <row r="25" ht="17.65" s="22" customFormat="1">
      <c r="A25" s="241"/>
      <c r="B25" s="29" t="s">
        <v>43</v>
      </c>
      <c r="C25" s="51"/>
      <c r="D25" s="51"/>
      <c r="E25" s="51"/>
      <c r="F25" s="51"/>
      <c r="G25" s="51"/>
      <c r="H25" s="51"/>
      <c r="I25" s="51"/>
      <c r="J25" s="51"/>
      <c r="K25" s="51"/>
      <c r="L25" s="51"/>
      <c r="M25" s="51"/>
      <c r="N25" s="51"/>
      <c r="O25" s="51"/>
      <c r="P25" s="78"/>
    </row>
    <row r="26" ht="17.25">
      <c r="A26" s="241"/>
      <c r="B26" s="27" t="s">
        <v>44</v>
      </c>
      <c r="C26" s="24"/>
      <c r="D26" s="24"/>
      <c r="E26" s="24"/>
      <c r="F26" s="24"/>
      <c r="G26" s="24"/>
      <c r="H26" s="24"/>
      <c r="I26" s="24"/>
      <c r="J26" s="24"/>
      <c r="K26" s="24"/>
      <c r="L26" s="24"/>
      <c r="M26" s="24"/>
      <c r="N26" s="24"/>
      <c r="O26" s="24"/>
      <c r="P26" s="24"/>
    </row>
    <row r="27" ht="17.65" s="22" customFormat="1">
      <c r="A27" s="241"/>
      <c r="B27" s="30" t="s">
        <v>45</v>
      </c>
      <c r="C27" s="52"/>
      <c r="D27" s="52"/>
      <c r="E27" s="52"/>
      <c r="F27" s="52"/>
      <c r="G27" s="52"/>
      <c r="H27" s="52"/>
      <c r="I27" s="52"/>
      <c r="J27" s="52"/>
      <c r="K27" s="52"/>
      <c r="L27" s="52"/>
      <c r="M27" s="52"/>
      <c r="N27" s="52"/>
      <c r="O27" s="52"/>
      <c r="P27" s="52"/>
    </row>
    <row r="28" ht="17.25">
      <c r="A28" s="241"/>
      <c r="B28" s="11" t="s">
        <v>46</v>
      </c>
      <c r="C28" s="24"/>
      <c r="D28" s="24"/>
      <c r="E28" s="24"/>
      <c r="F28" s="24"/>
      <c r="G28" s="24"/>
      <c r="H28" s="24"/>
      <c r="I28" s="24"/>
      <c r="J28" s="24"/>
      <c r="K28" s="24"/>
      <c r="L28" s="24"/>
      <c r="M28" s="24"/>
      <c r="N28" s="24"/>
      <c r="O28" s="24"/>
      <c r="P28" s="24"/>
    </row>
    <row r="29" ht="17.65" s="22" customFormat="1">
      <c r="A29" s="241"/>
      <c r="B29" s="31" t="s">
        <v>47</v>
      </c>
      <c r="C29" s="51"/>
      <c r="D29" s="51"/>
      <c r="E29" s="51"/>
      <c r="F29" s="51"/>
      <c r="G29" s="51"/>
      <c r="H29" s="51"/>
      <c r="I29" s="51"/>
      <c r="J29" s="51"/>
      <c r="K29" s="51"/>
      <c r="L29" s="51"/>
      <c r="M29" s="51"/>
      <c r="N29" s="51"/>
      <c r="O29" s="51"/>
      <c r="P29" s="78"/>
    </row>
    <row r="30" ht="17.25">
      <c r="A30" s="241"/>
      <c r="B30" s="27" t="s">
        <v>48</v>
      </c>
      <c r="C30" s="24"/>
      <c r="D30" s="24"/>
      <c r="E30" s="24"/>
      <c r="F30" s="24"/>
      <c r="G30" s="24"/>
      <c r="H30" s="24"/>
      <c r="I30" s="24"/>
      <c r="J30" s="24"/>
      <c r="K30" s="24"/>
      <c r="L30" s="24"/>
      <c r="M30" s="24"/>
      <c r="N30" s="24"/>
      <c r="O30" s="24"/>
      <c r="P30" s="24"/>
    </row>
    <row r="31" ht="17.65" s="22" customFormat="1">
      <c r="A31" s="241"/>
      <c r="B31" s="30" t="s">
        <v>50</v>
      </c>
      <c r="C31" s="53"/>
      <c r="D31" s="53"/>
      <c r="E31" s="53"/>
      <c r="F31" s="53"/>
      <c r="G31" s="53"/>
      <c r="H31" s="53"/>
      <c r="I31" s="53"/>
      <c r="J31" s="53"/>
      <c r="K31" s="53"/>
      <c r="L31" s="53"/>
      <c r="M31" s="53"/>
      <c r="N31" s="53"/>
      <c r="O31" s="53"/>
      <c r="P31" s="79"/>
    </row>
    <row r="32" ht="17.25">
      <c r="A32" s="241"/>
      <c r="B32" s="11" t="s">
        <v>51</v>
      </c>
      <c r="C32" s="25"/>
      <c r="D32" s="25"/>
      <c r="E32" s="25"/>
      <c r="F32" s="25"/>
      <c r="G32" s="25"/>
      <c r="H32" s="25"/>
      <c r="I32" s="25"/>
      <c r="J32" s="25"/>
      <c r="K32" s="25"/>
      <c r="L32" s="25"/>
      <c r="M32" s="25"/>
      <c r="N32" s="25"/>
      <c r="O32" s="25"/>
      <c r="P32" s="25"/>
    </row>
    <row r="33" ht="17.65" s="22" customFormat="1">
      <c r="A33" s="241"/>
      <c r="B33" s="30" t="s">
        <v>52</v>
      </c>
      <c r="C33" s="51"/>
      <c r="D33" s="51"/>
      <c r="E33" s="51"/>
      <c r="F33" s="51"/>
      <c r="G33" s="51"/>
      <c r="H33" s="51"/>
      <c r="I33" s="51"/>
      <c r="J33" s="51"/>
      <c r="K33" s="51"/>
      <c r="L33" s="51"/>
      <c r="M33" s="51"/>
      <c r="N33" s="51"/>
      <c r="O33" s="51"/>
      <c r="P33" s="78"/>
    </row>
    <row r="34" ht="17.25">
      <c r="A34" s="241"/>
      <c r="B34" s="27" t="s">
        <v>53</v>
      </c>
      <c r="C34" s="24"/>
      <c r="D34" s="24"/>
      <c r="E34" s="24"/>
      <c r="F34" s="24"/>
      <c r="G34" s="24"/>
      <c r="H34" s="24"/>
      <c r="I34" s="24"/>
      <c r="J34" s="24"/>
      <c r="K34" s="24"/>
      <c r="L34" s="24"/>
      <c r="M34" s="24"/>
      <c r="N34" s="24"/>
      <c r="O34" s="24"/>
      <c r="P34" s="24"/>
      <c r="U34" s="22"/>
    </row>
    <row r="35" ht="17.65" s="22" customFormat="1">
      <c r="A35" s="241"/>
      <c r="B35" s="28" t="s">
        <v>56</v>
      </c>
      <c r="C35" s="51"/>
      <c r="D35" s="51"/>
      <c r="E35" s="51"/>
      <c r="F35" s="51"/>
      <c r="G35" s="51"/>
      <c r="H35" s="51"/>
      <c r="I35" s="51"/>
      <c r="J35" s="51"/>
      <c r="K35" s="51"/>
      <c r="L35" s="51"/>
      <c r="M35" s="51"/>
      <c r="N35" s="51"/>
      <c r="O35" s="51"/>
      <c r="P35" s="78"/>
      <c r="U35" s="21"/>
    </row>
    <row r="36" ht="17.25">
      <c r="A36" s="241"/>
      <c r="B36" s="11" t="s">
        <v>57</v>
      </c>
      <c r="C36" s="25"/>
      <c r="D36" s="25"/>
      <c r="E36" s="25"/>
      <c r="F36" s="25"/>
      <c r="G36" s="25"/>
      <c r="H36" s="25"/>
      <c r="I36" s="25"/>
      <c r="J36" s="25"/>
      <c r="K36" s="25"/>
      <c r="L36" s="25"/>
      <c r="M36" s="25"/>
      <c r="N36" s="25"/>
      <c r="O36" s="25"/>
      <c r="P36" s="25"/>
    </row>
    <row r="37" ht="17.65" s="22" customFormat="1">
      <c r="A37" s="241"/>
      <c r="B37" s="28" t="s">
        <v>60</v>
      </c>
      <c r="C37" s="51"/>
      <c r="D37" s="51"/>
      <c r="E37" s="51"/>
      <c r="F37" s="51"/>
      <c r="G37" s="51"/>
      <c r="H37" s="51"/>
      <c r="I37" s="51"/>
      <c r="J37" s="51"/>
      <c r="K37" s="51"/>
      <c r="L37" s="51"/>
      <c r="M37" s="51"/>
      <c r="N37" s="51"/>
      <c r="O37" s="51"/>
      <c r="P37" s="78"/>
    </row>
    <row r="38" ht="17.25">
      <c r="A38" s="241"/>
      <c r="B38" s="11" t="s">
        <v>61</v>
      </c>
      <c r="C38" s="25"/>
      <c r="D38" s="25"/>
      <c r="E38" s="25"/>
      <c r="F38" s="25"/>
      <c r="G38" s="25"/>
      <c r="H38" s="25"/>
      <c r="I38" s="25"/>
      <c r="J38" s="25"/>
      <c r="K38" s="25"/>
      <c r="L38" s="25"/>
      <c r="M38" s="25"/>
      <c r="N38" s="25"/>
      <c r="O38" s="25"/>
      <c r="P38" s="25"/>
    </row>
    <row r="39" ht="17.65" s="22" customFormat="1">
      <c r="A39" s="241"/>
      <c r="B39" s="28" t="s">
        <v>64</v>
      </c>
      <c r="C39" s="51"/>
      <c r="D39" s="51"/>
      <c r="E39" s="51"/>
      <c r="F39" s="51"/>
      <c r="G39" s="51"/>
      <c r="H39" s="51"/>
      <c r="I39" s="51"/>
      <c r="J39" s="51"/>
      <c r="K39" s="51"/>
      <c r="L39" s="51"/>
      <c r="M39" s="51"/>
      <c r="N39" s="51"/>
      <c r="O39" s="51"/>
      <c r="P39" s="78"/>
    </row>
    <row r="40" ht="17.25">
      <c r="A40" s="241"/>
      <c r="B40" s="11" t="s">
        <v>65</v>
      </c>
      <c r="C40" s="26"/>
      <c r="D40" s="26"/>
      <c r="E40" s="26"/>
      <c r="F40" s="26"/>
      <c r="G40" s="26"/>
      <c r="H40" s="26"/>
      <c r="I40" s="26"/>
      <c r="J40" s="26"/>
      <c r="K40" s="26"/>
      <c r="L40" s="26"/>
      <c r="M40" s="26"/>
      <c r="N40" s="26"/>
      <c r="O40" s="26"/>
      <c r="P40" s="26"/>
    </row>
    <row r="41" ht="17.65" s="22" customFormat="1">
      <c r="A41" s="241"/>
      <c r="B41" s="29" t="s">
        <v>66</v>
      </c>
      <c r="C41" s="51"/>
      <c r="D41" s="51"/>
      <c r="E41" s="51"/>
      <c r="F41" s="51"/>
      <c r="G41" s="51"/>
      <c r="H41" s="51"/>
      <c r="I41" s="51"/>
      <c r="J41" s="51"/>
      <c r="K41" s="51"/>
      <c r="L41" s="51"/>
      <c r="M41" s="51"/>
      <c r="N41" s="51"/>
      <c r="O41" s="51"/>
      <c r="P41" s="78"/>
    </row>
    <row r="42" ht="12.75" customHeight="1">
      <c r="A42" s="223" t="s">
        <v>67</v>
      </c>
      <c r="B42" s="232"/>
      <c r="C42" s="233"/>
      <c r="D42" s="233"/>
      <c r="E42" s="233"/>
      <c r="F42" s="233"/>
      <c r="G42" s="233"/>
      <c r="H42" s="233"/>
      <c r="I42" s="233"/>
      <c r="J42" s="233"/>
      <c r="K42" s="233"/>
      <c r="L42" s="233"/>
      <c r="M42" s="233"/>
      <c r="N42" s="233"/>
      <c r="O42" s="233"/>
      <c r="P42" s="234"/>
      <c r="Q42" s="22"/>
      <c r="R42" s="22"/>
      <c r="S42" s="22"/>
    </row>
    <row r="43" ht="13.15" customHeight="1">
      <c r="A43" s="224"/>
      <c r="B43" s="235"/>
      <c r="C43" s="236"/>
      <c r="D43" s="236"/>
      <c r="E43" s="236"/>
      <c r="F43" s="236"/>
      <c r="G43" s="236"/>
      <c r="H43" s="236"/>
      <c r="I43" s="236"/>
      <c r="J43" s="236"/>
      <c r="K43" s="236"/>
      <c r="L43" s="236"/>
      <c r="M43" s="236"/>
      <c r="N43" s="236"/>
      <c r="O43" s="236"/>
      <c r="P43" s="237"/>
      <c r="Q43" s="22"/>
      <c r="R43" s="22"/>
      <c r="S43" s="22"/>
    </row>
    <row r="44" ht="13.15" customHeight="1">
      <c r="A44" s="224"/>
      <c r="B44" s="235"/>
      <c r="C44" s="236"/>
      <c r="D44" s="236"/>
      <c r="E44" s="236"/>
      <c r="F44" s="236"/>
      <c r="G44" s="236"/>
      <c r="H44" s="236"/>
      <c r="I44" s="236"/>
      <c r="J44" s="236"/>
      <c r="K44" s="236"/>
      <c r="L44" s="236"/>
      <c r="M44" s="236"/>
      <c r="N44" s="236"/>
      <c r="O44" s="236"/>
      <c r="P44" s="237"/>
      <c r="Q44" s="22"/>
      <c r="R44" s="22"/>
      <c r="S44" s="22"/>
    </row>
    <row r="45" ht="13.9" customHeight="1">
      <c r="A45" s="225"/>
      <c r="B45" s="238"/>
      <c r="C45" s="239"/>
      <c r="D45" s="239"/>
      <c r="E45" s="239"/>
      <c r="F45" s="239"/>
      <c r="G45" s="239"/>
      <c r="H45" s="239"/>
      <c r="I45" s="239"/>
      <c r="J45" s="239"/>
      <c r="K45" s="239"/>
      <c r="L45" s="239"/>
      <c r="M45" s="239"/>
      <c r="N45" s="239"/>
      <c r="O45" s="239"/>
      <c r="P45" s="240"/>
      <c r="Q45" s="22"/>
      <c r="R45" s="22"/>
      <c r="S45" s="22"/>
    </row>
  </sheetData>
  <mergeCells>
    <mergeCell ref="M14:O14"/>
    <mergeCell ref="M10:O10"/>
    <mergeCell ref="C11:H11"/>
    <mergeCell ref="I11:L11"/>
    <mergeCell ref="M11:O11"/>
    <mergeCell ref="C12:H12"/>
    <mergeCell ref="I12:L12"/>
    <mergeCell ref="M12:O12"/>
    <mergeCell ref="C10:H10"/>
    <mergeCell ref="I10:L10"/>
    <mergeCell ref="A34:A35"/>
    <mergeCell ref="A36:A41"/>
    <mergeCell ref="A42:A45"/>
    <mergeCell ref="C15:H15"/>
    <mergeCell ref="I15:L15"/>
    <mergeCell ref="B42:P45"/>
    <mergeCell ref="M15:O15"/>
    <mergeCell ref="C16:H16"/>
    <mergeCell ref="I16:L16"/>
    <mergeCell ref="M16:O16"/>
    <mergeCell ref="A3:A33"/>
    <mergeCell ref="C13:H13"/>
    <mergeCell ref="I13:L13"/>
    <mergeCell ref="M13:O13"/>
    <mergeCell ref="C14:H14"/>
    <mergeCell ref="I14:L14"/>
    <mergeCell ref="A1:B1"/>
    <mergeCell ref="C2:H2"/>
    <mergeCell ref="I2:L2"/>
    <mergeCell ref="M2:O2"/>
    <mergeCell ref="C1:P1"/>
    <mergeCell ref="C3:P3"/>
    <mergeCell ref="C4:P4"/>
    <mergeCell ref="C5:P5"/>
    <mergeCell ref="C6:P6"/>
    <mergeCell ref="C7:H7"/>
    <mergeCell ref="I7:L7"/>
    <mergeCell ref="M7:O7"/>
    <mergeCell ref="C8:H8"/>
    <mergeCell ref="I8:L8"/>
    <mergeCell ref="M8:O8"/>
    <mergeCell ref="C9:H9"/>
    <mergeCell ref="I9:L9"/>
    <mergeCell ref="M9:O9"/>
  </mergeCells>
  <conditionalFormatting sqref="C22:E22 C4 H22:O22">
    <cfRule type="cellIs" dxfId="0" priority="49" operator="greaterThan">
      <formula>0</formula>
    </cfRule>
  </conditionalFormatting>
  <conditionalFormatting sqref="C21:E21 H21:O21">
    <cfRule type="expression" dxfId="1" priority="48">
      <formula>ISERROR(C21)</formula>
    </cfRule>
  </conditionalFormatting>
  <conditionalFormatting sqref="C21:E21 H21:O21">
    <cfRule type="cellIs" dxfId="1" priority="47" operator="equal">
      <formula>0</formula>
    </cfRule>
  </conditionalFormatting>
  <conditionalFormatting sqref="C21:E21 H21:O21">
    <cfRule type="cellIs" dxfId="3" priority="46" operator="greaterThan">
      <formula>0</formula>
    </cfRule>
  </conditionalFormatting>
  <conditionalFormatting sqref="C27:O27 D29:O29 D33:O33">
    <cfRule type="cellIs" dxfId="0" priority="45" operator="notEqual">
      <formula>VALUE(C26)</formula>
    </cfRule>
  </conditionalFormatting>
  <conditionalFormatting sqref="C8:O8 C10:O10 C12:O12 C14:O14 C16:O16 C27:O27 D29:O29 D31:O31 D33:O33 D35:O35 D37:O37 D25:O25 D39:O39 D41:O41">
    <cfRule type="expression" dxfId="10" priority="41">
      <formula>ISBLANK(C8)</formula>
    </cfRule>
  </conditionalFormatting>
  <conditionalFormatting sqref="C29">
    <cfRule type="cellIs" dxfId="0" priority="43" operator="notEqual">
      <formula>VALUE(C28)</formula>
    </cfRule>
  </conditionalFormatting>
  <conditionalFormatting sqref="C29">
    <cfRule type="expression" dxfId="10" priority="42">
      <formula>ISBLANK(C29)</formula>
    </cfRule>
  </conditionalFormatting>
  <conditionalFormatting sqref="C8:O8 C10:O10 C12:O12 C14:O14 C16:O16 C31:O31 D35:O35 D37:O37 D25:O25 D39:O39 D41:O41">
    <cfRule type="cellIs" dxfId="0" priority="44" operator="notEqual">
      <formula>C7</formula>
    </cfRule>
  </conditionalFormatting>
  <conditionalFormatting sqref="C31">
    <cfRule type="expression" dxfId="10" priority="40">
      <formula>ISBLANK(C31)</formula>
    </cfRule>
  </conditionalFormatting>
  <conditionalFormatting sqref="C33">
    <cfRule type="cellIs" dxfId="0" priority="39" operator="notEqual">
      <formula>VALUE(C32)</formula>
    </cfRule>
  </conditionalFormatting>
  <conditionalFormatting sqref="C33">
    <cfRule type="expression" dxfId="10" priority="38">
      <formula>ISBLANK(C33)</formula>
    </cfRule>
  </conditionalFormatting>
  <conditionalFormatting sqref="C35">
    <cfRule type="cellIs" dxfId="0" priority="37" operator="notEqual">
      <formula>C34</formula>
    </cfRule>
  </conditionalFormatting>
  <conditionalFormatting sqref="C35">
    <cfRule type="expression" dxfId="10" priority="36">
      <formula>ISBLANK(C35)</formula>
    </cfRule>
  </conditionalFormatting>
  <conditionalFormatting sqref="C37">
    <cfRule type="cellIs" dxfId="0" priority="35" operator="notEqual">
      <formula>C36</formula>
    </cfRule>
  </conditionalFormatting>
  <conditionalFormatting sqref="C37">
    <cfRule type="expression" dxfId="10" priority="34">
      <formula>ISBLANK(C37)</formula>
    </cfRule>
  </conditionalFormatting>
  <conditionalFormatting sqref="C6">
    <cfRule type="expression" dxfId="10" priority="32">
      <formula>ISBLANK(C6)</formula>
    </cfRule>
    <cfRule type="cellIs" dxfId="0" priority="33" operator="notEqual">
      <formula>C5</formula>
    </cfRule>
  </conditionalFormatting>
  <conditionalFormatting sqref="C25">
    <cfRule type="cellIs" dxfId="0" priority="31" operator="notEqual">
      <formula>C24</formula>
    </cfRule>
  </conditionalFormatting>
  <conditionalFormatting sqref="C25">
    <cfRule type="expression" dxfId="10" priority="30">
      <formula>ISBLANK(C25)</formula>
    </cfRule>
  </conditionalFormatting>
  <conditionalFormatting sqref="C39">
    <cfRule type="cellIs" dxfId="0" priority="29" operator="notEqual">
      <formula>C38</formula>
    </cfRule>
  </conditionalFormatting>
  <conditionalFormatting sqref="C39">
    <cfRule type="expression" dxfId="10" priority="28">
      <formula>ISBLANK(C39)</formula>
    </cfRule>
  </conditionalFormatting>
  <conditionalFormatting sqref="C41">
    <cfRule type="cellIs" dxfId="0" priority="27" operator="notEqual">
      <formula>C40</formula>
    </cfRule>
  </conditionalFormatting>
  <conditionalFormatting sqref="C41">
    <cfRule type="expression" dxfId="10" priority="26">
      <formula>ISBLANK(C41)</formula>
    </cfRule>
  </conditionalFormatting>
  <conditionalFormatting sqref="C24:O41">
    <cfRule type="expression" dxfId="1" priority="25" stopIfTrue="1">
      <formula>OR(C$22="Free",C$22="Telenor",C$22="Mtel",C$22="Telenor&amp;Mtel")</formula>
    </cfRule>
  </conditionalFormatting>
  <conditionalFormatting sqref="F22:G22">
    <cfRule type="cellIs" dxfId="0" priority="24" operator="greaterThan">
      <formula>0</formula>
    </cfRule>
  </conditionalFormatting>
  <conditionalFormatting sqref="F21:G21">
    <cfRule type="expression" dxfId="1" priority="23">
      <formula>ISERROR(F21)</formula>
    </cfRule>
  </conditionalFormatting>
  <conditionalFormatting sqref="F21:G21">
    <cfRule type="cellIs" dxfId="1" priority="22" operator="equal">
      <formula>0</formula>
    </cfRule>
  </conditionalFormatting>
  <conditionalFormatting sqref="F21:G21">
    <cfRule type="cellIs" dxfId="3" priority="21" operator="greaterThan">
      <formula>0</formula>
    </cfRule>
  </conditionalFormatting>
  <conditionalFormatting sqref="C19">
    <cfRule type="cellIs" dxfId="139" priority="19" operator="equal">
      <formula>0</formula>
    </cfRule>
    <cfRule type="expression" dxfId="139" priority="20">
      <formula>ISERROR(C19)</formula>
    </cfRule>
  </conditionalFormatting>
  <conditionalFormatting sqref="D19:O19">
    <cfRule type="cellIs" dxfId="139" priority="17" operator="equal">
      <formula>0</formula>
    </cfRule>
    <cfRule type="expression" dxfId="139" priority="18">
      <formula>ISERROR(D19)</formula>
    </cfRule>
  </conditionalFormatting>
  <conditionalFormatting sqref="P22">
    <cfRule type="cellIs" dxfId="0" priority="11" operator="greaterThan">
      <formula>0</formula>
    </cfRule>
  </conditionalFormatting>
  <conditionalFormatting sqref="P21">
    <cfRule type="expression" dxfId="1" priority="10">
      <formula>ISERROR(P21)</formula>
    </cfRule>
  </conditionalFormatting>
  <conditionalFormatting sqref="P21">
    <cfRule type="cellIs" dxfId="1" priority="9" operator="equal">
      <formula>0</formula>
    </cfRule>
  </conditionalFormatting>
  <conditionalFormatting sqref="P21">
    <cfRule type="cellIs" dxfId="3" priority="8" operator="greaterThan">
      <formula>0</formula>
    </cfRule>
  </conditionalFormatting>
  <conditionalFormatting sqref="P27 P29 P33">
    <cfRule type="cellIs" dxfId="0" priority="7" operator="notEqual">
      <formula>VALUE(P26)</formula>
    </cfRule>
  </conditionalFormatting>
  <conditionalFormatting sqref="P8 P10 P12 P14 P16 P27 P29 P31 P33 P35 P37 P25 P39 P41">
    <cfRule type="expression" dxfId="10" priority="5">
      <formula>ISBLANK(P8)</formula>
    </cfRule>
  </conditionalFormatting>
  <conditionalFormatting sqref="P8 P10 P12 P14 P16 P31 P35 P37 P25 P39 P41">
    <cfRule type="cellIs" dxfId="0" priority="6" operator="notEqual">
      <formula>P7</formula>
    </cfRule>
  </conditionalFormatting>
  <conditionalFormatting sqref="P24:P41">
    <cfRule type="expression" dxfId="1" priority="4" stopIfTrue="1">
      <formula>OR(P$22="Free",P$22="Telenor",P$22="Mtel",P$22="Telenor&amp;Mtel")</formula>
    </cfRule>
  </conditionalFormatting>
  <conditionalFormatting sqref="P19">
    <cfRule type="cellIs" dxfId="1" priority="2" operator="equal">
      <formula>0</formula>
    </cfRule>
    <cfRule type="expression" dxfId="1" priority="3">
      <formula>ISERROR(P19)</formula>
    </cfRule>
  </conditionalFormatting>
  <conditionalFormatting sqref="C23:P23">
    <cfRule type="cellIs" dxfId="0" priority="1" operator="greaterThan">
      <formula>0</formula>
    </cfRule>
  </conditionalFormatting>
  <dataValidations count="165">
    <dataValidation type="list" xr:uid="{085C1D60-D233-445D-BA2B-E72546A51162}" sqref="C2" showErrorMessage="1" errorTitle="An invalid feedback was entered" error="Please choose feedback from drop down only.">
      <formula1>"1,2,3"</formula1>
    </dataValidation>
    <dataValidation type="list" xr:uid="{1963D17E-8849-4784-8DD9-8CEA18A59324}" sqref="D2" showErrorMessage="1" errorTitle="An invalid feedback was entered" error="Please choose feedback from drop down only.">
      <formula1>"1,2,3"</formula1>
    </dataValidation>
    <dataValidation type="list" xr:uid="{3AE20F15-C551-4EF0-8F48-9D416190576A}" sqref="E2" showErrorMessage="1" errorTitle="An invalid feedback was entered" error="Please choose feedback from drop down only.">
      <formula1>"1,2,3"</formula1>
    </dataValidation>
    <dataValidation type="list" xr:uid="{1357DA22-CBA7-4F20-9074-53F42917C828}" sqref="F2" showErrorMessage="1" errorTitle="An invalid feedback was entered" error="Please choose feedback from drop down only.">
      <formula1>"1,2,3"</formula1>
    </dataValidation>
    <dataValidation type="list" xr:uid="{6A4C6A96-3FF0-4C04-A88F-8C7051B20D9A}" sqref="G2" showErrorMessage="1" errorTitle="An invalid feedback was entered" error="Please choose feedback from drop down only.">
      <formula1>"1,2,3"</formula1>
    </dataValidation>
    <dataValidation type="list" xr:uid="{A40137A4-5898-4296-B7C8-EDD3796C740A}" sqref="H2" showErrorMessage="1" errorTitle="An invalid feedback was entered" error="Please choose feedback from drop down only.">
      <formula1>"1,2,3"</formula1>
    </dataValidation>
    <dataValidation type="list" xr:uid="{57F2028E-1B85-4626-B878-1688F06E3C16}" sqref="I2" showErrorMessage="1" errorTitle="An invalid feedback was entered" error="Please choose feedback from drop down only.">
      <formula1>"1,2,3"</formula1>
    </dataValidation>
    <dataValidation type="list" xr:uid="{D5F87D3D-A0FE-421E-8368-95B4FC888D63}" sqref="J2" showErrorMessage="1" errorTitle="An invalid feedback was entered" error="Please choose feedback from drop down only.">
      <formula1>"1,2,3"</formula1>
    </dataValidation>
    <dataValidation type="list" xr:uid="{C02F5780-D0C4-4B5F-85E4-757B5DC5D24A}" sqref="K2" showErrorMessage="1" errorTitle="An invalid feedback was entered" error="Please choose feedback from drop down only.">
      <formula1>"1,2,3"</formula1>
    </dataValidation>
    <dataValidation type="list" xr:uid="{E0220D65-7874-4871-B936-22D017EE8869}" sqref="L2" showErrorMessage="1" errorTitle="An invalid feedback was entered" error="Please choose feedback from drop down only.">
      <formula1>"1,2,3"</formula1>
    </dataValidation>
    <dataValidation type="list" xr:uid="{48FCF2CD-C4AC-4F8B-B0E4-166745E8E8A5}" sqref="M2" showErrorMessage="1" errorTitle="An invalid feedback was entered" error="Please choose feedback from drop down only.">
      <formula1>"1,2,3"</formula1>
    </dataValidation>
    <dataValidation type="list" xr:uid="{2D0194C3-6A2C-4E5A-B054-3BAA078272E7}" sqref="N2" showErrorMessage="1" errorTitle="An invalid feedback was entered" error="Please choose feedback from drop down only.">
      <formula1>"1,2,3"</formula1>
    </dataValidation>
    <dataValidation type="list" xr:uid="{5BF8BBD7-8C59-48E5-AF21-E73F8B378BE3}" sqref="O2" showErrorMessage="1" errorTitle="An invalid feedback was entered" error="Please choose feedback from drop down only.">
      <formula1>"1,2,3"</formula1>
    </dataValidation>
    <dataValidation type="list" xr:uid="{1E6845BD-ECCF-4F5A-B90D-B3856A14B233}" sqref="P2" showErrorMessage="1" errorTitle="An invalid feedback was entered" error="Please choose feedback from drop down only.">
      <formula1>"1,2,3"</formula1>
    </dataValidation>
    <dataValidation type="list" xr:uid="{B07E423E-33C7-4979-A010-430D5872BC35}" sqref="Q2" showErrorMessage="1" errorTitle="An invalid feedback was entered" error="Please choose feedback from drop down only.">
      <formula1>"1,2,3"</formula1>
    </dataValidation>
    <dataValidation type="list" xr:uid="{6D44D7E9-FC50-465F-A9C2-BE3185E2E73B}" sqref="C17" showErrorMessage="1" errorTitle="An invalid feedback was entered" error="Please choose feedback from drop down only.">
      <formula1>"1-2,3-4,5-6,7-8,9-10,N/A"</formula1>
    </dataValidation>
    <dataValidation type="list" xr:uid="{3155ED99-EE79-4A5E-8336-7C7CB0BA787F}" sqref="D17" showErrorMessage="1" errorTitle="An invalid feedback was entered" error="Please choose feedback from drop down only.">
      <formula1>"1-2,3-4,5-6,7-8,9-10,N/A"</formula1>
    </dataValidation>
    <dataValidation type="list" xr:uid="{9C431DE6-A1A1-4079-9AC1-820A93122E4C}" sqref="E17" showErrorMessage="1" errorTitle="An invalid feedback was entered" error="Please choose feedback from drop down only.">
      <formula1>"1-2,3-4,5-6,7-8,9-10,N/A"</formula1>
    </dataValidation>
    <dataValidation type="list" xr:uid="{5F9A949B-5E97-44A5-8C53-1858C8F387D0}" sqref="F17" showErrorMessage="1" errorTitle="An invalid feedback was entered" error="Please choose feedback from drop down only.">
      <formula1>"1-2,3-4,5-6,7-8,9-10,N/A"</formula1>
    </dataValidation>
    <dataValidation type="list" xr:uid="{20A1F64C-39A8-46B1-B6B4-2142C4D93A1F}" sqref="G17" showErrorMessage="1" errorTitle="An invalid feedback was entered" error="Please choose feedback from drop down only.">
      <formula1>"1-2,3-4,5-6,7-8,9-10,N/A"</formula1>
    </dataValidation>
    <dataValidation type="list" xr:uid="{0C4FD8CA-200B-42F2-B92D-6C9704610466}" sqref="H17" showErrorMessage="1" errorTitle="An invalid feedback was entered" error="Please choose feedback from drop down only.">
      <formula1>"1-2,3-4,5-6,7-8,9-10,N/A"</formula1>
    </dataValidation>
    <dataValidation type="list" xr:uid="{C450D080-F5EF-48F4-97D7-1359FF6699E4}" sqref="I17" showErrorMessage="1" errorTitle="An invalid feedback was entered" error="Please choose feedback from drop down only.">
      <formula1>"1-2,3-4,5-6,7-8,9-10,N/A"</formula1>
    </dataValidation>
    <dataValidation type="list" xr:uid="{F149F721-8AE5-42C2-BB17-E854C285E31A}" sqref="J17" showErrorMessage="1" errorTitle="An invalid feedback was entered" error="Please choose feedback from drop down only.">
      <formula1>"1-2,3-4,5-6,7-8,9-10,N/A"</formula1>
    </dataValidation>
    <dataValidation type="list" xr:uid="{F99A18E0-FD29-4229-8359-9D108824FD10}" sqref="K17" showErrorMessage="1" errorTitle="An invalid feedback was entered" error="Please choose feedback from drop down only.">
      <formula1>"1-2,3-4,5-6,7-8,9-10,N/A"</formula1>
    </dataValidation>
    <dataValidation type="list" xr:uid="{1801CC92-EC9C-49BF-BEF3-31E05C9C6914}" sqref="L17" showErrorMessage="1" errorTitle="An invalid feedback was entered" error="Please choose feedback from drop down only.">
      <formula1>"1-2,3-4,5-6,7-8,9-10,N/A"</formula1>
    </dataValidation>
    <dataValidation type="list" xr:uid="{E3163AD0-514B-42AB-B0CD-1F03BCF618FB}" sqref="M17" showErrorMessage="1" errorTitle="An invalid feedback was entered" error="Please choose feedback from drop down only.">
      <formula1>"1-2,3-4,5-6,7-8,9-10,N/A"</formula1>
    </dataValidation>
    <dataValidation type="list" xr:uid="{AAAD4D1B-F626-409E-9540-51F065CDF47B}" sqref="N17" showErrorMessage="1" errorTitle="An invalid feedback was entered" error="Please choose feedback from drop down only.">
      <formula1>"1-2,3-4,5-6,7-8,9-10,N/A"</formula1>
    </dataValidation>
    <dataValidation type="list" xr:uid="{DDEC16F9-E288-4341-9522-686D2ED17F61}" sqref="O17" showErrorMessage="1" errorTitle="An invalid feedback was entered" error="Please choose feedback from drop down only.">
      <formula1>"1-2,3-4,5-6,7-8,9-10,N/A"</formula1>
    </dataValidation>
    <dataValidation type="list" xr:uid="{8069C60E-10E6-4088-B6EB-8F783DCD712A}" sqref="P17" showErrorMessage="1" errorTitle="An invalid feedback was entered" error="Please choose feedback from drop down only.">
      <formula1>"1-2,3-4,5-6,7-8,9-10,N/A"</formula1>
    </dataValidation>
    <dataValidation type="list" xr:uid="{595E3E75-6882-4CB8-8BBB-8F9FADA369A3}" sqref="Q17" showErrorMessage="1" errorTitle="An invalid feedback was entered" error="Please choose feedback from drop down only.">
      <formula1>"1-2,3-4,5-6,7-8,9-10,N/A"</formula1>
    </dataValidation>
    <dataValidation type="list" xr:uid="{14010C35-507E-4CE3-84F2-15565C978115}" sqref="C10" showErrorMessage="1" errorTitle="An invalid feedback was entered" error="Please choose feedback from drop down only.">
      <formula1>"STK Top,STK Bottom,STKx2,DTK Top,DTK Bottom,DTKx2,None"</formula1>
    </dataValidation>
    <dataValidation type="list" xr:uid="{623335B5-6EF2-4DD1-8ECF-EA309CB0EB28}" sqref="D10" showErrorMessage="1" errorTitle="An invalid feedback was entered" error="Please choose feedback from drop down only.">
      <formula1>"STK Top,STK Bottom,STKx2,DTK Top,DTK Bottom,DTKx2,None"</formula1>
    </dataValidation>
    <dataValidation type="list" xr:uid="{2FAFC4B5-988D-48DC-8B48-DA7CD301485A}" sqref="E10" showErrorMessage="1" errorTitle="An invalid feedback was entered" error="Please choose feedback from drop down only.">
      <formula1>"STK Top,STK Bottom,STKx2,DTK Top,DTK Bottom,DTKx2,None"</formula1>
    </dataValidation>
    <dataValidation type="list" xr:uid="{163701DC-433E-4E36-9C43-51D0F9D5E0B0}" sqref="F10" showErrorMessage="1" errorTitle="An invalid feedback was entered" error="Please choose feedback from drop down only.">
      <formula1>"STK Top,STK Bottom,STKx2,DTK Top,DTK Bottom,DTKx2,None"</formula1>
    </dataValidation>
    <dataValidation type="list" xr:uid="{9229F8E5-35C9-4A67-9522-B9BAB133F03B}" sqref="G10" showErrorMessage="1" errorTitle="An invalid feedback was entered" error="Please choose feedback from drop down only.">
      <formula1>"STK Top,STK Bottom,STKx2,DTK Top,DTK Bottom,DTKx2,None"</formula1>
    </dataValidation>
    <dataValidation type="list" xr:uid="{4FD586AD-43F2-4A72-A2BA-0CEF3E21C79E}" sqref="H10" showErrorMessage="1" errorTitle="An invalid feedback was entered" error="Please choose feedback from drop down only.">
      <formula1>"STK Top,STK Bottom,STKx2,DTK Top,DTK Bottom,DTKx2,None"</formula1>
    </dataValidation>
    <dataValidation type="list" xr:uid="{EE3888DD-1BC3-41FD-A062-D9CD1C25AA41}" sqref="I10" showErrorMessage="1" errorTitle="An invalid feedback was entered" error="Please choose feedback from drop down only.">
      <formula1>"STK Top,STK Bottom,STKx2,DTK Top,DTK Bottom,DTKx2,None"</formula1>
    </dataValidation>
    <dataValidation type="list" xr:uid="{CCBE688B-5E88-477E-9990-76B5F97BEDC2}" sqref="J10" showErrorMessage="1" errorTitle="An invalid feedback was entered" error="Please choose feedback from drop down only.">
      <formula1>"STK Top,STK Bottom,STKx2,DTK Top,DTK Bottom,DTKx2,None"</formula1>
    </dataValidation>
    <dataValidation type="list" xr:uid="{2AFCCD4F-1010-43D6-AD47-40FB5117F000}" sqref="K10" showErrorMessage="1" errorTitle="An invalid feedback was entered" error="Please choose feedback from drop down only.">
      <formula1>"STK Top,STK Bottom,STKx2,DTK Top,DTK Bottom,DTKx2,None"</formula1>
    </dataValidation>
    <dataValidation type="list" xr:uid="{59EEBF6C-2507-4C45-8FA1-23767B319A30}" sqref="L10" showErrorMessage="1" errorTitle="An invalid feedback was entered" error="Please choose feedback from drop down only.">
      <formula1>"STK Top,STK Bottom,STKx2,DTK Top,DTK Bottom,DTKx2,None"</formula1>
    </dataValidation>
    <dataValidation type="list" xr:uid="{48368B28-7D00-4830-B2C5-464A96C34C20}" sqref="M10" showErrorMessage="1" errorTitle="An invalid feedback was entered" error="Please choose feedback from drop down only.">
      <formula1>"STK Top,STK Bottom,STKx2,DTK Top,DTK Bottom,DTKx2,None"</formula1>
    </dataValidation>
    <dataValidation type="list" xr:uid="{26707550-5A26-4D9A-A5C3-2E85967161E3}" sqref="N10" showErrorMessage="1" errorTitle="An invalid feedback was entered" error="Please choose feedback from drop down only.">
      <formula1>"STK Top,STK Bottom,STKx2,DTK Top,DTK Bottom,DTKx2,None"</formula1>
    </dataValidation>
    <dataValidation type="list" xr:uid="{7846F38D-EFB4-4A79-BEC8-368EDD53AA69}" sqref="O10" showErrorMessage="1" errorTitle="An invalid feedback was entered" error="Please choose feedback from drop down only.">
      <formula1>"STK Top,STK Bottom,STKx2,DTK Top,DTK Bottom,DTKx2,None"</formula1>
    </dataValidation>
    <dataValidation type="list" xr:uid="{2DE2A37C-FE53-41F9-A213-8ACE6FCA46D9}" sqref="P10" showErrorMessage="1" errorTitle="An invalid feedback was entered" error="Please choose feedback from drop down only.">
      <formula1>"STK Top,STK Bottom,STKx2,DTK Top,DTK Bottom,DTKx2,None"</formula1>
    </dataValidation>
    <dataValidation type="list" xr:uid="{5CA91541-E437-4311-8D8D-388DEA8EA2D0}" sqref="Q10" showErrorMessage="1" errorTitle="An invalid feedback was entered" error="Please choose feedback from drop down only.">
      <formula1>"STK Top,STK Bottom,STKx2,DTK Top,DTK Bottom,DTKx2,None"</formula1>
    </dataValidation>
    <dataValidation type="list" xr:uid="{680F46DD-ED6D-4004-BA20-07C3D673832E}" sqref="C23" showErrorMessage="1" errorTitle="An invalid feedback was entered" error="Please choose feedback from drop down only.">
      <formula1>"Yetel,Bulsatcom,A1,Yetel&amp;A1,N/A"</formula1>
    </dataValidation>
    <dataValidation type="list" xr:uid="{2E467AD5-DBE5-41BD-AD46-0B30A68FE22E}" sqref="D23" showErrorMessage="1" errorTitle="An invalid feedback was entered" error="Please choose feedback from drop down only.">
      <formula1>"Yetel,Bulsatcom,A1,Yetel&amp;A1,N/A"</formula1>
    </dataValidation>
    <dataValidation type="list" xr:uid="{1B9FC5D1-C0EE-4D53-B3C9-BAA2C6FF706B}" sqref="E23" showErrorMessage="1" errorTitle="An invalid feedback was entered" error="Please choose feedback from drop down only.">
      <formula1>"Yetel,Bulsatcom,A1,Yetel&amp;A1,N/A"</formula1>
    </dataValidation>
    <dataValidation type="list" xr:uid="{7FC06F2B-2D11-41C4-81D1-CAD6F3E36923}" sqref="F23" showErrorMessage="1" errorTitle="An invalid feedback was entered" error="Please choose feedback from drop down only.">
      <formula1>"Yetel,Bulsatcom,A1,Yetel&amp;A1,N/A"</formula1>
    </dataValidation>
    <dataValidation type="list" xr:uid="{FD5A51BB-961E-4122-88E5-807EE03BFE5C}" sqref="G23" showErrorMessage="1" errorTitle="An invalid feedback was entered" error="Please choose feedback from drop down only.">
      <formula1>"Yetel,Bulsatcom,A1,Yetel&amp;A1,N/A"</formula1>
    </dataValidation>
    <dataValidation type="list" xr:uid="{697F80DE-9FA1-4153-8A25-49AB01517765}" sqref="H23" showErrorMessage="1" errorTitle="An invalid feedback was entered" error="Please choose feedback from drop down only.">
      <formula1>"Yetel,Bulsatcom,A1,Yetel&amp;A1,N/A"</formula1>
    </dataValidation>
    <dataValidation type="list" xr:uid="{9B2ACD59-1BDD-4930-88DA-CB60713555DF}" sqref="I23" showErrorMessage="1" errorTitle="An invalid feedback was entered" error="Please choose feedback from drop down only.">
      <formula1>"Yetel,Bulsatcom,A1,Yetel&amp;A1,N/A"</formula1>
    </dataValidation>
    <dataValidation type="list" xr:uid="{F1788CEC-6349-4BAD-B0C4-149514B4EE0F}" sqref="J23" showErrorMessage="1" errorTitle="An invalid feedback was entered" error="Please choose feedback from drop down only.">
      <formula1>"Yetel,Bulsatcom,A1,Yetel&amp;A1,N/A"</formula1>
    </dataValidation>
    <dataValidation type="list" xr:uid="{F006A990-BDF3-4E43-B913-87743E3BBA5B}" sqref="K23" showErrorMessage="1" errorTitle="An invalid feedback was entered" error="Please choose feedback from drop down only.">
      <formula1>"Yetel,Bulsatcom,A1,Yetel&amp;A1,N/A"</formula1>
    </dataValidation>
    <dataValidation type="list" xr:uid="{0CDFC5F0-8081-4C69-8BEA-22D46288A288}" sqref="L23" showErrorMessage="1" errorTitle="An invalid feedback was entered" error="Please choose feedback from drop down only.">
      <formula1>"Yetel,Bulsatcom,A1,Yetel&amp;A1,N/A"</formula1>
    </dataValidation>
    <dataValidation type="list" xr:uid="{6C88CC11-1D68-4A7E-BAA0-FCED6BDADBE8}" sqref="M23" showErrorMessage="1" errorTitle="An invalid feedback was entered" error="Please choose feedback from drop down only.">
      <formula1>"Yetel,Bulsatcom,A1,Yetel&amp;A1,N/A"</formula1>
    </dataValidation>
    <dataValidation type="list" xr:uid="{C0B2E6E6-7826-4F96-B05E-6F69099E1E14}" sqref="N23" showErrorMessage="1" errorTitle="An invalid feedback was entered" error="Please choose feedback from drop down only.">
      <formula1>"Yetel,Bulsatcom,A1,Yetel&amp;A1,N/A"</formula1>
    </dataValidation>
    <dataValidation type="list" xr:uid="{27CF8890-EEC7-4A57-B88E-CC932917FF44}" sqref="O23" showErrorMessage="1" errorTitle="An invalid feedback was entered" error="Please choose feedback from drop down only.">
      <formula1>"Yetel,Bulsatcom,A1,Yetel&amp;A1,N/A"</formula1>
    </dataValidation>
    <dataValidation type="list" xr:uid="{3756618A-4D34-428F-9275-85F5B1F27102}" sqref="P23" showErrorMessage="1" errorTitle="An invalid feedback was entered" error="Please choose feedback from drop down only.">
      <formula1>"Yetel,Bulsatcom,A1,Yetel&amp;A1,N/A"</formula1>
    </dataValidation>
    <dataValidation type="list" xr:uid="{FC41E6BD-1CA1-472C-BE1F-AE663E10D466}" sqref="Q23" showErrorMessage="1" errorTitle="An invalid feedback was entered" error="Please choose feedback from drop down only.">
      <formula1>"Yetel,Bulsatcom,A1,Yetel&amp;A1,N/A"</formula1>
    </dataValidation>
    <dataValidation type="list" xr:uid="{0E711328-0962-4D3E-BD11-C35E1DCCC41D}" sqref="C31" showErrorMessage="1" errorTitle="An invalid feedback was entered" error="Please choose feedback from drop down only.">
      <formula1>"1/2,5/4,7/8,RRU TOP JUMPER,N/A"</formula1>
    </dataValidation>
    <dataValidation type="list" xr:uid="{593F7A57-09D9-4D4B-8D9B-A0E8AC36C1FA}" sqref="D31" showErrorMessage="1" errorTitle="An invalid feedback was entered" error="Please choose feedback from drop down only.">
      <formula1>"1/2,5/4,7/8,RRU TOP JUMPER,N/A"</formula1>
    </dataValidation>
    <dataValidation type="list" xr:uid="{4B736D4E-6295-43FF-9C7D-2A1FEAC8E668}" sqref="E31" showErrorMessage="1" errorTitle="An invalid feedback was entered" error="Please choose feedback from drop down only.">
      <formula1>"1/2,5/4,7/8,RRU TOP JUMPER,N/A"</formula1>
    </dataValidation>
    <dataValidation type="list" xr:uid="{11D8626C-1B1E-4068-87AA-12E2506BE221}" sqref="F31" showErrorMessage="1" errorTitle="An invalid feedback was entered" error="Please choose feedback from drop down only.">
      <formula1>"1/2,5/4,7/8,RRU TOP JUMPER,N/A"</formula1>
    </dataValidation>
    <dataValidation type="list" xr:uid="{EC6236EF-247B-4F8B-9EC6-DF38C14B9D9F}" sqref="G31" showErrorMessage="1" errorTitle="An invalid feedback was entered" error="Please choose feedback from drop down only.">
      <formula1>"1/2,5/4,7/8,RRU TOP JUMPER,N/A"</formula1>
    </dataValidation>
    <dataValidation type="list" xr:uid="{8F23DC9C-60CF-48D0-BA57-2872C2A6CDD1}" sqref="H31" showErrorMessage="1" errorTitle="An invalid feedback was entered" error="Please choose feedback from drop down only.">
      <formula1>"1/2,5/4,7/8,RRU TOP JUMPER,N/A"</formula1>
    </dataValidation>
    <dataValidation type="list" xr:uid="{677B9481-82F9-4EF7-B107-9675FB2D45D3}" sqref="I31" showErrorMessage="1" errorTitle="An invalid feedback was entered" error="Please choose feedback from drop down only.">
      <formula1>"1/2,5/4,7/8,RRU TOP JUMPER,N/A"</formula1>
    </dataValidation>
    <dataValidation type="list" xr:uid="{09AEAFC7-F90F-4927-AEB3-902ECC2F6A1F}" sqref="J31" showErrorMessage="1" errorTitle="An invalid feedback was entered" error="Please choose feedback from drop down only.">
      <formula1>"1/2,5/4,7/8,RRU TOP JUMPER,N/A"</formula1>
    </dataValidation>
    <dataValidation type="list" xr:uid="{3BC61841-F74F-4F10-B80A-1884D3E847E5}" sqref="K31" showErrorMessage="1" errorTitle="An invalid feedback was entered" error="Please choose feedback from drop down only.">
      <formula1>"1/2,5/4,7/8,RRU TOP JUMPER,N/A"</formula1>
    </dataValidation>
    <dataValidation type="list" xr:uid="{25BCAA02-FD60-465F-A5C7-1A1E5371164D}" sqref="L31" showErrorMessage="1" errorTitle="An invalid feedback was entered" error="Please choose feedback from drop down only.">
      <formula1>"1/2,5/4,7/8,RRU TOP JUMPER,N/A"</formula1>
    </dataValidation>
    <dataValidation type="list" xr:uid="{602CEE44-066C-4A68-AD88-5D314F6ECA4B}" sqref="M31" showErrorMessage="1" errorTitle="An invalid feedback was entered" error="Please choose feedback from drop down only.">
      <formula1>"1/2,5/4,7/8,RRU TOP JUMPER,N/A"</formula1>
    </dataValidation>
    <dataValidation type="list" xr:uid="{9D6E9700-C449-46C1-9AF3-2DF760CA78BA}" sqref="N31" showErrorMessage="1" errorTitle="An invalid feedback was entered" error="Please choose feedback from drop down only.">
      <formula1>"1/2,5/4,7/8,RRU TOP JUMPER,N/A"</formula1>
    </dataValidation>
    <dataValidation type="list" xr:uid="{55272211-34D2-4047-870B-AB1E14591803}" sqref="O31" showErrorMessage="1" errorTitle="An invalid feedback was entered" error="Please choose feedback from drop down only.">
      <formula1>"1/2,5/4,7/8,RRU TOP JUMPER,N/A"</formula1>
    </dataValidation>
    <dataValidation type="list" xr:uid="{626BFAE8-BDE4-4966-A9CC-CC8E2A7F4CA3}" sqref="P31" showErrorMessage="1" errorTitle="An invalid feedback was entered" error="Please choose feedback from drop down only.">
      <formula1>"1/2,5/4,7/8,RRU TOP JUMPER,N/A"</formula1>
    </dataValidation>
    <dataValidation type="list" xr:uid="{5F0D43A5-4E3C-4D0F-AE34-1BC847FB0E58}" sqref="Q31" showErrorMessage="1" errorTitle="An invalid feedback was entered" error="Please choose feedback from drop down only.">
      <formula1>"1/2,5/4,7/8,RRU TOP JUMPER,N/A"</formula1>
    </dataValidation>
    <dataValidation type="list" xr:uid="{0BE02658-C892-49B2-8533-3ECE3E2DA218}" sqref="C4" showErrorMessage="1" errorTitle="An invalid feedback was entered" error="Please choose feedback from drop down only.">
      <formula1>"1,2,3,4,5,6,N/A"</formula1>
    </dataValidation>
    <dataValidation type="list" xr:uid="{F6BF84CC-0295-403D-A9DB-24E30B8E33A9}" sqref="D4" showErrorMessage="1" errorTitle="An invalid feedback was entered" error="Please choose feedback from drop down only.">
      <formula1>"1,2,3,4,5,6,N/A"</formula1>
    </dataValidation>
    <dataValidation type="list" xr:uid="{0846E58F-B1C2-4573-82A8-A1046EA06DCD}" sqref="E4" showErrorMessage="1" errorTitle="An invalid feedback was entered" error="Please choose feedback from drop down only.">
      <formula1>"1,2,3,4,5,6,N/A"</formula1>
    </dataValidation>
    <dataValidation type="list" xr:uid="{0F258315-C8B4-4FF0-8231-82889854BBF2}" sqref="F4" showErrorMessage="1" errorTitle="An invalid feedback was entered" error="Please choose feedback from drop down only.">
      <formula1>"1,2,3,4,5,6,N/A"</formula1>
    </dataValidation>
    <dataValidation type="list" xr:uid="{09CB8953-D630-4BBC-8FD5-0DC2911D0C45}" sqref="G4" showErrorMessage="1" errorTitle="An invalid feedback was entered" error="Please choose feedback from drop down only.">
      <formula1>"1,2,3,4,5,6,N/A"</formula1>
    </dataValidation>
    <dataValidation type="list" xr:uid="{5CF7894A-55F8-42AB-80F7-D47AEBA63E5E}" sqref="H4" showErrorMessage="1" errorTitle="An invalid feedback was entered" error="Please choose feedback from drop down only.">
      <formula1>"1,2,3,4,5,6,N/A"</formula1>
    </dataValidation>
    <dataValidation type="list" xr:uid="{A6C9A954-4081-4654-A6DC-F4597674CF11}" sqref="I4" showErrorMessage="1" errorTitle="An invalid feedback was entered" error="Please choose feedback from drop down only.">
      <formula1>"1,2,3,4,5,6,N/A"</formula1>
    </dataValidation>
    <dataValidation type="list" xr:uid="{08D839CD-8427-491D-B61B-6F47AC5649FD}" sqref="J4" showErrorMessage="1" errorTitle="An invalid feedback was entered" error="Please choose feedback from drop down only.">
      <formula1>"1,2,3,4,5,6,N/A"</formula1>
    </dataValidation>
    <dataValidation type="list" xr:uid="{CF2193BD-17E0-408F-8976-12AAEB699B6B}" sqref="K4" showErrorMessage="1" errorTitle="An invalid feedback was entered" error="Please choose feedback from drop down only.">
      <formula1>"1,2,3,4,5,6,N/A"</formula1>
    </dataValidation>
    <dataValidation type="list" xr:uid="{BD7C92DD-24D1-4748-855D-3A6FAB7C4C64}" sqref="L4" showErrorMessage="1" errorTitle="An invalid feedback was entered" error="Please choose feedback from drop down only.">
      <formula1>"1,2,3,4,5,6,N/A"</formula1>
    </dataValidation>
    <dataValidation type="list" xr:uid="{45A09DBA-2169-4DD0-973A-4DBBE4A7B41A}" sqref="M4" showErrorMessage="1" errorTitle="An invalid feedback was entered" error="Please choose feedback from drop down only.">
      <formula1>"1,2,3,4,5,6,N/A"</formula1>
    </dataValidation>
    <dataValidation type="list" xr:uid="{6914A318-A477-4631-88D4-38318CEB846B}" sqref="N4" showErrorMessage="1" errorTitle="An invalid feedback was entered" error="Please choose feedback from drop down only.">
      <formula1>"1,2,3,4,5,6,N/A"</formula1>
    </dataValidation>
    <dataValidation type="list" xr:uid="{EBB286E0-C8F2-4BA3-B8EB-55156487A65F}" sqref="O4" showErrorMessage="1" errorTitle="An invalid feedback was entered" error="Please choose feedback from drop down only.">
      <formula1>"1,2,3,4,5,6,N/A"</formula1>
    </dataValidation>
    <dataValidation type="list" xr:uid="{0629620D-E1BD-45EC-B71B-50C5A8AF427A}" sqref="P4" showErrorMessage="1" errorTitle="An invalid feedback was entered" error="Please choose feedback from drop down only.">
      <formula1>"1,2,3,4,5,6,N/A"</formula1>
    </dataValidation>
    <dataValidation type="list" xr:uid="{646209F9-792B-43C3-B511-76581AD339C6}" sqref="Q4" showErrorMessage="1" errorTitle="An invalid feedback was entered" error="Please choose feedback from drop down only.">
      <formula1>"1,2,3,4,5,6,N/A"</formula1>
    </dataValidation>
    <dataValidation type="list" xr:uid="{79EE3DA3-442A-4598-9E27-6F4A815305DA}" sqref="C22" showErrorMessage="1" errorTitle="An invalid feedback was entered" error="Please choose feedback from drop down only.">
      <formula1>"700,800&amp;900,900,1800,2100,2600,3600,1800&amp;2100,1800&amp;2600,2100&amp;2600,18&amp;21&amp;26,Free,N/A,Yetel,A1,Yetel&amp;A1"</formula1>
    </dataValidation>
    <dataValidation type="list" xr:uid="{1C037009-8CFE-4A6C-B3A7-DB01403E4B03}" sqref="D22" showErrorMessage="1" errorTitle="An invalid feedback was entered" error="Please choose feedback from drop down only.">
      <formula1>"700,800&amp;900,900,1800,2100,2600,3600,1800&amp;2100,1800&amp;2600,2100&amp;2600,18&amp;21&amp;26,Free,N/A,Yetel,A1,Yetel&amp;A1"</formula1>
    </dataValidation>
    <dataValidation type="list" xr:uid="{22005223-AF64-465A-8D36-50736BDBB919}" sqref="E22" showErrorMessage="1" errorTitle="An invalid feedback was entered" error="Please choose feedback from drop down only.">
      <formula1>"700,800&amp;900,900,1800,2100,2600,3600,1800&amp;2100,1800&amp;2600,2100&amp;2600,18&amp;21&amp;26,Free,N/A,Yetel,A1,Yetel&amp;A1"</formula1>
    </dataValidation>
    <dataValidation type="list" xr:uid="{1EB37C4D-1221-4EA6-BF44-F461FAB57B2B}" sqref="F22" showErrorMessage="1" errorTitle="An invalid feedback was entered" error="Please choose feedback from drop down only.">
      <formula1>"700,800&amp;900,900,1800,2100,2600,3600,1800&amp;2100,1800&amp;2600,2100&amp;2600,18&amp;21&amp;26,Free,N/A,Yetel,A1,Yetel&amp;A1"</formula1>
    </dataValidation>
    <dataValidation type="list" xr:uid="{E3564014-3649-4A81-9273-82FA90CFC3AA}" sqref="G22" showErrorMessage="1" errorTitle="An invalid feedback was entered" error="Please choose feedback from drop down only.">
      <formula1>"700,800&amp;900,900,1800,2100,2600,3600,1800&amp;2100,1800&amp;2600,2100&amp;2600,18&amp;21&amp;26,Free,N/A,Yetel,A1,Yetel&amp;A1"</formula1>
    </dataValidation>
    <dataValidation type="list" xr:uid="{9F0B18E6-1643-4F9B-B7C2-A4AD69584F90}" sqref="H22" showErrorMessage="1" errorTitle="An invalid feedback was entered" error="Please choose feedback from drop down only.">
      <formula1>"700,800&amp;900,900,1800,2100,2600,3600,1800&amp;2100,1800&amp;2600,2100&amp;2600,18&amp;21&amp;26,Free,N/A,Yetel,A1,Yetel&amp;A1"</formula1>
    </dataValidation>
    <dataValidation type="list" xr:uid="{BBE76961-DF32-48F4-96FD-79B1ED96CAF1}" sqref="I22" showErrorMessage="1" errorTitle="An invalid feedback was entered" error="Please choose feedback from drop down only.">
      <formula1>"700,800&amp;900,900,1800,2100,2600,3600,1800&amp;2100,1800&amp;2600,2100&amp;2600,18&amp;21&amp;26,Free,N/A,Yetel,A1,Yetel&amp;A1"</formula1>
    </dataValidation>
    <dataValidation type="list" xr:uid="{C932E2F9-8EEE-46B4-80BC-AC838CB2CB0C}" sqref="J22" showErrorMessage="1" errorTitle="An invalid feedback was entered" error="Please choose feedback from drop down only.">
      <formula1>"700,800&amp;900,900,1800,2100,2600,3600,1800&amp;2100,1800&amp;2600,2100&amp;2600,18&amp;21&amp;26,Free,N/A,Yetel,A1,Yetel&amp;A1"</formula1>
    </dataValidation>
    <dataValidation type="list" xr:uid="{41B8E370-92B1-4CC4-ADF2-13436BF3C3DD}" sqref="K22" showErrorMessage="1" errorTitle="An invalid feedback was entered" error="Please choose feedback from drop down only.">
      <formula1>"700,800&amp;900,900,1800,2100,2600,3600,1800&amp;2100,1800&amp;2600,2100&amp;2600,18&amp;21&amp;26,Free,N/A,Yetel,A1,Yetel&amp;A1"</formula1>
    </dataValidation>
    <dataValidation type="list" xr:uid="{7D1D72F0-C72A-47B9-BA66-5FCBFC8F317D}" sqref="L22" showErrorMessage="1" errorTitle="An invalid feedback was entered" error="Please choose feedback from drop down only.">
      <formula1>"700,800&amp;900,900,1800,2100,2600,3600,1800&amp;2100,1800&amp;2600,2100&amp;2600,18&amp;21&amp;26,Free,N/A,Yetel,A1,Yetel&amp;A1"</formula1>
    </dataValidation>
    <dataValidation type="list" xr:uid="{EC407DBD-50A0-4630-8282-02F33E25168D}" sqref="M22" showErrorMessage="1" errorTitle="An invalid feedback was entered" error="Please choose feedback from drop down only.">
      <formula1>"700,800&amp;900,900,1800,2100,2600,3600,1800&amp;2100,1800&amp;2600,2100&amp;2600,18&amp;21&amp;26,Free,N/A,Yetel,A1,Yetel&amp;A1"</formula1>
    </dataValidation>
    <dataValidation type="list" xr:uid="{5E238D6F-64A8-427D-9E76-74288DB37EF4}" sqref="N22" showErrorMessage="1" errorTitle="An invalid feedback was entered" error="Please choose feedback from drop down only.">
      <formula1>"700,800&amp;900,900,1800,2100,2600,3600,1800&amp;2100,1800&amp;2600,2100&amp;2600,18&amp;21&amp;26,Free,N/A,Yetel,A1,Yetel&amp;A1"</formula1>
    </dataValidation>
    <dataValidation type="list" xr:uid="{D76353ED-DDCC-4EC8-B8A1-842F072BA9AC}" sqref="O22" showErrorMessage="1" errorTitle="An invalid feedback was entered" error="Please choose feedback from drop down only.">
      <formula1>"700,800&amp;900,900,1800,2100,2600,3600,1800&amp;2100,1800&amp;2600,2100&amp;2600,18&amp;21&amp;26,Free,N/A,Yetel,A1,Yetel&amp;A1"</formula1>
    </dataValidation>
    <dataValidation type="list" xr:uid="{F4AE3BE7-1F63-422D-B32B-CF2F46CD40EA}" sqref="P22" showErrorMessage="1" errorTitle="An invalid feedback was entered" error="Please choose feedback from drop down only.">
      <formula1>"700,800&amp;900,900,1800,2100,2600,3600,1800&amp;2100,1800&amp;2600,2100&amp;2600,18&amp;21&amp;26,Free,N/A,Yetel,A1,Yetel&amp;A1"</formula1>
    </dataValidation>
    <dataValidation type="list" xr:uid="{82A91E0D-DD0C-4F04-95C0-00199F0698D0}" sqref="Q22" showErrorMessage="1" errorTitle="An invalid feedback was entered" error="Please choose feedback from drop down only.">
      <formula1>"700,800&amp;900,900,1800,2100,2600,3600,1800&amp;2100,1800&amp;2600,2100&amp;2600,18&amp;21&amp;26,Free,N/A,Yetel,A1,Yetel&amp;A1"</formula1>
    </dataValidation>
    <dataValidation type="list" xr:uid="{FA9F29F1-6864-495C-AC76-B73A58654660}" sqref="C28" showErrorMessage="1" errorTitle="An invalid feedback was entered" error="Please choose feedback from drop down only.">
      <formula1>"Yes,No,FlexRET"</formula1>
    </dataValidation>
    <dataValidation type="list" xr:uid="{B4AB83E3-2208-4533-B1B8-302253A60CB2}" sqref="D28" showErrorMessage="1" errorTitle="An invalid feedback was entered" error="Please choose feedback from drop down only.">
      <formula1>"Yes,No,FlexRET"</formula1>
    </dataValidation>
    <dataValidation type="list" xr:uid="{D096795B-0634-4308-BC1E-BEAE9C19C1CE}" sqref="E28" showErrorMessage="1" errorTitle="An invalid feedback was entered" error="Please choose feedback from drop down only.">
      <formula1>"Yes,No,FlexRET"</formula1>
    </dataValidation>
    <dataValidation type="list" xr:uid="{180A94A7-DC56-4F2A-9DF2-B74D24F1AFAA}" sqref="F28" showErrorMessage="1" errorTitle="An invalid feedback was entered" error="Please choose feedback from drop down only.">
      <formula1>"Yes,No,FlexRET"</formula1>
    </dataValidation>
    <dataValidation type="list" xr:uid="{FDC3CE9F-26B8-4170-B870-21F531C5D90C}" sqref="G28" showErrorMessage="1" errorTitle="An invalid feedback was entered" error="Please choose feedback from drop down only.">
      <formula1>"Yes,No,FlexRET"</formula1>
    </dataValidation>
    <dataValidation type="list" xr:uid="{78C6DCBF-4E2D-42B0-AD77-E9066CD9110B}" sqref="H28" showErrorMessage="1" errorTitle="An invalid feedback was entered" error="Please choose feedback from drop down only.">
      <formula1>"Yes,No,FlexRET"</formula1>
    </dataValidation>
    <dataValidation type="list" xr:uid="{BCAA07FB-55F4-40F4-9D01-3BB7977518F5}" sqref="I28" showErrorMessage="1" errorTitle="An invalid feedback was entered" error="Please choose feedback from drop down only.">
      <formula1>"Yes,No,FlexRET"</formula1>
    </dataValidation>
    <dataValidation type="list" xr:uid="{719A2D28-63D9-4721-A912-8403CB895ECB}" sqref="J28" showErrorMessage="1" errorTitle="An invalid feedback was entered" error="Please choose feedback from drop down only.">
      <formula1>"Yes,No,FlexRET"</formula1>
    </dataValidation>
    <dataValidation type="list" xr:uid="{B14E6329-F30E-4E96-93BB-A263D1B17851}" sqref="K28" showErrorMessage="1" errorTitle="An invalid feedback was entered" error="Please choose feedback from drop down only.">
      <formula1>"Yes,No,FlexRET"</formula1>
    </dataValidation>
    <dataValidation type="list" xr:uid="{B6C35904-2D5B-4613-9D3D-FD6AC6049380}" sqref="L28" showErrorMessage="1" errorTitle="An invalid feedback was entered" error="Please choose feedback from drop down only.">
      <formula1>"Yes,No,FlexRET"</formula1>
    </dataValidation>
    <dataValidation type="list" xr:uid="{EBC51742-CA64-462B-80DB-8899EBCB3744}" sqref="M28" showErrorMessage="1" errorTitle="An invalid feedback was entered" error="Please choose feedback from drop down only.">
      <formula1>"Yes,No,FlexRET"</formula1>
    </dataValidation>
    <dataValidation type="list" xr:uid="{C6A8F5E5-97D7-4F4E-B7DE-57D0BE0B25AE}" sqref="N28" showErrorMessage="1" errorTitle="An invalid feedback was entered" error="Please choose feedback from drop down only.">
      <formula1>"Yes,No,FlexRET"</formula1>
    </dataValidation>
    <dataValidation type="list" xr:uid="{2BFC5D94-A810-469C-B82D-7A248E573708}" sqref="O28" showErrorMessage="1" errorTitle="An invalid feedback was entered" error="Please choose feedback from drop down only.">
      <formula1>"Yes,No,FlexRET"</formula1>
    </dataValidation>
    <dataValidation type="list" xr:uid="{22216C84-80AE-4066-9F3F-908376D93071}" sqref="P28" showErrorMessage="1" errorTitle="An invalid feedback was entered" error="Please choose feedback from drop down only.">
      <formula1>"Yes,No,FlexRET"</formula1>
    </dataValidation>
    <dataValidation type="list" xr:uid="{128D473B-D7A9-4070-9293-26DA4F1E5C4C}" sqref="Q28" showErrorMessage="1" errorTitle="An invalid feedback was entered" error="Please choose feedback from drop down only.">
      <formula1>"Yes,No,FlexRET"</formula1>
    </dataValidation>
    <dataValidation type="list" xr:uid="{DBCCED2E-A33B-4962-BB9A-DA6454C2E6AB}" sqref="C29" showErrorMessage="1" errorTitle="An invalid feedback was entered" error="Please choose feedback from drop down only.">
      <formula1>"Yes,No,FlexRET"</formula1>
    </dataValidation>
    <dataValidation type="list" xr:uid="{20F6682D-67C3-4D9F-A5CC-2FB5489F8734}" sqref="D29" showErrorMessage="1" errorTitle="An invalid feedback was entered" error="Please choose feedback from drop down only.">
      <formula1>"Yes,No,FlexRET"</formula1>
    </dataValidation>
    <dataValidation type="list" xr:uid="{B7C390FE-86E4-4CEB-A774-44A0C86EFD67}" sqref="E29" showErrorMessage="1" errorTitle="An invalid feedback was entered" error="Please choose feedback from drop down only.">
      <formula1>"Yes,No,FlexRET"</formula1>
    </dataValidation>
    <dataValidation type="list" xr:uid="{5314A0D9-3F18-4DD8-9865-D8F544DC38BE}" sqref="F29" showErrorMessage="1" errorTitle="An invalid feedback was entered" error="Please choose feedback from drop down only.">
      <formula1>"Yes,No,FlexRET"</formula1>
    </dataValidation>
    <dataValidation type="list" xr:uid="{A0465AE4-6C48-4F83-9762-0824B1F7D8A8}" sqref="G29" showErrorMessage="1" errorTitle="An invalid feedback was entered" error="Please choose feedback from drop down only.">
      <formula1>"Yes,No,FlexRET"</formula1>
    </dataValidation>
    <dataValidation type="list" xr:uid="{A20ACE95-033A-46BE-8E83-81E8D8984FA7}" sqref="H29" showErrorMessage="1" errorTitle="An invalid feedback was entered" error="Please choose feedback from drop down only.">
      <formula1>"Yes,No,FlexRET"</formula1>
    </dataValidation>
    <dataValidation type="list" xr:uid="{636648B4-6E78-40F8-A75C-110870102BFB}" sqref="I29" showErrorMessage="1" errorTitle="An invalid feedback was entered" error="Please choose feedback from drop down only.">
      <formula1>"Yes,No,FlexRET"</formula1>
    </dataValidation>
    <dataValidation type="list" xr:uid="{2D966A9C-C879-4679-8FCB-766FE39E4EDC}" sqref="J29" showErrorMessage="1" errorTitle="An invalid feedback was entered" error="Please choose feedback from drop down only.">
      <formula1>"Yes,No,FlexRET"</formula1>
    </dataValidation>
    <dataValidation type="list" xr:uid="{871195EE-853B-4281-B66B-A8E8380DF677}" sqref="K29" showErrorMessage="1" errorTitle="An invalid feedback was entered" error="Please choose feedback from drop down only.">
      <formula1>"Yes,No,FlexRET"</formula1>
    </dataValidation>
    <dataValidation type="list" xr:uid="{7FD11C19-3CD0-46F2-AD28-8FEE139EECB8}" sqref="L29" showErrorMessage="1" errorTitle="An invalid feedback was entered" error="Please choose feedback from drop down only.">
      <formula1>"Yes,No,FlexRET"</formula1>
    </dataValidation>
    <dataValidation type="list" xr:uid="{A9A18223-A01F-4541-B1BD-CF554098D526}" sqref="M29" showErrorMessage="1" errorTitle="An invalid feedback was entered" error="Please choose feedback from drop down only.">
      <formula1>"Yes,No,FlexRET"</formula1>
    </dataValidation>
    <dataValidation type="list" xr:uid="{1E94695B-8D0B-419D-8CA4-6E57CBB93408}" sqref="N29" showErrorMessage="1" errorTitle="An invalid feedback was entered" error="Please choose feedback from drop down only.">
      <formula1>"Yes,No,FlexRET"</formula1>
    </dataValidation>
    <dataValidation type="list" xr:uid="{243BBDDC-3D8E-4428-A45A-A2C4BEFA9CD4}" sqref="O29" showErrorMessage="1" errorTitle="An invalid feedback was entered" error="Please choose feedback from drop down only.">
      <formula1>"Yes,No,FlexRET"</formula1>
    </dataValidation>
    <dataValidation type="list" xr:uid="{FBF0C2E5-5719-468E-B93E-2628B95446E8}" sqref="P29" showErrorMessage="1" errorTitle="An invalid feedback was entered" error="Please choose feedback from drop down only.">
      <formula1>"Yes,No,FlexRET"</formula1>
    </dataValidation>
    <dataValidation type="list" xr:uid="{BF3E8396-8E4A-497A-A597-F49F6057B468}" sqref="Q29" showErrorMessage="1" errorTitle="An invalid feedback was entered" error="Please choose feedback from drop down only.">
      <formula1>"Yes,No,FlexRET"</formula1>
    </dataValidation>
    <dataValidation type="list" xr:uid="{45B89772-A447-4994-9B13-72195F568FAF}" sqref="C25" showErrorMessage="1" errorTitle="An invalid feedback was entered" error="Please choose feedback from drop down only.">
      <formula1>"G,U,L,NR,GU,UL,GL,GUL,LNR,ULNR,None"</formula1>
    </dataValidation>
    <dataValidation type="list" xr:uid="{C3F32583-6CF0-4B37-9353-3C8165EAFC14}" sqref="D25" showErrorMessage="1" errorTitle="An invalid feedback was entered" error="Please choose feedback from drop down only.">
      <formula1>"G,U,L,NR,GU,UL,GL,GUL,LNR,ULNR,None"</formula1>
    </dataValidation>
    <dataValidation type="list" xr:uid="{10492463-D1C8-4875-80EE-7A4BB4E55717}" sqref="E25" showErrorMessage="1" errorTitle="An invalid feedback was entered" error="Please choose feedback from drop down only.">
      <formula1>"G,U,L,NR,GU,UL,GL,GUL,LNR,ULNR,None"</formula1>
    </dataValidation>
    <dataValidation type="list" xr:uid="{FC505F04-7124-48E2-8B51-E42832D7F39A}" sqref="F25" showErrorMessage="1" errorTitle="An invalid feedback was entered" error="Please choose feedback from drop down only.">
      <formula1>"G,U,L,NR,GU,UL,GL,GUL,LNR,ULNR,None"</formula1>
    </dataValidation>
    <dataValidation type="list" xr:uid="{CC89133B-8A2F-4D7E-A3C6-AE71B2394B27}" sqref="G25" showErrorMessage="1" errorTitle="An invalid feedback was entered" error="Please choose feedback from drop down only.">
      <formula1>"G,U,L,NR,GU,UL,GL,GUL,LNR,ULNR,None"</formula1>
    </dataValidation>
    <dataValidation type="list" xr:uid="{88705664-C32F-4AA1-B101-2F8C183FF49D}" sqref="H25" showErrorMessage="1" errorTitle="An invalid feedback was entered" error="Please choose feedback from drop down only.">
      <formula1>"G,U,L,NR,GU,UL,GL,GUL,LNR,ULNR,None"</formula1>
    </dataValidation>
    <dataValidation type="list" xr:uid="{E9300E67-EF6C-4D75-9943-293A710A962E}" sqref="I25" showErrorMessage="1" errorTitle="An invalid feedback was entered" error="Please choose feedback from drop down only.">
      <formula1>"G,U,L,NR,GU,UL,GL,GUL,LNR,ULNR,None"</formula1>
    </dataValidation>
    <dataValidation type="list" xr:uid="{EEBB9383-6BDC-4106-BABB-8B4DBBC1B75C}" sqref="J25" showErrorMessage="1" errorTitle="An invalid feedback was entered" error="Please choose feedback from drop down only.">
      <formula1>"G,U,L,NR,GU,UL,GL,GUL,LNR,ULNR,None"</formula1>
    </dataValidation>
    <dataValidation type="list" xr:uid="{ADE480B7-3C55-483A-B74F-7438E9918FCC}" sqref="K25" showErrorMessage="1" errorTitle="An invalid feedback was entered" error="Please choose feedback from drop down only.">
      <formula1>"G,U,L,NR,GU,UL,GL,GUL,LNR,ULNR,None"</formula1>
    </dataValidation>
    <dataValidation type="list" xr:uid="{5EF75722-D63C-4B6E-BFC8-7AAF5806B427}" sqref="L25" showErrorMessage="1" errorTitle="An invalid feedback was entered" error="Please choose feedback from drop down only.">
      <formula1>"G,U,L,NR,GU,UL,GL,GUL,LNR,ULNR,None"</formula1>
    </dataValidation>
    <dataValidation type="list" xr:uid="{5040B820-90FE-406F-B142-2038FF57636C}" sqref="M25" showErrorMessage="1" errorTitle="An invalid feedback was entered" error="Please choose feedback from drop down only.">
      <formula1>"G,U,L,NR,GU,UL,GL,GUL,LNR,ULNR,None"</formula1>
    </dataValidation>
    <dataValidation type="list" xr:uid="{788A1E85-40B6-4A0E-ADBD-63AA62CE35BF}" sqref="N25" showErrorMessage="1" errorTitle="An invalid feedback was entered" error="Please choose feedback from drop down only.">
      <formula1>"G,U,L,NR,GU,UL,GL,GUL,LNR,ULNR,None"</formula1>
    </dataValidation>
    <dataValidation type="list" xr:uid="{85E5FA9D-7DAA-4CDB-864A-C6F057F6FC25}" sqref="O25" showErrorMessage="1" errorTitle="An invalid feedback was entered" error="Please choose feedback from drop down only.">
      <formula1>"G,U,L,NR,GU,UL,GL,GUL,LNR,ULNR,None"</formula1>
    </dataValidation>
    <dataValidation type="list" xr:uid="{B6AC5D8E-C929-4278-8CF6-55D5D588941F}" sqref="P25" showErrorMessage="1" errorTitle="An invalid feedback was entered" error="Please choose feedback from drop down only.">
      <formula1>"G,U,L,NR,GU,UL,GL,GUL,LNR,ULNR,None"</formula1>
    </dataValidation>
    <dataValidation type="list" xr:uid="{C8191BF7-6640-4C70-8392-D32D0E46F1FB}" sqref="Q25" showErrorMessage="1" errorTitle="An invalid feedback was entered" error="Please choose feedback from drop down only.">
      <formula1>"G,U,L,NR,GU,UL,GL,GUL,LNR,ULNR,None"</formula1>
    </dataValidation>
    <dataValidation type="list" xr:uid="{96FED89F-98F0-43E2-91DC-F3C54040F78E}" sqref="C37" showErrorMessage="1" errorTitle="An invalid feedback was entered" error="Please choose feedback from drop down only.">
      <formula1>"Yes,No,SASU,SASU/SASA,DCS/UMTS2100share,78210440,78211110,78210510,DTMA UMTS 12 ASIG,78211106,78210312,TMA 900 Tower amplifier,TMA900,MI-15832,MI-16331,MI-12731,MI-12031,N/A,Unknown,None"</formula1>
    </dataValidation>
    <dataValidation type="list" xr:uid="{68A03393-6C7F-49A4-B263-704AD0769A4E}" sqref="D37" showErrorMessage="1" errorTitle="An invalid feedback was entered" error="Please choose feedback from drop down only.">
      <formula1>"Yes,No,SASU,SASU/SASA,DCS/UMTS2100share,78210440,78211110,78210510,DTMA UMTS 12 ASIG,78211106,78210312,TMA 900 Tower amplifier,TMA900,MI-15832,MI-16331,MI-12731,MI-12031,N/A,Unknown,None"</formula1>
    </dataValidation>
    <dataValidation type="list" xr:uid="{F88B1445-A93C-4CFF-B633-3E79B98D457F}" sqref="E37" showErrorMessage="1" errorTitle="An invalid feedback was entered" error="Please choose feedback from drop down only.">
      <formula1>"Yes,No,SASU,SASU/SASA,DCS/UMTS2100share,78210440,78211110,78210510,DTMA UMTS 12 ASIG,78211106,78210312,TMA 900 Tower amplifier,TMA900,MI-15832,MI-16331,MI-12731,MI-12031,N/A,Unknown,None"</formula1>
    </dataValidation>
    <dataValidation type="list" xr:uid="{44DD265E-8E8A-4E11-BD43-E54471C32316}" sqref="F37" showErrorMessage="1" errorTitle="An invalid feedback was entered" error="Please choose feedback from drop down only.">
      <formula1>"Yes,No,SASU,SASU/SASA,DCS/UMTS2100share,78210440,78211110,78210510,DTMA UMTS 12 ASIG,78211106,78210312,TMA 900 Tower amplifier,TMA900,MI-15832,MI-16331,MI-12731,MI-12031,N/A,Unknown,None"</formula1>
    </dataValidation>
    <dataValidation type="list" xr:uid="{08E01368-A11F-4FC1-9468-ACB0BD36F427}" sqref="G37" showErrorMessage="1" errorTitle="An invalid feedback was entered" error="Please choose feedback from drop down only.">
      <formula1>"Yes,No,SASU,SASU/SASA,DCS/UMTS2100share,78210440,78211110,78210510,DTMA UMTS 12 ASIG,78211106,78210312,TMA 900 Tower amplifier,TMA900,MI-15832,MI-16331,MI-12731,MI-12031,N/A,Unknown,None"</formula1>
    </dataValidation>
    <dataValidation type="list" xr:uid="{A708B0BA-CB94-4F4C-AF15-6B3CE19D77F6}" sqref="H37" showErrorMessage="1" errorTitle="An invalid feedback was entered" error="Please choose feedback from drop down only.">
      <formula1>"Yes,No,SASU,SASU/SASA,DCS/UMTS2100share,78210440,78211110,78210510,DTMA UMTS 12 ASIG,78211106,78210312,TMA 900 Tower amplifier,TMA900,MI-15832,MI-16331,MI-12731,MI-12031,N/A,Unknown,None"</formula1>
    </dataValidation>
    <dataValidation type="list" xr:uid="{28B0F53C-EEFB-44D5-98CA-6056FC1AF127}" sqref="I37" showErrorMessage="1" errorTitle="An invalid feedback was entered" error="Please choose feedback from drop down only.">
      <formula1>"Yes,No,SASU,SASU/SASA,DCS/UMTS2100share,78210440,78211110,78210510,DTMA UMTS 12 ASIG,78211106,78210312,TMA 900 Tower amplifier,TMA900,MI-15832,MI-16331,MI-12731,MI-12031,N/A,Unknown,None"</formula1>
    </dataValidation>
    <dataValidation type="list" xr:uid="{5076BCBE-71F4-4DAC-BCB0-DA3EA5F59911}" sqref="J37" showErrorMessage="1" errorTitle="An invalid feedback was entered" error="Please choose feedback from drop down only.">
      <formula1>"Yes,No,SASU,SASU/SASA,DCS/UMTS2100share,78210440,78211110,78210510,DTMA UMTS 12 ASIG,78211106,78210312,TMA 900 Tower amplifier,TMA900,MI-15832,MI-16331,MI-12731,MI-12031,N/A,Unknown,None"</formula1>
    </dataValidation>
    <dataValidation type="list" xr:uid="{93019729-1671-43AE-BC77-BCA95581822F}" sqref="K37" showErrorMessage="1" errorTitle="An invalid feedback was entered" error="Please choose feedback from drop down only.">
      <formula1>"Yes,No,SASU,SASU/SASA,DCS/UMTS2100share,78210440,78211110,78210510,DTMA UMTS 12 ASIG,78211106,78210312,TMA 900 Tower amplifier,TMA900,MI-15832,MI-16331,MI-12731,MI-12031,N/A,Unknown,None"</formula1>
    </dataValidation>
    <dataValidation type="list" xr:uid="{F9D925B9-6CE6-493E-8149-EC479099E715}" sqref="L37" showErrorMessage="1" errorTitle="An invalid feedback was entered" error="Please choose feedback from drop down only.">
      <formula1>"Yes,No,SASU,SASU/SASA,DCS/UMTS2100share,78210440,78211110,78210510,DTMA UMTS 12 ASIG,78211106,78210312,TMA 900 Tower amplifier,TMA900,MI-15832,MI-16331,MI-12731,MI-12031,N/A,Unknown,None"</formula1>
    </dataValidation>
    <dataValidation type="list" xr:uid="{73FF121E-7228-400D-883A-BAA672266DAF}" sqref="M37" showErrorMessage="1" errorTitle="An invalid feedback was entered" error="Please choose feedback from drop down only.">
      <formula1>"Yes,No,SASU,SASU/SASA,DCS/UMTS2100share,78210440,78211110,78210510,DTMA UMTS 12 ASIG,78211106,78210312,TMA 900 Tower amplifier,TMA900,MI-15832,MI-16331,MI-12731,MI-12031,N/A,Unknown,None"</formula1>
    </dataValidation>
    <dataValidation type="list" xr:uid="{B80FEEBB-FB6B-4276-B8DE-B2A883961CAB}" sqref="N37" showErrorMessage="1" errorTitle="An invalid feedback was entered" error="Please choose feedback from drop down only.">
      <formula1>"Yes,No,SASU,SASU/SASA,DCS/UMTS2100share,78210440,78211110,78210510,DTMA UMTS 12 ASIG,78211106,78210312,TMA 900 Tower amplifier,TMA900,MI-15832,MI-16331,MI-12731,MI-12031,N/A,Unknown,None"</formula1>
    </dataValidation>
    <dataValidation type="list" xr:uid="{87298A0A-DA92-4F47-B459-46E5C1E20050}" sqref="O37" showErrorMessage="1" errorTitle="An invalid feedback was entered" error="Please choose feedback from drop down only.">
      <formula1>"Yes,No,SASU,SASU/SASA,DCS/UMTS2100share,78210440,78211110,78210510,DTMA UMTS 12 ASIG,78211106,78210312,TMA 900 Tower amplifier,TMA900,MI-15832,MI-16331,MI-12731,MI-12031,N/A,Unknown,None"</formula1>
    </dataValidation>
    <dataValidation type="list" xr:uid="{847FF9A0-8092-40DA-B696-EE5486FFFD2B}" sqref="P37" showErrorMessage="1" errorTitle="An invalid feedback was entered" error="Please choose feedback from drop down only.">
      <formula1>"Yes,No,SASU,SASU/SASA,DCS/UMTS2100share,78210440,78211110,78210510,DTMA UMTS 12 ASIG,78211106,78210312,TMA 900 Tower amplifier,TMA900,MI-15832,MI-16331,MI-12731,MI-12031,N/A,Unknown,None"</formula1>
    </dataValidation>
    <dataValidation type="list" xr:uid="{923FD6D1-6881-457A-9B99-CCE7935FF4A7}" sqref="Q37" showErrorMessage="1" errorTitle="An invalid feedback was entered" error="Please choose feedback from drop down only.">
      <formula1>"Yes,No,SASU,SASU/SASA,DCS/UMTS2100share,78210440,78211110,78210510,DTMA UMTS 12 ASIG,78211106,78210312,TMA 900 Tower amplifier,TMA900,MI-15832,MI-16331,MI-12731,MI-12031,N/A,Unknown,None"</formula1>
    </dataValidation>
  </dataValidations>
  <pageMargins left="0.7" right="0.7" top="0.75" bottom="0.75" header="0.3" footer="0.3"/>
  <pageSetup orientation="portrait"/>
  <headerFooter/>
  <extLst>
    <ext xmlns:x14="http://schemas.microsoft.com/office/spreadsheetml/2009/9/main" uri="{CCE6A557-97BC-4b89-ADB6-D9C93CAAB3DF}">
      <x14:dataValidations xmlns:xm="http://schemas.microsoft.com/office/excel/2006/main" count="60">
        <x14:dataValidation type="list" xr:uid="{77E3393B-D0A7-4F91-ADB2-80C87F9DD5CB}" error="Please choose feedback from drop down only." errorTitle="An invalid feedback was entered" showErrorMessage="1">
          <x14:formula1>
            <xm:f>Antennas!A:A</xm:f>
          </x14:formula1>
          <xm:sqref>C8</xm:sqref>
        </x14:dataValidation>
        <x14:dataValidation type="list" xr:uid="{D1E467C7-0939-4070-AC2A-7E377788CDC6}" error="Please choose feedback from drop down only." errorTitle="An invalid feedback was entered" showErrorMessage="1">
          <x14:formula1>
            <xm:f>Antennas!A:A</xm:f>
          </x14:formula1>
          <xm:sqref>D8</xm:sqref>
        </x14:dataValidation>
        <x14:dataValidation type="list" xr:uid="{F4377FD0-A63B-4631-803B-0A8EE36C4208}" error="Please choose feedback from drop down only." errorTitle="An invalid feedback was entered" showErrorMessage="1">
          <x14:formula1>
            <xm:f>Antennas!A:A</xm:f>
          </x14:formula1>
          <xm:sqref>E8</xm:sqref>
        </x14:dataValidation>
        <x14:dataValidation type="list" xr:uid="{624A55C8-FCDD-4A57-A5B6-8E3A5668D43B}" error="Please choose feedback from drop down only." errorTitle="An invalid feedback was entered" showErrorMessage="1">
          <x14:formula1>
            <xm:f>Antennas!A:A</xm:f>
          </x14:formula1>
          <xm:sqref>F8</xm:sqref>
        </x14:dataValidation>
        <x14:dataValidation type="list" xr:uid="{611A31AC-ED94-4D2B-A187-66546514B6D1}" error="Please choose feedback from drop down only." errorTitle="An invalid feedback was entered" showErrorMessage="1">
          <x14:formula1>
            <xm:f>Antennas!A:A</xm:f>
          </x14:formula1>
          <xm:sqref>G8</xm:sqref>
        </x14:dataValidation>
        <x14:dataValidation type="list" xr:uid="{CFC5DA5B-405D-4AFC-8B7E-AA31D03DA08A}" error="Please choose feedback from drop down only." errorTitle="An invalid feedback was entered" showErrorMessage="1">
          <x14:formula1>
            <xm:f>Antennas!A:A</xm:f>
          </x14:formula1>
          <xm:sqref>H8</xm:sqref>
        </x14:dataValidation>
        <x14:dataValidation type="list" xr:uid="{45A707A8-520B-492B-98E7-58F6FD72CEEA}" error="Please choose feedback from drop down only." errorTitle="An invalid feedback was entered" showErrorMessage="1">
          <x14:formula1>
            <xm:f>Antennas!A:A</xm:f>
          </x14:formula1>
          <xm:sqref>I8</xm:sqref>
        </x14:dataValidation>
        <x14:dataValidation type="list" xr:uid="{E9CB779F-8C78-45FD-8689-2BC04645EA26}" error="Please choose feedback from drop down only." errorTitle="An invalid feedback was entered" showErrorMessage="1">
          <x14:formula1>
            <xm:f>Antennas!A:A</xm:f>
          </x14:formula1>
          <xm:sqref>J8</xm:sqref>
        </x14:dataValidation>
        <x14:dataValidation type="list" xr:uid="{463CD77D-29DE-4718-AD1D-ACAD6FC6A7CA}" error="Please choose feedback from drop down only." errorTitle="An invalid feedback was entered" showErrorMessage="1">
          <x14:formula1>
            <xm:f>Antennas!A:A</xm:f>
          </x14:formula1>
          <xm:sqref>K8</xm:sqref>
        </x14:dataValidation>
        <x14:dataValidation type="list" xr:uid="{3BC49096-7F06-4E21-B1BC-423DA8C008E9}" error="Please choose feedback from drop down only." errorTitle="An invalid feedback was entered" showErrorMessage="1">
          <x14:formula1>
            <xm:f>Antennas!A:A</xm:f>
          </x14:formula1>
          <xm:sqref>L8</xm:sqref>
        </x14:dataValidation>
        <x14:dataValidation type="list" xr:uid="{DD94D4D1-23C3-4852-AAD4-50919937F889}" error="Please choose feedback from drop down only." errorTitle="An invalid feedback was entered" showErrorMessage="1">
          <x14:formula1>
            <xm:f>Antennas!A:A</xm:f>
          </x14:formula1>
          <xm:sqref>M8</xm:sqref>
        </x14:dataValidation>
        <x14:dataValidation type="list" xr:uid="{C32CB5F6-A922-487E-B364-0473124F39E4}" error="Please choose feedback from drop down only." errorTitle="An invalid feedback was entered" showErrorMessage="1">
          <x14:formula1>
            <xm:f>Antennas!A:A</xm:f>
          </x14:formula1>
          <xm:sqref>N8</xm:sqref>
        </x14:dataValidation>
        <x14:dataValidation type="list" xr:uid="{767F0983-46F8-4867-A277-C3EBC6412BE4}" error="Please choose feedback from drop down only." errorTitle="An invalid feedback was entered" showErrorMessage="1">
          <x14:formula1>
            <xm:f>Antennas!A:A</xm:f>
          </x14:formula1>
          <xm:sqref>O8</xm:sqref>
        </x14:dataValidation>
        <x14:dataValidation type="list" xr:uid="{387D95E0-8E4E-4EA5-A572-0D57B384E221}" error="Please choose feedback from drop down only." errorTitle="An invalid feedback was entered" showErrorMessage="1">
          <x14:formula1>
            <xm:f>Antennas!A:A</xm:f>
          </x14:formula1>
          <xm:sqref>P8</xm:sqref>
        </x14:dataValidation>
        <x14:dataValidation type="list" xr:uid="{8E849540-94FA-4BD5-94DB-E8ED26B76BEA}" error="Please choose feedback from drop down only." errorTitle="An invalid feedback was entered" showErrorMessage="1">
          <x14:formula1>
            <xm:f>Antennas!A:A</xm:f>
          </x14:formula1>
          <xm:sqref>Q8</xm:sqref>
        </x14:dataValidation>
        <x14:dataValidation type="list" xr:uid="{06188A52-36BA-4E3D-B658-210129B694C0}" error="Please choose feedback from drop down only." errorTitle="An invalid feedback was entered" showErrorMessage="1">
          <x14:formula1>
            <xm:f>Combiners!A:A</xm:f>
          </x14:formula1>
          <xm:sqref>C39</xm:sqref>
        </x14:dataValidation>
        <x14:dataValidation type="list" xr:uid="{E2326652-8904-46FB-9D3E-2E2822B13BC2}" error="Please choose feedback from drop down only." errorTitle="An invalid feedback was entered" showErrorMessage="1">
          <x14:formula1>
            <xm:f>Combiners!A:A</xm:f>
          </x14:formula1>
          <xm:sqref>D39</xm:sqref>
        </x14:dataValidation>
        <x14:dataValidation type="list" xr:uid="{5A0F8C5F-641A-4AD9-AD88-BB31A01F977B}" error="Please choose feedback from drop down only." errorTitle="An invalid feedback was entered" showErrorMessage="1">
          <x14:formula1>
            <xm:f>Combiners!A:A</xm:f>
          </x14:formula1>
          <xm:sqref>E39</xm:sqref>
        </x14:dataValidation>
        <x14:dataValidation type="list" xr:uid="{4E8B15FF-E91E-4F21-9E2F-F6612DF3F97C}" error="Please choose feedback from drop down only." errorTitle="An invalid feedback was entered" showErrorMessage="1">
          <x14:formula1>
            <xm:f>Combiners!A:A</xm:f>
          </x14:formula1>
          <xm:sqref>F39</xm:sqref>
        </x14:dataValidation>
        <x14:dataValidation type="list" xr:uid="{6AE9F6EF-B661-4023-87DF-AA4EE404D8F2}" error="Please choose feedback from drop down only." errorTitle="An invalid feedback was entered" showErrorMessage="1">
          <x14:formula1>
            <xm:f>Combiners!A:A</xm:f>
          </x14:formula1>
          <xm:sqref>G39</xm:sqref>
        </x14:dataValidation>
        <x14:dataValidation type="list" xr:uid="{2DC83F19-2718-4E5C-A352-8D8A4C981DD5}" error="Please choose feedback from drop down only." errorTitle="An invalid feedback was entered" showErrorMessage="1">
          <x14:formula1>
            <xm:f>Combiners!A:A</xm:f>
          </x14:formula1>
          <xm:sqref>H39</xm:sqref>
        </x14:dataValidation>
        <x14:dataValidation type="list" xr:uid="{DCD5C086-B74C-4C51-8C73-54C043999B44}" error="Please choose feedback from drop down only." errorTitle="An invalid feedback was entered" showErrorMessage="1">
          <x14:formula1>
            <xm:f>Combiners!A:A</xm:f>
          </x14:formula1>
          <xm:sqref>I39</xm:sqref>
        </x14:dataValidation>
        <x14:dataValidation type="list" xr:uid="{691E98C4-B02E-46EF-9CFB-66630D7E9E9C}" error="Please choose feedback from drop down only." errorTitle="An invalid feedback was entered" showErrorMessage="1">
          <x14:formula1>
            <xm:f>Combiners!A:A</xm:f>
          </x14:formula1>
          <xm:sqref>J39</xm:sqref>
        </x14:dataValidation>
        <x14:dataValidation type="list" xr:uid="{43DA849F-CB3D-480D-972B-55743050174F}" error="Please choose feedback from drop down only." errorTitle="An invalid feedback was entered" showErrorMessage="1">
          <x14:formula1>
            <xm:f>Combiners!A:A</xm:f>
          </x14:formula1>
          <xm:sqref>K39</xm:sqref>
        </x14:dataValidation>
        <x14:dataValidation type="list" xr:uid="{890272DA-FB06-4B7A-8BE4-E7C3C5CD9240}" error="Please choose feedback from drop down only." errorTitle="An invalid feedback was entered" showErrorMessage="1">
          <x14:formula1>
            <xm:f>Combiners!A:A</xm:f>
          </x14:formula1>
          <xm:sqref>L39</xm:sqref>
        </x14:dataValidation>
        <x14:dataValidation type="list" xr:uid="{AFA1530D-89F6-4F6F-8C71-327C82D83390}" error="Please choose feedback from drop down only." errorTitle="An invalid feedback was entered" showErrorMessage="1">
          <x14:formula1>
            <xm:f>Combiners!A:A</xm:f>
          </x14:formula1>
          <xm:sqref>M39</xm:sqref>
        </x14:dataValidation>
        <x14:dataValidation type="list" xr:uid="{B604AD37-4F81-4FE7-BCC6-4333A9393A00}" error="Please choose feedback from drop down only." errorTitle="An invalid feedback was entered" showErrorMessage="1">
          <x14:formula1>
            <xm:f>Combiners!A:A</xm:f>
          </x14:formula1>
          <xm:sqref>N39</xm:sqref>
        </x14:dataValidation>
        <x14:dataValidation type="list" xr:uid="{0B0F3921-BE14-46B9-9F27-9197008D3D5D}" error="Please choose feedback from drop down only." errorTitle="An invalid feedback was entered" showErrorMessage="1">
          <x14:formula1>
            <xm:f>Combiners!A:A</xm:f>
          </x14:formula1>
          <xm:sqref>O39</xm:sqref>
        </x14:dataValidation>
        <x14:dataValidation type="list" xr:uid="{E7A86AC7-B196-48D0-B951-8C51E77F07B1}" error="Please choose feedback from drop down only." errorTitle="An invalid feedback was entered" showErrorMessage="1">
          <x14:formula1>
            <xm:f>Combiners!A:A</xm:f>
          </x14:formula1>
          <xm:sqref>P39</xm:sqref>
        </x14:dataValidation>
        <x14:dataValidation type="list" xr:uid="{ACCACCBA-ADA4-493E-BFF0-8C8040C1F2E4}" error="Please choose feedback from drop down only." errorTitle="An invalid feedback was entered" showErrorMessage="1">
          <x14:formula1>
            <xm:f>Combiners!A:A</xm:f>
          </x14:formula1>
          <xm:sqref>Q39</xm:sqref>
        </x14:dataValidation>
        <x14:dataValidation type="list" xr:uid="{801C661C-048E-4402-A184-34EE63FABDF9}" error="Please choose feedback from drop down only." errorTitle="An invalid feedback was entered" showErrorMessage="0">
          <x14:formula1>
            <xm:f>RRUs!A:A</xm:f>
          </x14:formula1>
          <xm:sqref>C35</xm:sqref>
        </x14:dataValidation>
        <x14:dataValidation type="list" xr:uid="{7A21142E-399D-411B-BAA6-AB072DE9E554}" error="Please choose feedback from drop down only." errorTitle="An invalid feedback was entered" showErrorMessage="0">
          <x14:formula1>
            <xm:f>RRUs!A:A</xm:f>
          </x14:formula1>
          <xm:sqref>D35</xm:sqref>
        </x14:dataValidation>
        <x14:dataValidation type="list" xr:uid="{6CA66568-2C18-4FB4-8F48-01B6B8212660}" error="Please choose feedback from drop down only." errorTitle="An invalid feedback was entered" showErrorMessage="0">
          <x14:formula1>
            <xm:f>RRUs!A:A</xm:f>
          </x14:formula1>
          <xm:sqref>E35</xm:sqref>
        </x14:dataValidation>
        <x14:dataValidation type="list" xr:uid="{835D26A2-FF3F-4B05-9132-3AB603011E3A}" error="Please choose feedback from drop down only." errorTitle="An invalid feedback was entered" showErrorMessage="0">
          <x14:formula1>
            <xm:f>RRUs!A:A</xm:f>
          </x14:formula1>
          <xm:sqref>F35</xm:sqref>
        </x14:dataValidation>
        <x14:dataValidation type="list" xr:uid="{9F237CE8-3BFB-401E-AADC-3BECC514EB05}" error="Please choose feedback from drop down only." errorTitle="An invalid feedback was entered" showErrorMessage="0">
          <x14:formula1>
            <xm:f>RRUs!A:A</xm:f>
          </x14:formula1>
          <xm:sqref>G35</xm:sqref>
        </x14:dataValidation>
        <x14:dataValidation type="list" xr:uid="{0FB81B7A-B73B-47F8-834B-E31FF545AEDF}" error="Please choose feedback from drop down only." errorTitle="An invalid feedback was entered" showErrorMessage="0">
          <x14:formula1>
            <xm:f>RRUs!A:A</xm:f>
          </x14:formula1>
          <xm:sqref>H35</xm:sqref>
        </x14:dataValidation>
        <x14:dataValidation type="list" xr:uid="{2CABBA55-4494-473A-AD9F-C813D51B3006}" error="Please choose feedback from drop down only." errorTitle="An invalid feedback was entered" showErrorMessage="0">
          <x14:formula1>
            <xm:f>RRUs!A:A</xm:f>
          </x14:formula1>
          <xm:sqref>I35</xm:sqref>
        </x14:dataValidation>
        <x14:dataValidation type="list" xr:uid="{C4685AF5-C1E3-4636-9831-C4DF3C199E9B}" error="Please choose feedback from drop down only." errorTitle="An invalid feedback was entered" showErrorMessage="0">
          <x14:formula1>
            <xm:f>RRUs!A:A</xm:f>
          </x14:formula1>
          <xm:sqref>J35</xm:sqref>
        </x14:dataValidation>
        <x14:dataValidation type="list" xr:uid="{C2FD0BF9-C969-4B36-8F09-9D7A31CCB964}" error="Please choose feedback from drop down only." errorTitle="An invalid feedback was entered" showErrorMessage="0">
          <x14:formula1>
            <xm:f>RRUs!A:A</xm:f>
          </x14:formula1>
          <xm:sqref>K35</xm:sqref>
        </x14:dataValidation>
        <x14:dataValidation type="list" xr:uid="{847E03A8-EA29-4DF4-A9A2-C886D72B6A3F}" error="Please choose feedback from drop down only." errorTitle="An invalid feedback was entered" showErrorMessage="0">
          <x14:formula1>
            <xm:f>RRUs!A:A</xm:f>
          </x14:formula1>
          <xm:sqref>L35</xm:sqref>
        </x14:dataValidation>
        <x14:dataValidation type="list" xr:uid="{B8EF3A4B-BEA1-445B-81D3-72A82D014951}" error="Please choose feedback from drop down only." errorTitle="An invalid feedback was entered" showErrorMessage="0">
          <x14:formula1>
            <xm:f>RRUs!A:A</xm:f>
          </x14:formula1>
          <xm:sqref>M35</xm:sqref>
        </x14:dataValidation>
        <x14:dataValidation type="list" xr:uid="{5D73A3FF-DA06-4BA9-A429-321FE7C36E5A}" error="Please choose feedback from drop down only." errorTitle="An invalid feedback was entered" showErrorMessage="0">
          <x14:formula1>
            <xm:f>RRUs!A:A</xm:f>
          </x14:formula1>
          <xm:sqref>N35</xm:sqref>
        </x14:dataValidation>
        <x14:dataValidation type="list" xr:uid="{D47CEBEA-33C0-412F-80CD-0E9DB594869A}" error="Please choose feedback from drop down only." errorTitle="An invalid feedback was entered" showErrorMessage="0">
          <x14:formula1>
            <xm:f>RRUs!A:A</xm:f>
          </x14:formula1>
          <xm:sqref>O35</xm:sqref>
        </x14:dataValidation>
        <x14:dataValidation type="list" xr:uid="{3C3E5991-7441-4453-9C8D-F151584ECF19}" error="Please choose feedback from drop down only." errorTitle="An invalid feedback was entered" showErrorMessage="0">
          <x14:formula1>
            <xm:f>RRUs!A:A</xm:f>
          </x14:formula1>
          <xm:sqref>P35</xm:sqref>
        </x14:dataValidation>
        <x14:dataValidation type="list" xr:uid="{CC75033E-942E-4A01-9CE1-CE7A578F2711}" error="Please choose feedback from drop down only." errorTitle="An invalid feedback was entered" showErrorMessage="0">
          <x14:formula1>
            <xm:f>RRUs!A:A</xm:f>
          </x14:formula1>
          <xm:sqref>Q35</xm:sqref>
        </x14:dataValidation>
        <x14:dataValidation type="list" xr:uid="{3F99EB08-6C7B-4319-87DA-9739E19A62AC}" error="Please choose feedback from drop down only." errorTitle="An invalid feedback was entered" showErrorMessage="1">
          <x14:formula1>
            <xm:f>Combiners!A:A</xm:f>
          </x14:formula1>
          <xm:sqref>C41</xm:sqref>
        </x14:dataValidation>
        <x14:dataValidation type="list" xr:uid="{8D3B4248-5250-4BB9-B904-16E70444DF19}" error="Please choose feedback from drop down only." errorTitle="An invalid feedback was entered" showErrorMessage="1">
          <x14:formula1>
            <xm:f>Combiners!A:A</xm:f>
          </x14:formula1>
          <xm:sqref>D41</xm:sqref>
        </x14:dataValidation>
        <x14:dataValidation type="list" xr:uid="{13E7895F-7FD5-4652-971A-1769B557B43A}" error="Please choose feedback from drop down only." errorTitle="An invalid feedback was entered" showErrorMessage="1">
          <x14:formula1>
            <xm:f>Combiners!A:A</xm:f>
          </x14:formula1>
          <xm:sqref>E41</xm:sqref>
        </x14:dataValidation>
        <x14:dataValidation type="list" xr:uid="{58C344F3-4E28-4272-BD97-219EAAB044EB}" error="Please choose feedback from drop down only." errorTitle="An invalid feedback was entered" showErrorMessage="1">
          <x14:formula1>
            <xm:f>Combiners!A:A</xm:f>
          </x14:formula1>
          <xm:sqref>F41</xm:sqref>
        </x14:dataValidation>
        <x14:dataValidation type="list" xr:uid="{FFAC4605-9815-4BCA-A966-BABE5901C337}" error="Please choose feedback from drop down only." errorTitle="An invalid feedback was entered" showErrorMessage="1">
          <x14:formula1>
            <xm:f>Combiners!A:A</xm:f>
          </x14:formula1>
          <xm:sqref>G41</xm:sqref>
        </x14:dataValidation>
        <x14:dataValidation type="list" xr:uid="{BFB591F5-EA41-43B2-9F0C-A4FF5227C8B3}" error="Please choose feedback from drop down only." errorTitle="An invalid feedback was entered" showErrorMessage="1">
          <x14:formula1>
            <xm:f>Combiners!A:A</xm:f>
          </x14:formula1>
          <xm:sqref>H41</xm:sqref>
        </x14:dataValidation>
        <x14:dataValidation type="list" xr:uid="{38C16DCF-2500-4131-9ED4-9028340162C1}" error="Please choose feedback from drop down only." errorTitle="An invalid feedback was entered" showErrorMessage="1">
          <x14:formula1>
            <xm:f>Combiners!A:A</xm:f>
          </x14:formula1>
          <xm:sqref>I41</xm:sqref>
        </x14:dataValidation>
        <x14:dataValidation type="list" xr:uid="{D7F62579-1C58-4B7F-9816-51ACEE86F1F2}" error="Please choose feedback from drop down only." errorTitle="An invalid feedback was entered" showErrorMessage="1">
          <x14:formula1>
            <xm:f>Combiners!A:A</xm:f>
          </x14:formula1>
          <xm:sqref>J41</xm:sqref>
        </x14:dataValidation>
        <x14:dataValidation type="list" xr:uid="{0EAD2E52-7097-4E3C-9381-6747508270EC}" error="Please choose feedback from drop down only." errorTitle="An invalid feedback was entered" showErrorMessage="1">
          <x14:formula1>
            <xm:f>Combiners!A:A</xm:f>
          </x14:formula1>
          <xm:sqref>K41</xm:sqref>
        </x14:dataValidation>
        <x14:dataValidation type="list" xr:uid="{3D285A0B-5142-4EAE-8CE2-FB08DC5337CD}" error="Please choose feedback from drop down only." errorTitle="An invalid feedback was entered" showErrorMessage="1">
          <x14:formula1>
            <xm:f>Combiners!A:A</xm:f>
          </x14:formula1>
          <xm:sqref>L41</xm:sqref>
        </x14:dataValidation>
        <x14:dataValidation type="list" xr:uid="{0B6D82B9-C337-46D4-9205-F2C41A31BF10}" error="Please choose feedback from drop down only." errorTitle="An invalid feedback was entered" showErrorMessage="1">
          <x14:formula1>
            <xm:f>Combiners!A:A</xm:f>
          </x14:formula1>
          <xm:sqref>M41</xm:sqref>
        </x14:dataValidation>
        <x14:dataValidation type="list" xr:uid="{71C0AFA4-E430-485C-98AB-BDF348AFECB2}" error="Please choose feedback from drop down only." errorTitle="An invalid feedback was entered" showErrorMessage="1">
          <x14:formula1>
            <xm:f>Combiners!A:A</xm:f>
          </x14:formula1>
          <xm:sqref>N41</xm:sqref>
        </x14:dataValidation>
        <x14:dataValidation type="list" xr:uid="{6893A20B-CEBB-4025-8819-AFF6BF0AE69E}" error="Please choose feedback from drop down only." errorTitle="An invalid feedback was entered" showErrorMessage="1">
          <x14:formula1>
            <xm:f>Combiners!A:A</xm:f>
          </x14:formula1>
          <xm:sqref>O41</xm:sqref>
        </x14:dataValidation>
        <x14:dataValidation type="list" xr:uid="{173A0FFC-EAAE-49AC-89CF-3999A3C6B67D}" error="Please choose feedback from drop down only." errorTitle="An invalid feedback was entered" showErrorMessage="1">
          <x14:formula1>
            <xm:f>Combiners!A:A</xm:f>
          </x14:formula1>
          <xm:sqref>P41</xm:sqref>
        </x14:dataValidation>
        <x14:dataValidation type="list" xr:uid="{893615A3-CA62-49FB-9234-4F85909447CE}" error="Please choose feedback from drop down only." errorTitle="An invalid feedback was entered" showErrorMessage="1">
          <x14:formula1>
            <xm:f>Combiners!A:A</xm:f>
          </x14:formula1>
          <xm:sqref>Q41</xm:sqref>
        </x14:dataValidation>
      </x14:dataValidations>
    </ext>
  </extLst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mc:Ignorable="x14ac xr">
  <sheetPr codeName="Sheet8"/>
  <dimension ref="A1:U45"/>
  <sheetViews>
    <sheetView zoomScale="90" zoomScaleNormal="90" workbookViewId="0">
      <selection activeCell="C8" sqref="C8:H8"/>
    </sheetView>
  </sheetViews>
  <sheetFormatPr defaultColWidth="9.1328125" defaultRowHeight="12.75"/>
  <cols>
    <col min="1" max="1" bestFit="1" width="10.265625" customWidth="1" style="6"/>
    <col min="2" max="2" bestFit="1" width="40.1328125" customWidth="1" style="7"/>
    <col min="3" max="7" width="9.1328125" customWidth="1" style="21"/>
    <col min="8" max="8" bestFit="1" width="9.3984375" customWidth="1" style="21"/>
    <col min="9" max="16384" width="9.1328125" customWidth="1" style="21"/>
  </cols>
  <sheetData>
    <row r="1" ht="25.15" customHeight="1">
      <c r="A1" s="197"/>
      <c r="B1" s="198"/>
      <c r="C1" s="258" t="s">
        <v>118</v>
      </c>
      <c r="D1" s="258"/>
      <c r="E1" s="258"/>
      <c r="F1" s="258"/>
      <c r="G1" s="258"/>
      <c r="H1" s="258"/>
      <c r="I1" s="258"/>
      <c r="J1" s="258"/>
      <c r="K1" s="258"/>
      <c r="L1" s="258"/>
      <c r="M1" s="258"/>
      <c r="N1" s="258"/>
      <c r="O1" s="258"/>
      <c r="P1" s="258"/>
    </row>
    <row r="2" ht="18">
      <c r="A2" s="33"/>
      <c r="B2" s="14" t="s">
        <v>1</v>
      </c>
      <c r="C2" s="217">
        <v>1</v>
      </c>
      <c r="D2" s="251"/>
      <c r="E2" s="251"/>
      <c r="F2" s="251"/>
      <c r="G2" s="251"/>
      <c r="H2" s="219"/>
      <c r="I2" s="252">
        <v>2</v>
      </c>
      <c r="J2" s="253"/>
      <c r="K2" s="253"/>
      <c r="L2" s="254"/>
      <c r="M2" s="252">
        <v>3</v>
      </c>
      <c r="N2" s="253"/>
      <c r="O2" s="255"/>
      <c r="P2" s="72">
        <v>4</v>
      </c>
    </row>
    <row r="3" ht="17.25">
      <c r="A3" s="241"/>
      <c r="B3" s="12" t="s">
        <v>2</v>
      </c>
      <c r="C3" s="211"/>
      <c r="D3" s="212"/>
      <c r="E3" s="212"/>
      <c r="F3" s="212"/>
      <c r="G3" s="212"/>
      <c r="H3" s="212"/>
      <c r="I3" s="212"/>
      <c r="J3" s="212"/>
      <c r="K3" s="212"/>
      <c r="L3" s="212"/>
      <c r="M3" s="212"/>
      <c r="N3" s="212"/>
      <c r="O3" s="212"/>
      <c r="P3" s="213"/>
    </row>
    <row r="4" ht="25.15" s="22" customFormat="1">
      <c r="A4" s="241"/>
      <c r="B4" s="9" t="s">
        <v>3</v>
      </c>
      <c r="C4" s="248"/>
      <c r="D4" s="249"/>
      <c r="E4" s="249"/>
      <c r="F4" s="249"/>
      <c r="G4" s="249"/>
      <c r="H4" s="249"/>
      <c r="I4" s="249"/>
      <c r="J4" s="249"/>
      <c r="K4" s="249"/>
      <c r="L4" s="249"/>
      <c r="M4" s="249"/>
      <c r="N4" s="249"/>
      <c r="O4" s="249"/>
      <c r="P4" s="250"/>
    </row>
    <row r="5" ht="24.75">
      <c r="A5" s="241"/>
      <c r="B5" s="13" t="s">
        <v>4</v>
      </c>
      <c r="C5" s="245"/>
      <c r="D5" s="246"/>
      <c r="E5" s="246"/>
      <c r="F5" s="246"/>
      <c r="G5" s="246"/>
      <c r="H5" s="246"/>
      <c r="I5" s="246"/>
      <c r="J5" s="246"/>
      <c r="K5" s="246"/>
      <c r="L5" s="246"/>
      <c r="M5" s="246"/>
      <c r="N5" s="246"/>
      <c r="O5" s="246"/>
      <c r="P5" s="247"/>
    </row>
    <row r="6" ht="25.15" s="22" customFormat="1">
      <c r="A6" s="241"/>
      <c r="B6" s="32" t="s">
        <v>5</v>
      </c>
      <c r="C6" s="248"/>
      <c r="D6" s="249"/>
      <c r="E6" s="249"/>
      <c r="F6" s="249"/>
      <c r="G6" s="249"/>
      <c r="H6" s="249"/>
      <c r="I6" s="249"/>
      <c r="J6" s="249"/>
      <c r="K6" s="249"/>
      <c r="L6" s="249"/>
      <c r="M6" s="249"/>
      <c r="N6" s="249"/>
      <c r="O6" s="249"/>
      <c r="P6" s="250"/>
    </row>
    <row r="7" ht="17.25">
      <c r="A7" s="241"/>
      <c r="B7" s="8" t="s">
        <v>6</v>
      </c>
      <c r="C7" s="226"/>
      <c r="D7" s="227"/>
      <c r="E7" s="227"/>
      <c r="F7" s="227"/>
      <c r="G7" s="227"/>
      <c r="H7" s="228"/>
      <c r="I7" s="227"/>
      <c r="J7" s="227"/>
      <c r="K7" s="227"/>
      <c r="L7" s="228"/>
      <c r="M7" s="227"/>
      <c r="N7" s="227"/>
      <c r="O7" s="228"/>
      <c r="P7" s="90"/>
    </row>
    <row r="8" ht="17.65" s="22" customFormat="1">
      <c r="A8" s="241"/>
      <c r="B8" s="9" t="s">
        <v>8</v>
      </c>
      <c r="C8" s="229"/>
      <c r="D8" s="230"/>
      <c r="E8" s="230"/>
      <c r="F8" s="230"/>
      <c r="G8" s="230"/>
      <c r="H8" s="231"/>
      <c r="I8" s="229"/>
      <c r="J8" s="230"/>
      <c r="K8" s="230"/>
      <c r="L8" s="231"/>
      <c r="M8" s="229"/>
      <c r="N8" s="230"/>
      <c r="O8" s="231"/>
      <c r="P8" s="74"/>
    </row>
    <row r="9" ht="17.25">
      <c r="A9" s="241"/>
      <c r="B9" s="8" t="s">
        <v>9</v>
      </c>
      <c r="C9" s="211"/>
      <c r="D9" s="212"/>
      <c r="E9" s="212"/>
      <c r="F9" s="212"/>
      <c r="G9" s="212"/>
      <c r="H9" s="213"/>
      <c r="I9" s="212"/>
      <c r="J9" s="212"/>
      <c r="K9" s="212"/>
      <c r="L9" s="213"/>
      <c r="M9" s="212"/>
      <c r="N9" s="212"/>
      <c r="O9" s="213"/>
      <c r="P9" s="73"/>
    </row>
    <row r="10" ht="17.65" s="22" customFormat="1">
      <c r="A10" s="241"/>
      <c r="B10" s="10" t="s">
        <v>11</v>
      </c>
      <c r="C10" s="229"/>
      <c r="D10" s="230"/>
      <c r="E10" s="230"/>
      <c r="F10" s="230"/>
      <c r="G10" s="230"/>
      <c r="H10" s="231"/>
      <c r="I10" s="229"/>
      <c r="J10" s="230"/>
      <c r="K10" s="230"/>
      <c r="L10" s="231"/>
      <c r="M10" s="229"/>
      <c r="N10" s="230"/>
      <c r="O10" s="231"/>
      <c r="P10" s="74"/>
    </row>
    <row r="11" ht="17.25">
      <c r="A11" s="241"/>
      <c r="B11" s="8" t="s">
        <v>12</v>
      </c>
      <c r="C11" s="211"/>
      <c r="D11" s="212"/>
      <c r="E11" s="212"/>
      <c r="F11" s="212"/>
      <c r="G11" s="212"/>
      <c r="H11" s="213"/>
      <c r="I11" s="212"/>
      <c r="J11" s="212"/>
      <c r="K11" s="212"/>
      <c r="L11" s="213"/>
      <c r="M11" s="212"/>
      <c r="N11" s="212"/>
      <c r="O11" s="213"/>
      <c r="P11" s="73"/>
    </row>
    <row r="12" ht="17.65" s="22" customFormat="1">
      <c r="A12" s="241"/>
      <c r="B12" s="10" t="s">
        <v>13</v>
      </c>
      <c r="C12" s="214"/>
      <c r="D12" s="215"/>
      <c r="E12" s="215"/>
      <c r="F12" s="215"/>
      <c r="G12" s="215"/>
      <c r="H12" s="216"/>
      <c r="I12" s="214"/>
      <c r="J12" s="215"/>
      <c r="K12" s="215"/>
      <c r="L12" s="216"/>
      <c r="M12" s="214"/>
      <c r="N12" s="215"/>
      <c r="O12" s="216"/>
      <c r="P12" s="74"/>
    </row>
    <row r="13" ht="17.25">
      <c r="A13" s="241"/>
      <c r="B13" s="8" t="s">
        <v>14</v>
      </c>
      <c r="C13" s="211"/>
      <c r="D13" s="212"/>
      <c r="E13" s="212"/>
      <c r="F13" s="212"/>
      <c r="G13" s="212"/>
      <c r="H13" s="213"/>
      <c r="I13" s="212"/>
      <c r="J13" s="212"/>
      <c r="K13" s="212"/>
      <c r="L13" s="213"/>
      <c r="M13" s="212"/>
      <c r="N13" s="212"/>
      <c r="O13" s="213"/>
      <c r="P13" s="73"/>
    </row>
    <row r="14" ht="17.65" s="22" customFormat="1">
      <c r="A14" s="241"/>
      <c r="B14" s="10" t="s">
        <v>15</v>
      </c>
      <c r="C14" s="208"/>
      <c r="D14" s="209"/>
      <c r="E14" s="209"/>
      <c r="F14" s="209"/>
      <c r="G14" s="209"/>
      <c r="H14" s="210"/>
      <c r="I14" s="208"/>
      <c r="J14" s="209"/>
      <c r="K14" s="209"/>
      <c r="L14" s="210"/>
      <c r="M14" s="208"/>
      <c r="N14" s="209"/>
      <c r="O14" s="210"/>
      <c r="P14" s="81"/>
    </row>
    <row r="15" ht="17.25">
      <c r="A15" s="241"/>
      <c r="B15" s="8" t="s">
        <v>16</v>
      </c>
      <c r="C15" s="211"/>
      <c r="D15" s="212"/>
      <c r="E15" s="212"/>
      <c r="F15" s="212"/>
      <c r="G15" s="212"/>
      <c r="H15" s="213"/>
      <c r="I15" s="212"/>
      <c r="J15" s="212"/>
      <c r="K15" s="212"/>
      <c r="L15" s="213"/>
      <c r="M15" s="212"/>
      <c r="N15" s="212"/>
      <c r="O15" s="213"/>
      <c r="P15" s="80"/>
    </row>
    <row r="16" ht="17.25" s="22" customFormat="1">
      <c r="A16" s="241"/>
      <c r="B16" s="68" t="s">
        <v>17</v>
      </c>
      <c r="C16" s="199"/>
      <c r="D16" s="200"/>
      <c r="E16" s="200"/>
      <c r="F16" s="200"/>
      <c r="G16" s="200"/>
      <c r="H16" s="201"/>
      <c r="I16" s="202"/>
      <c r="J16" s="203"/>
      <c r="K16" s="203"/>
      <c r="L16" s="204"/>
      <c r="M16" s="202"/>
      <c r="N16" s="203"/>
      <c r="O16" s="204"/>
      <c r="P16" s="75"/>
    </row>
    <row r="17" ht="17.25">
      <c r="A17" s="256"/>
      <c r="B17" s="70" t="s">
        <v>18</v>
      </c>
      <c r="C17" s="63" t="s">
        <v>19</v>
      </c>
      <c r="D17" s="64" t="s">
        <v>20</v>
      </c>
      <c r="E17" s="64" t="s">
        <v>21</v>
      </c>
      <c r="F17" s="64" t="s">
        <v>22</v>
      </c>
      <c r="G17" s="64" t="s">
        <v>23</v>
      </c>
      <c r="H17" s="65" t="s">
        <v>24</v>
      </c>
      <c r="I17" s="63" t="s">
        <v>19</v>
      </c>
      <c r="J17" s="64" t="s">
        <v>20</v>
      </c>
      <c r="K17" s="64" t="s">
        <v>21</v>
      </c>
      <c r="L17" s="65" t="s">
        <v>22</v>
      </c>
      <c r="M17" s="63" t="s">
        <v>19</v>
      </c>
      <c r="N17" s="64" t="s">
        <v>20</v>
      </c>
      <c r="O17" s="65" t="s">
        <v>21</v>
      </c>
      <c r="P17" s="76" t="s">
        <v>19</v>
      </c>
    </row>
    <row r="18" ht="17.25">
      <c r="A18" s="256"/>
      <c r="B18" s="70" t="s">
        <v>25</v>
      </c>
      <c r="C18" s="63"/>
      <c r="D18" s="64"/>
      <c r="E18" s="64"/>
      <c r="F18" s="64"/>
      <c r="G18" s="64"/>
      <c r="H18" s="65"/>
      <c r="I18" s="63"/>
      <c r="J18" s="64"/>
      <c r="K18" s="64"/>
      <c r="L18" s="65"/>
      <c r="M18" s="63"/>
      <c r="N18" s="64"/>
      <c r="O18" s="65"/>
      <c r="P18" s="77"/>
    </row>
    <row r="19" ht="17.25">
      <c r="A19" s="256"/>
      <c r="B19" s="71" t="s">
        <v>32</v>
      </c>
      <c r="C19" s="105">
        <f>VLOOKUP(C8,AntennasPortName!A:H,2,FALSE)</f>
      </c>
      <c r="D19" s="105">
        <f>VLOOKUP(C8,AntennasPortName!A:H,3,FALSE)</f>
      </c>
      <c r="E19" s="105">
        <f>VLOOKUP(C8,AntennasPortName!A:H,4,FALSE)</f>
      </c>
      <c r="F19" s="105">
        <f>VLOOKUP(C8,AntennasPortName!A:H,5,FALSE)</f>
      </c>
      <c r="G19" s="105">
        <f>VLOOKUP(C8,AntennasPortName!A:H,6,FALSE)</f>
      </c>
      <c r="H19" s="105">
        <f>VLOOKUP(C8,AntennasPortName!A:H,7,FALSE)</f>
      </c>
      <c r="I19" s="105">
        <f>VLOOKUP(I8,AntennasPortName!A:H,2,FALSE)</f>
      </c>
      <c r="J19" s="105">
        <f>VLOOKUP(I8,AntennasPortName!A:H,3,FALSE)</f>
      </c>
      <c r="K19" s="105">
        <f>VLOOKUP(I8,AntennasPortName!A:H,4,FALSE)</f>
      </c>
      <c r="L19" s="105">
        <f>VLOOKUP(I8,AntennasPortName!A:H,5,FALSE)</f>
      </c>
      <c r="M19" s="105">
        <f>VLOOKUP(M8,AntennasPortName!A:H,2,FALSE)</f>
      </c>
      <c r="N19" s="105">
        <f>VLOOKUP(M8,AntennasPortName!A:H,3,FALSE)</f>
      </c>
      <c r="O19" s="105">
        <f>VLOOKUP(M8,AntennasPortName!A:H,4,FALSE)</f>
      </c>
      <c r="P19" s="99">
        <f>VLOOKUP(P8,AntennasPortName!A:H,2,FALSE)</f>
      </c>
    </row>
    <row r="20" ht="17.25">
      <c r="A20" s="241"/>
      <c r="B20" s="69" t="s">
        <v>33</v>
      </c>
      <c r="C20" s="61"/>
      <c r="D20" s="62"/>
      <c r="E20" s="62"/>
      <c r="F20" s="62"/>
      <c r="G20" s="62"/>
      <c r="H20" s="62"/>
      <c r="I20" s="61"/>
      <c r="J20" s="62"/>
      <c r="K20" s="62"/>
      <c r="L20" s="66"/>
      <c r="M20" s="67"/>
      <c r="N20" s="62"/>
      <c r="O20" s="66"/>
      <c r="P20" s="66"/>
    </row>
    <row r="21" ht="17.65">
      <c r="A21" s="241"/>
      <c r="B21" s="18" t="s">
        <v>36</v>
      </c>
      <c r="C21" s="42">
        <f>VLOOKUP(C8,Antennas!A:H,2,FALSE)</f>
      </c>
      <c r="D21" s="43">
        <f>VLOOKUP(C8,Antennas!A:H,3,FALSE)</f>
      </c>
      <c r="E21" s="43">
        <f>VLOOKUP(C8,Antennas!A:H,4,FALSE)</f>
      </c>
      <c r="F21" s="43">
        <f>VLOOKUP(C8,Antennas!A:H,5,FALSE)</f>
      </c>
      <c r="G21" s="43">
        <f>VLOOKUP(C8,Antennas!A:H,6,FALSE)</f>
      </c>
      <c r="H21" s="43">
        <f>VLOOKUP(C8,Antennas!A:H,7,FALSE)</f>
      </c>
      <c r="I21" s="43">
        <f>VLOOKUP(I8,Antennas!A:H,2,FALSE)</f>
      </c>
      <c r="J21" s="43">
        <f>VLOOKUP(I8,Antennas!A:H,3,FALSE)</f>
      </c>
      <c r="K21" s="43">
        <f>VLOOKUP(I8,Antennas!A:H,4,FALSE)</f>
      </c>
      <c r="L21" s="44">
        <f>VLOOKUP(I8,Antennas!A:H,5,FALSE)</f>
      </c>
      <c r="M21" s="45">
        <f>VLOOKUP(M8,Antennas!A:H,2,FALSE)</f>
      </c>
      <c r="N21" s="43">
        <f>VLOOKUP(M8,Antennas!A:H,3,FALSE)</f>
      </c>
      <c r="O21" s="42">
        <f>VLOOKUP(M8,Antennas!A:H,4,FALSE)</f>
      </c>
      <c r="P21" s="42">
        <f>VLOOKUP(P8,Antennas!A:H,2,FALSE)</f>
      </c>
      <c r="R21" s="17"/>
    </row>
    <row r="22" ht="17.65" s="22" customFormat="1">
      <c r="A22" s="241"/>
      <c r="B22" s="28" t="s">
        <v>37</v>
      </c>
      <c r="C22" s="46"/>
      <c r="D22" s="47"/>
      <c r="E22" s="47"/>
      <c r="F22" s="47"/>
      <c r="G22" s="47"/>
      <c r="H22" s="47"/>
      <c r="I22" s="47"/>
      <c r="J22" s="47"/>
      <c r="K22" s="47"/>
      <c r="L22" s="48"/>
      <c r="M22" s="49"/>
      <c r="N22" s="47"/>
      <c r="O22" s="50"/>
      <c r="P22" s="50"/>
    </row>
    <row r="23" ht="17.65" s="22" customFormat="1">
      <c r="A23" s="241"/>
      <c r="B23" s="28" t="s">
        <v>38</v>
      </c>
      <c r="C23" s="46"/>
      <c r="D23" s="46"/>
      <c r="E23" s="46"/>
      <c r="F23" s="46"/>
      <c r="G23" s="46"/>
      <c r="H23" s="46"/>
      <c r="I23" s="46"/>
      <c r="J23" s="46"/>
      <c r="K23" s="46"/>
      <c r="L23" s="46"/>
      <c r="M23" s="46"/>
      <c r="N23" s="46"/>
      <c r="O23" s="46"/>
      <c r="P23" s="46"/>
    </row>
    <row r="24" ht="17.25">
      <c r="A24" s="241"/>
      <c r="B24" s="11" t="s">
        <v>39</v>
      </c>
      <c r="C24" s="25"/>
      <c r="D24" s="25"/>
      <c r="E24" s="25"/>
      <c r="F24" s="25"/>
      <c r="G24" s="25"/>
      <c r="H24" s="25"/>
      <c r="I24" s="25"/>
      <c r="J24" s="25"/>
      <c r="K24" s="25"/>
      <c r="L24" s="25"/>
      <c r="M24" s="25"/>
      <c r="N24" s="25"/>
      <c r="O24" s="25"/>
      <c r="P24" s="25"/>
    </row>
    <row r="25" ht="17.65" s="22" customFormat="1">
      <c r="A25" s="241"/>
      <c r="B25" s="29" t="s">
        <v>43</v>
      </c>
      <c r="C25" s="51"/>
      <c r="D25" s="51"/>
      <c r="E25" s="51"/>
      <c r="F25" s="51"/>
      <c r="G25" s="51"/>
      <c r="H25" s="51"/>
      <c r="I25" s="51"/>
      <c r="J25" s="51"/>
      <c r="K25" s="51"/>
      <c r="L25" s="51"/>
      <c r="M25" s="51"/>
      <c r="N25" s="51"/>
      <c r="O25" s="51"/>
      <c r="P25" s="78"/>
    </row>
    <row r="26" ht="17.25">
      <c r="A26" s="241"/>
      <c r="B26" s="27" t="s">
        <v>44</v>
      </c>
      <c r="C26" s="24"/>
      <c r="D26" s="24"/>
      <c r="E26" s="24"/>
      <c r="F26" s="24"/>
      <c r="G26" s="24"/>
      <c r="H26" s="24"/>
      <c r="I26" s="24"/>
      <c r="J26" s="24"/>
      <c r="K26" s="24"/>
      <c r="L26" s="24"/>
      <c r="M26" s="24"/>
      <c r="N26" s="24"/>
      <c r="O26" s="24"/>
      <c r="P26" s="24"/>
    </row>
    <row r="27" ht="17.65" s="22" customFormat="1">
      <c r="A27" s="241"/>
      <c r="B27" s="30" t="s">
        <v>45</v>
      </c>
      <c r="C27" s="52"/>
      <c r="D27" s="52"/>
      <c r="E27" s="52"/>
      <c r="F27" s="52"/>
      <c r="G27" s="52"/>
      <c r="H27" s="52"/>
      <c r="I27" s="52"/>
      <c r="J27" s="52"/>
      <c r="K27" s="52"/>
      <c r="L27" s="52"/>
      <c r="M27" s="52"/>
      <c r="N27" s="52"/>
      <c r="O27" s="52"/>
      <c r="P27" s="52"/>
    </row>
    <row r="28" ht="17.25">
      <c r="A28" s="241"/>
      <c r="B28" s="11" t="s">
        <v>46</v>
      </c>
      <c r="C28" s="24"/>
      <c r="D28" s="24"/>
      <c r="E28" s="24"/>
      <c r="F28" s="24"/>
      <c r="G28" s="24"/>
      <c r="H28" s="24"/>
      <c r="I28" s="24"/>
      <c r="J28" s="24"/>
      <c r="K28" s="24"/>
      <c r="L28" s="24"/>
      <c r="M28" s="24"/>
      <c r="N28" s="24"/>
      <c r="O28" s="24"/>
      <c r="P28" s="24"/>
    </row>
    <row r="29" ht="17.65" s="22" customFormat="1">
      <c r="A29" s="241"/>
      <c r="B29" s="31" t="s">
        <v>47</v>
      </c>
      <c r="C29" s="51"/>
      <c r="D29" s="51"/>
      <c r="E29" s="51"/>
      <c r="F29" s="51"/>
      <c r="G29" s="51"/>
      <c r="H29" s="51"/>
      <c r="I29" s="51"/>
      <c r="J29" s="51"/>
      <c r="K29" s="51"/>
      <c r="L29" s="51"/>
      <c r="M29" s="51"/>
      <c r="N29" s="51"/>
      <c r="O29" s="51"/>
      <c r="P29" s="78"/>
    </row>
    <row r="30" ht="17.25">
      <c r="A30" s="241"/>
      <c r="B30" s="27" t="s">
        <v>48</v>
      </c>
      <c r="C30" s="24"/>
      <c r="D30" s="24"/>
      <c r="E30" s="24"/>
      <c r="F30" s="24"/>
      <c r="G30" s="24"/>
      <c r="H30" s="24"/>
      <c r="I30" s="24"/>
      <c r="J30" s="24"/>
      <c r="K30" s="24"/>
      <c r="L30" s="24"/>
      <c r="M30" s="24"/>
      <c r="N30" s="24"/>
      <c r="O30" s="24"/>
      <c r="P30" s="24"/>
    </row>
    <row r="31" ht="17.65" s="22" customFormat="1">
      <c r="A31" s="241"/>
      <c r="B31" s="30" t="s">
        <v>50</v>
      </c>
      <c r="C31" s="53"/>
      <c r="D31" s="53"/>
      <c r="E31" s="53"/>
      <c r="F31" s="53"/>
      <c r="G31" s="53"/>
      <c r="H31" s="53"/>
      <c r="I31" s="53"/>
      <c r="J31" s="53"/>
      <c r="K31" s="53"/>
      <c r="L31" s="53"/>
      <c r="M31" s="53"/>
      <c r="N31" s="53"/>
      <c r="O31" s="53"/>
      <c r="P31" s="79"/>
    </row>
    <row r="32" ht="17.25">
      <c r="A32" s="241"/>
      <c r="B32" s="11" t="s">
        <v>51</v>
      </c>
      <c r="C32" s="25"/>
      <c r="D32" s="25"/>
      <c r="E32" s="25"/>
      <c r="F32" s="25"/>
      <c r="G32" s="25"/>
      <c r="H32" s="25"/>
      <c r="I32" s="25"/>
      <c r="J32" s="25"/>
      <c r="K32" s="25"/>
      <c r="L32" s="25"/>
      <c r="M32" s="25"/>
      <c r="N32" s="25"/>
      <c r="O32" s="25"/>
      <c r="P32" s="25"/>
    </row>
    <row r="33" ht="17.65" s="22" customFormat="1">
      <c r="A33" s="241"/>
      <c r="B33" s="30" t="s">
        <v>52</v>
      </c>
      <c r="C33" s="51"/>
      <c r="D33" s="51"/>
      <c r="E33" s="51"/>
      <c r="F33" s="51"/>
      <c r="G33" s="51"/>
      <c r="H33" s="51"/>
      <c r="I33" s="51"/>
      <c r="J33" s="51"/>
      <c r="K33" s="51"/>
      <c r="L33" s="51"/>
      <c r="M33" s="51"/>
      <c r="N33" s="51"/>
      <c r="O33" s="51"/>
      <c r="P33" s="78"/>
    </row>
    <row r="34" ht="17.25">
      <c r="A34" s="241"/>
      <c r="B34" s="27" t="s">
        <v>53</v>
      </c>
      <c r="C34" s="24"/>
      <c r="D34" s="24"/>
      <c r="E34" s="24"/>
      <c r="F34" s="24"/>
      <c r="G34" s="24"/>
      <c r="H34" s="24"/>
      <c r="I34" s="24"/>
      <c r="J34" s="24"/>
      <c r="K34" s="24"/>
      <c r="L34" s="24"/>
      <c r="M34" s="24"/>
      <c r="N34" s="24"/>
      <c r="O34" s="24"/>
      <c r="P34" s="24"/>
      <c r="U34" s="22"/>
    </row>
    <row r="35" ht="17.65" s="22" customFormat="1">
      <c r="A35" s="241"/>
      <c r="B35" s="28" t="s">
        <v>56</v>
      </c>
      <c r="C35" s="51"/>
      <c r="D35" s="51"/>
      <c r="E35" s="51"/>
      <c r="F35" s="51"/>
      <c r="G35" s="51"/>
      <c r="H35" s="51"/>
      <c r="I35" s="51"/>
      <c r="J35" s="51"/>
      <c r="K35" s="51"/>
      <c r="L35" s="51"/>
      <c r="M35" s="51"/>
      <c r="N35" s="51"/>
      <c r="O35" s="51"/>
      <c r="P35" s="78"/>
      <c r="U35" s="21"/>
    </row>
    <row r="36" ht="17.25">
      <c r="A36" s="241"/>
      <c r="B36" s="11" t="s">
        <v>57</v>
      </c>
      <c r="C36" s="25"/>
      <c r="D36" s="25"/>
      <c r="E36" s="25"/>
      <c r="F36" s="25"/>
      <c r="G36" s="25"/>
      <c r="H36" s="25"/>
      <c r="I36" s="25"/>
      <c r="J36" s="25"/>
      <c r="K36" s="25"/>
      <c r="L36" s="25"/>
      <c r="M36" s="25"/>
      <c r="N36" s="25"/>
      <c r="O36" s="25"/>
      <c r="P36" s="25"/>
    </row>
    <row r="37" ht="17.65" s="22" customFormat="1">
      <c r="A37" s="241"/>
      <c r="B37" s="28" t="s">
        <v>60</v>
      </c>
      <c r="C37" s="51"/>
      <c r="D37" s="51"/>
      <c r="E37" s="51"/>
      <c r="F37" s="51"/>
      <c r="G37" s="51"/>
      <c r="H37" s="51"/>
      <c r="I37" s="51"/>
      <c r="J37" s="51"/>
      <c r="K37" s="51"/>
      <c r="L37" s="51"/>
      <c r="M37" s="51"/>
      <c r="N37" s="51"/>
      <c r="O37" s="51"/>
      <c r="P37" s="78"/>
    </row>
    <row r="38" ht="17.25">
      <c r="A38" s="241"/>
      <c r="B38" s="11" t="s">
        <v>61</v>
      </c>
      <c r="C38" s="25"/>
      <c r="D38" s="25"/>
      <c r="E38" s="25"/>
      <c r="F38" s="25"/>
      <c r="G38" s="25"/>
      <c r="H38" s="25"/>
      <c r="I38" s="25"/>
      <c r="J38" s="25"/>
      <c r="K38" s="25"/>
      <c r="L38" s="25"/>
      <c r="M38" s="25"/>
      <c r="N38" s="25"/>
      <c r="O38" s="25"/>
      <c r="P38" s="25"/>
    </row>
    <row r="39" ht="17.65" s="22" customFormat="1">
      <c r="A39" s="241"/>
      <c r="B39" s="28" t="s">
        <v>64</v>
      </c>
      <c r="C39" s="51"/>
      <c r="D39" s="51"/>
      <c r="E39" s="51"/>
      <c r="F39" s="51"/>
      <c r="G39" s="51"/>
      <c r="H39" s="51"/>
      <c r="I39" s="51"/>
      <c r="J39" s="51"/>
      <c r="K39" s="51"/>
      <c r="L39" s="51"/>
      <c r="M39" s="51"/>
      <c r="N39" s="51"/>
      <c r="O39" s="51"/>
      <c r="P39" s="78"/>
    </row>
    <row r="40" ht="17.25">
      <c r="A40" s="241"/>
      <c r="B40" s="11" t="s">
        <v>65</v>
      </c>
      <c r="C40" s="26"/>
      <c r="D40" s="26"/>
      <c r="E40" s="26"/>
      <c r="F40" s="26"/>
      <c r="G40" s="26"/>
      <c r="H40" s="26"/>
      <c r="I40" s="26"/>
      <c r="J40" s="26"/>
      <c r="K40" s="26"/>
      <c r="L40" s="26"/>
      <c r="M40" s="26"/>
      <c r="N40" s="26"/>
      <c r="O40" s="26"/>
      <c r="P40" s="26"/>
    </row>
    <row r="41" ht="17.65" s="22" customFormat="1">
      <c r="A41" s="241"/>
      <c r="B41" s="29" t="s">
        <v>66</v>
      </c>
      <c r="C41" s="51"/>
      <c r="D41" s="51"/>
      <c r="E41" s="51"/>
      <c r="F41" s="51"/>
      <c r="G41" s="51"/>
      <c r="H41" s="51"/>
      <c r="I41" s="51"/>
      <c r="J41" s="51"/>
      <c r="K41" s="51"/>
      <c r="L41" s="51"/>
      <c r="M41" s="51"/>
      <c r="N41" s="51"/>
      <c r="O41" s="51"/>
      <c r="P41" s="78"/>
    </row>
    <row r="42" ht="12.75" customHeight="1">
      <c r="A42" s="223" t="s">
        <v>67</v>
      </c>
      <c r="B42" s="232"/>
      <c r="C42" s="233"/>
      <c r="D42" s="233"/>
      <c r="E42" s="233"/>
      <c r="F42" s="233"/>
      <c r="G42" s="233"/>
      <c r="H42" s="233"/>
      <c r="I42" s="233"/>
      <c r="J42" s="233"/>
      <c r="K42" s="233"/>
      <c r="L42" s="233"/>
      <c r="M42" s="233"/>
      <c r="N42" s="233"/>
      <c r="O42" s="233"/>
      <c r="P42" s="234"/>
      <c r="Q42" s="22"/>
      <c r="R42" s="22"/>
      <c r="S42" s="22"/>
    </row>
    <row r="43" ht="13.15" customHeight="1">
      <c r="A43" s="224"/>
      <c r="B43" s="235"/>
      <c r="C43" s="236"/>
      <c r="D43" s="236"/>
      <c r="E43" s="236"/>
      <c r="F43" s="236"/>
      <c r="G43" s="236"/>
      <c r="H43" s="236"/>
      <c r="I43" s="236"/>
      <c r="J43" s="236"/>
      <c r="K43" s="236"/>
      <c r="L43" s="236"/>
      <c r="M43" s="236"/>
      <c r="N43" s="236"/>
      <c r="O43" s="236"/>
      <c r="P43" s="237"/>
      <c r="Q43" s="22"/>
      <c r="R43" s="22"/>
      <c r="S43" s="22"/>
    </row>
    <row r="44" ht="13.15" customHeight="1">
      <c r="A44" s="224"/>
      <c r="B44" s="235"/>
      <c r="C44" s="236"/>
      <c r="D44" s="236"/>
      <c r="E44" s="236"/>
      <c r="F44" s="236"/>
      <c r="G44" s="236"/>
      <c r="H44" s="236"/>
      <c r="I44" s="236"/>
      <c r="J44" s="236"/>
      <c r="K44" s="236"/>
      <c r="L44" s="236"/>
      <c r="M44" s="236"/>
      <c r="N44" s="236"/>
      <c r="O44" s="236"/>
      <c r="P44" s="237"/>
      <c r="Q44" s="22"/>
      <c r="R44" s="22"/>
      <c r="S44" s="22"/>
    </row>
    <row r="45" ht="13.9" customHeight="1">
      <c r="A45" s="225"/>
      <c r="B45" s="238"/>
      <c r="C45" s="239"/>
      <c r="D45" s="239"/>
      <c r="E45" s="239"/>
      <c r="F45" s="239"/>
      <c r="G45" s="239"/>
      <c r="H45" s="239"/>
      <c r="I45" s="239"/>
      <c r="J45" s="239"/>
      <c r="K45" s="239"/>
      <c r="L45" s="239"/>
      <c r="M45" s="239"/>
      <c r="N45" s="239"/>
      <c r="O45" s="239"/>
      <c r="P45" s="240"/>
      <c r="Q45" s="22"/>
      <c r="R45" s="22"/>
      <c r="S45" s="22"/>
    </row>
  </sheetData>
  <mergeCells>
    <mergeCell ref="M14:O14"/>
    <mergeCell ref="M10:O10"/>
    <mergeCell ref="C11:H11"/>
    <mergeCell ref="I11:L11"/>
    <mergeCell ref="M11:O11"/>
    <mergeCell ref="C12:H12"/>
    <mergeCell ref="I12:L12"/>
    <mergeCell ref="M12:O12"/>
    <mergeCell ref="C10:H10"/>
    <mergeCell ref="I10:L10"/>
    <mergeCell ref="A34:A35"/>
    <mergeCell ref="A36:A41"/>
    <mergeCell ref="A42:A45"/>
    <mergeCell ref="C15:H15"/>
    <mergeCell ref="I15:L15"/>
    <mergeCell ref="B42:P45"/>
    <mergeCell ref="M15:O15"/>
    <mergeCell ref="C16:H16"/>
    <mergeCell ref="I16:L16"/>
    <mergeCell ref="M16:O16"/>
    <mergeCell ref="A3:A33"/>
    <mergeCell ref="C13:H13"/>
    <mergeCell ref="I13:L13"/>
    <mergeCell ref="M13:O13"/>
    <mergeCell ref="C14:H14"/>
    <mergeCell ref="I14:L14"/>
    <mergeCell ref="A1:B1"/>
    <mergeCell ref="C2:H2"/>
    <mergeCell ref="I2:L2"/>
    <mergeCell ref="M2:O2"/>
    <mergeCell ref="C1:P1"/>
    <mergeCell ref="C3:P3"/>
    <mergeCell ref="C4:P4"/>
    <mergeCell ref="C5:P5"/>
    <mergeCell ref="C6:P6"/>
    <mergeCell ref="C7:H7"/>
    <mergeCell ref="I7:L7"/>
    <mergeCell ref="M7:O7"/>
    <mergeCell ref="C8:H8"/>
    <mergeCell ref="I8:L8"/>
    <mergeCell ref="M8:O8"/>
    <mergeCell ref="C9:H9"/>
    <mergeCell ref="I9:L9"/>
    <mergeCell ref="M9:O9"/>
  </mergeCells>
  <conditionalFormatting sqref="C22:E22 C4 H22:O22">
    <cfRule type="cellIs" dxfId="0" priority="49" operator="greaterThan">
      <formula>0</formula>
    </cfRule>
  </conditionalFormatting>
  <conditionalFormatting sqref="C21:E21 H21:O21">
    <cfRule type="expression" dxfId="1" priority="48">
      <formula>ISERROR(C21)</formula>
    </cfRule>
  </conditionalFormatting>
  <conditionalFormatting sqref="C21:E21 H21:O21">
    <cfRule type="cellIs" dxfId="1" priority="47" operator="equal">
      <formula>0</formula>
    </cfRule>
  </conditionalFormatting>
  <conditionalFormatting sqref="C21:E21 H21:O21">
    <cfRule type="cellIs" dxfId="3" priority="46" operator="greaterThan">
      <formula>0</formula>
    </cfRule>
  </conditionalFormatting>
  <conditionalFormatting sqref="C27:O27 D29:O29 D33:O33">
    <cfRule type="cellIs" dxfId="0" priority="45" operator="notEqual">
      <formula>VALUE(C26)</formula>
    </cfRule>
  </conditionalFormatting>
  <conditionalFormatting sqref="C8:O8 C10:O10 C12:O12 C14:O14 C16:O16 C27:O27 D29:O29 D31:O31 D33:O33 D35:O35 D37:O37 D25:O25 D39:O39 D41:O41">
    <cfRule type="expression" dxfId="10" priority="41">
      <formula>ISBLANK(C8)</formula>
    </cfRule>
  </conditionalFormatting>
  <conditionalFormatting sqref="C29">
    <cfRule type="cellIs" dxfId="0" priority="43" operator="notEqual">
      <formula>VALUE(C28)</formula>
    </cfRule>
  </conditionalFormatting>
  <conditionalFormatting sqref="C29">
    <cfRule type="expression" dxfId="10" priority="42">
      <formula>ISBLANK(C29)</formula>
    </cfRule>
  </conditionalFormatting>
  <conditionalFormatting sqref="C8:O8 C10:O10 C12:O12 C14:O14 C16:O16 C31:O31 D35:O35 D37:O37 D25:O25 D39:O39 D41:O41">
    <cfRule type="cellIs" dxfId="0" priority="44" operator="notEqual">
      <formula>C7</formula>
    </cfRule>
  </conditionalFormatting>
  <conditionalFormatting sqref="C31">
    <cfRule type="expression" dxfId="10" priority="40">
      <formula>ISBLANK(C31)</formula>
    </cfRule>
  </conditionalFormatting>
  <conditionalFormatting sqref="C33">
    <cfRule type="cellIs" dxfId="0" priority="39" operator="notEqual">
      <formula>VALUE(C32)</formula>
    </cfRule>
  </conditionalFormatting>
  <conditionalFormatting sqref="C33">
    <cfRule type="expression" dxfId="10" priority="38">
      <formula>ISBLANK(C33)</formula>
    </cfRule>
  </conditionalFormatting>
  <conditionalFormatting sqref="C35">
    <cfRule type="cellIs" dxfId="0" priority="37" operator="notEqual">
      <formula>C34</formula>
    </cfRule>
  </conditionalFormatting>
  <conditionalFormatting sqref="C35">
    <cfRule type="expression" dxfId="10" priority="36">
      <formula>ISBLANK(C35)</formula>
    </cfRule>
  </conditionalFormatting>
  <conditionalFormatting sqref="C37">
    <cfRule type="cellIs" dxfId="0" priority="35" operator="notEqual">
      <formula>C36</formula>
    </cfRule>
  </conditionalFormatting>
  <conditionalFormatting sqref="C37">
    <cfRule type="expression" dxfId="10" priority="34">
      <formula>ISBLANK(C37)</formula>
    </cfRule>
  </conditionalFormatting>
  <conditionalFormatting sqref="C6">
    <cfRule type="expression" dxfId="10" priority="32">
      <formula>ISBLANK(C6)</formula>
    </cfRule>
    <cfRule type="cellIs" dxfId="0" priority="33" operator="notEqual">
      <formula>C5</formula>
    </cfRule>
  </conditionalFormatting>
  <conditionalFormatting sqref="C25">
    <cfRule type="cellIs" dxfId="0" priority="31" operator="notEqual">
      <formula>C24</formula>
    </cfRule>
  </conditionalFormatting>
  <conditionalFormatting sqref="C25">
    <cfRule type="expression" dxfId="10" priority="30">
      <formula>ISBLANK(C25)</formula>
    </cfRule>
  </conditionalFormatting>
  <conditionalFormatting sqref="C39">
    <cfRule type="cellIs" dxfId="0" priority="29" operator="notEqual">
      <formula>C38</formula>
    </cfRule>
  </conditionalFormatting>
  <conditionalFormatting sqref="C39">
    <cfRule type="expression" dxfId="10" priority="28">
      <formula>ISBLANK(C39)</formula>
    </cfRule>
  </conditionalFormatting>
  <conditionalFormatting sqref="C41">
    <cfRule type="cellIs" dxfId="0" priority="27" operator="notEqual">
      <formula>C40</formula>
    </cfRule>
  </conditionalFormatting>
  <conditionalFormatting sqref="C41">
    <cfRule type="expression" dxfId="10" priority="26">
      <formula>ISBLANK(C41)</formula>
    </cfRule>
  </conditionalFormatting>
  <conditionalFormatting sqref="C24:O41">
    <cfRule type="expression" dxfId="1" priority="25" stopIfTrue="1">
      <formula>OR(C$22="Free",C$22="Telenor",C$22="Mtel",C$22="Telenor&amp;Mtel")</formula>
    </cfRule>
  </conditionalFormatting>
  <conditionalFormatting sqref="F22:G22">
    <cfRule type="cellIs" dxfId="0" priority="24" operator="greaterThan">
      <formula>0</formula>
    </cfRule>
  </conditionalFormatting>
  <conditionalFormatting sqref="F21:G21">
    <cfRule type="expression" dxfId="1" priority="23">
      <formula>ISERROR(F21)</formula>
    </cfRule>
  </conditionalFormatting>
  <conditionalFormatting sqref="F21:G21">
    <cfRule type="cellIs" dxfId="1" priority="22" operator="equal">
      <formula>0</formula>
    </cfRule>
  </conditionalFormatting>
  <conditionalFormatting sqref="F21:G21">
    <cfRule type="cellIs" dxfId="3" priority="21" operator="greaterThan">
      <formula>0</formula>
    </cfRule>
  </conditionalFormatting>
  <conditionalFormatting sqref="C19">
    <cfRule type="cellIs" dxfId="1" priority="19" operator="equal">
      <formula>0</formula>
    </cfRule>
    <cfRule type="expression" dxfId="95" priority="20">
      <formula>ISERROR(C19)</formula>
    </cfRule>
  </conditionalFormatting>
  <conditionalFormatting sqref="D19:O19">
    <cfRule type="cellIs" dxfId="1" priority="17" operator="equal">
      <formula>0</formula>
    </cfRule>
    <cfRule type="expression" dxfId="95" priority="18">
      <formula>ISERROR(D19)</formula>
    </cfRule>
  </conditionalFormatting>
  <conditionalFormatting sqref="P22">
    <cfRule type="cellIs" dxfId="0" priority="11" operator="greaterThan">
      <formula>0</formula>
    </cfRule>
  </conditionalFormatting>
  <conditionalFormatting sqref="P21">
    <cfRule type="expression" dxfId="1" priority="10">
      <formula>ISERROR(P21)</formula>
    </cfRule>
  </conditionalFormatting>
  <conditionalFormatting sqref="P21">
    <cfRule type="cellIs" dxfId="1" priority="9" operator="equal">
      <formula>0</formula>
    </cfRule>
  </conditionalFormatting>
  <conditionalFormatting sqref="P21">
    <cfRule type="cellIs" dxfId="3" priority="8" operator="greaterThan">
      <formula>0</formula>
    </cfRule>
  </conditionalFormatting>
  <conditionalFormatting sqref="P27 P29 P33">
    <cfRule type="cellIs" dxfId="0" priority="7" operator="notEqual">
      <formula>VALUE(P26)</formula>
    </cfRule>
  </conditionalFormatting>
  <conditionalFormatting sqref="P8 P10 P12 P14 P16 P27 P29 P31 P33 P35 P37 P25 P39 P41">
    <cfRule type="expression" dxfId="10" priority="5">
      <formula>ISBLANK(P8)</formula>
    </cfRule>
  </conditionalFormatting>
  <conditionalFormatting sqref="P8 P10 P12 P14 P16 P31 P35 P37 P25 P39 P41">
    <cfRule type="cellIs" dxfId="0" priority="6" operator="notEqual">
      <formula>P7</formula>
    </cfRule>
  </conditionalFormatting>
  <conditionalFormatting sqref="P24:P41">
    <cfRule type="expression" dxfId="1" priority="4" stopIfTrue="1">
      <formula>OR(P$22="Free",P$22="Telenor",P$22="Mtel",P$22="Telenor&amp;Mtel")</formula>
    </cfRule>
  </conditionalFormatting>
  <conditionalFormatting sqref="P19">
    <cfRule type="cellIs" dxfId="1" priority="2" operator="equal">
      <formula>0</formula>
    </cfRule>
    <cfRule type="expression" dxfId="1" priority="3">
      <formula>ISERROR(P19)</formula>
    </cfRule>
  </conditionalFormatting>
  <conditionalFormatting sqref="C23:P23">
    <cfRule type="cellIs" dxfId="0" priority="1" operator="greaterThan">
      <formula>0</formula>
    </cfRule>
  </conditionalFormatting>
  <dataValidations count="165">
    <dataValidation type="list" xr:uid="{68DB1D29-2A4A-485C-9204-E973A7373EEF}" sqref="C2" showErrorMessage="1" errorTitle="An invalid feedback was entered" error="Please choose feedback from drop down only.">
      <formula1>"1,2,3"</formula1>
    </dataValidation>
    <dataValidation type="list" xr:uid="{821FBE47-F7A9-47DA-A1BA-D46647A43EF1}" sqref="D2" showErrorMessage="1" errorTitle="An invalid feedback was entered" error="Please choose feedback from drop down only.">
      <formula1>"1,2,3"</formula1>
    </dataValidation>
    <dataValidation type="list" xr:uid="{EE16C053-516A-44C7-A94E-B68A83AD162C}" sqref="E2" showErrorMessage="1" errorTitle="An invalid feedback was entered" error="Please choose feedback from drop down only.">
      <formula1>"1,2,3"</formula1>
    </dataValidation>
    <dataValidation type="list" xr:uid="{CE872937-127A-4F96-BF6D-DFE963BE2109}" sqref="F2" showErrorMessage="1" errorTitle="An invalid feedback was entered" error="Please choose feedback from drop down only.">
      <formula1>"1,2,3"</formula1>
    </dataValidation>
    <dataValidation type="list" xr:uid="{2BD2861B-1E60-4699-B23C-85188286AF86}" sqref="G2" showErrorMessage="1" errorTitle="An invalid feedback was entered" error="Please choose feedback from drop down only.">
      <formula1>"1,2,3"</formula1>
    </dataValidation>
    <dataValidation type="list" xr:uid="{061AD678-2A4C-4F78-8BBE-1B24380C64CB}" sqref="H2" showErrorMessage="1" errorTitle="An invalid feedback was entered" error="Please choose feedback from drop down only.">
      <formula1>"1,2,3"</formula1>
    </dataValidation>
    <dataValidation type="list" xr:uid="{ECD92CBD-1064-42E5-B8F4-A7F887060818}" sqref="I2" showErrorMessage="1" errorTitle="An invalid feedback was entered" error="Please choose feedback from drop down only.">
      <formula1>"1,2,3"</formula1>
    </dataValidation>
    <dataValidation type="list" xr:uid="{169DAC11-336A-44A5-BE14-F56101348F48}" sqref="J2" showErrorMessage="1" errorTitle="An invalid feedback was entered" error="Please choose feedback from drop down only.">
      <formula1>"1,2,3"</formula1>
    </dataValidation>
    <dataValidation type="list" xr:uid="{12D8B751-66A0-4483-96DE-4672C7123A5D}" sqref="K2" showErrorMessage="1" errorTitle="An invalid feedback was entered" error="Please choose feedback from drop down only.">
      <formula1>"1,2,3"</formula1>
    </dataValidation>
    <dataValidation type="list" xr:uid="{9F9D42ED-9ADD-449A-8338-39DBC6C9795A}" sqref="L2" showErrorMessage="1" errorTitle="An invalid feedback was entered" error="Please choose feedback from drop down only.">
      <formula1>"1,2,3"</formula1>
    </dataValidation>
    <dataValidation type="list" xr:uid="{734EDB06-4E3D-4D39-8982-9E50546B52E3}" sqref="M2" showErrorMessage="1" errorTitle="An invalid feedback was entered" error="Please choose feedback from drop down only.">
      <formula1>"1,2,3"</formula1>
    </dataValidation>
    <dataValidation type="list" xr:uid="{850512AD-5A59-46E6-BB0D-A6CF91030A52}" sqref="N2" showErrorMessage="1" errorTitle="An invalid feedback was entered" error="Please choose feedback from drop down only.">
      <formula1>"1,2,3"</formula1>
    </dataValidation>
    <dataValidation type="list" xr:uid="{6EF2F6CF-6D59-4CF2-B28E-AFE88E78E2AB}" sqref="O2" showErrorMessage="1" errorTitle="An invalid feedback was entered" error="Please choose feedback from drop down only.">
      <formula1>"1,2,3"</formula1>
    </dataValidation>
    <dataValidation type="list" xr:uid="{03E6E3ED-9FBF-4112-A2FC-7A62D8881CBE}" sqref="P2" showErrorMessage="1" errorTitle="An invalid feedback was entered" error="Please choose feedback from drop down only.">
      <formula1>"1,2,3"</formula1>
    </dataValidation>
    <dataValidation type="list" xr:uid="{58DB184E-C232-4511-8986-3FF700BD1EE9}" sqref="Q2" showErrorMessage="1" errorTitle="An invalid feedback was entered" error="Please choose feedback from drop down only.">
      <formula1>"1,2,3"</formula1>
    </dataValidation>
    <dataValidation type="list" xr:uid="{5DABD295-ABA2-440E-8FEE-5A6B3D49D70D}" sqref="C17" showErrorMessage="1" errorTitle="An invalid feedback was entered" error="Please choose feedback from drop down only.">
      <formula1>"1-2,3-4,5-6,7-8,9-10,N/A"</formula1>
    </dataValidation>
    <dataValidation type="list" xr:uid="{1C3F5FD4-3376-4E67-A297-DCBD996369AF}" sqref="D17" showErrorMessage="1" errorTitle="An invalid feedback was entered" error="Please choose feedback from drop down only.">
      <formula1>"1-2,3-4,5-6,7-8,9-10,N/A"</formula1>
    </dataValidation>
    <dataValidation type="list" xr:uid="{93279BEB-305F-4284-88C7-CB6DD3117199}" sqref="E17" showErrorMessage="1" errorTitle="An invalid feedback was entered" error="Please choose feedback from drop down only.">
      <formula1>"1-2,3-4,5-6,7-8,9-10,N/A"</formula1>
    </dataValidation>
    <dataValidation type="list" xr:uid="{3EA7371C-C994-4535-A9F9-DD7F6B5DAECF}" sqref="F17" showErrorMessage="1" errorTitle="An invalid feedback was entered" error="Please choose feedback from drop down only.">
      <formula1>"1-2,3-4,5-6,7-8,9-10,N/A"</formula1>
    </dataValidation>
    <dataValidation type="list" xr:uid="{66961256-0165-485D-8DBA-920F8133C507}" sqref="G17" showErrorMessage="1" errorTitle="An invalid feedback was entered" error="Please choose feedback from drop down only.">
      <formula1>"1-2,3-4,5-6,7-8,9-10,N/A"</formula1>
    </dataValidation>
    <dataValidation type="list" xr:uid="{90D999B8-463E-411F-9509-30FE2041E9FC}" sqref="H17" showErrorMessage="1" errorTitle="An invalid feedback was entered" error="Please choose feedback from drop down only.">
      <formula1>"1-2,3-4,5-6,7-8,9-10,N/A"</formula1>
    </dataValidation>
    <dataValidation type="list" xr:uid="{FA25FBD6-222B-48C9-BE9B-8865F57BE420}" sqref="I17" showErrorMessage="1" errorTitle="An invalid feedback was entered" error="Please choose feedback from drop down only.">
      <formula1>"1-2,3-4,5-6,7-8,9-10,N/A"</formula1>
    </dataValidation>
    <dataValidation type="list" xr:uid="{65B73251-6E23-4E41-90D6-8360E113E871}" sqref="J17" showErrorMessage="1" errorTitle="An invalid feedback was entered" error="Please choose feedback from drop down only.">
      <formula1>"1-2,3-4,5-6,7-8,9-10,N/A"</formula1>
    </dataValidation>
    <dataValidation type="list" xr:uid="{AA861362-B130-4722-A22A-073B68ED5D61}" sqref="K17" showErrorMessage="1" errorTitle="An invalid feedback was entered" error="Please choose feedback from drop down only.">
      <formula1>"1-2,3-4,5-6,7-8,9-10,N/A"</formula1>
    </dataValidation>
    <dataValidation type="list" xr:uid="{0BB2D377-C3B2-47BA-9934-ED01039459CD}" sqref="L17" showErrorMessage="1" errorTitle="An invalid feedback was entered" error="Please choose feedback from drop down only.">
      <formula1>"1-2,3-4,5-6,7-8,9-10,N/A"</formula1>
    </dataValidation>
    <dataValidation type="list" xr:uid="{33CF1D47-7897-4144-90BC-227AC84D6DD8}" sqref="M17" showErrorMessage="1" errorTitle="An invalid feedback was entered" error="Please choose feedback from drop down only.">
      <formula1>"1-2,3-4,5-6,7-8,9-10,N/A"</formula1>
    </dataValidation>
    <dataValidation type="list" xr:uid="{7838CB6B-B2EE-4D10-9D8B-B5E95F739A0D}" sqref="N17" showErrorMessage="1" errorTitle="An invalid feedback was entered" error="Please choose feedback from drop down only.">
      <formula1>"1-2,3-4,5-6,7-8,9-10,N/A"</formula1>
    </dataValidation>
    <dataValidation type="list" xr:uid="{441310FA-388A-4A85-9E49-C38250E07937}" sqref="O17" showErrorMessage="1" errorTitle="An invalid feedback was entered" error="Please choose feedback from drop down only.">
      <formula1>"1-2,3-4,5-6,7-8,9-10,N/A"</formula1>
    </dataValidation>
    <dataValidation type="list" xr:uid="{1BD8F3B3-FFFA-40DD-B08D-250C6BA8D22F}" sqref="P17" showErrorMessage="1" errorTitle="An invalid feedback was entered" error="Please choose feedback from drop down only.">
      <formula1>"1-2,3-4,5-6,7-8,9-10,N/A"</formula1>
    </dataValidation>
    <dataValidation type="list" xr:uid="{F6F4A849-FFB0-49E2-8749-C0EFEE4E9EC6}" sqref="Q17" showErrorMessage="1" errorTitle="An invalid feedback was entered" error="Please choose feedback from drop down only.">
      <formula1>"1-2,3-4,5-6,7-8,9-10,N/A"</formula1>
    </dataValidation>
    <dataValidation type="list" xr:uid="{CB19E047-7F54-4BCE-AD94-FF409D14E1C4}" sqref="C10" showErrorMessage="1" errorTitle="An invalid feedback was entered" error="Please choose feedback from drop down only.">
      <formula1>"STK Top,STK Bottom,STKx2,DTK Top,DTK Bottom,DTKx2,None"</formula1>
    </dataValidation>
    <dataValidation type="list" xr:uid="{B6B9CC7D-6602-4C77-99E3-F7CB8EB52E91}" sqref="D10" showErrorMessage="1" errorTitle="An invalid feedback was entered" error="Please choose feedback from drop down only.">
      <formula1>"STK Top,STK Bottom,STKx2,DTK Top,DTK Bottom,DTKx2,None"</formula1>
    </dataValidation>
    <dataValidation type="list" xr:uid="{A61469FA-659B-4838-9E59-4739260E9039}" sqref="E10" showErrorMessage="1" errorTitle="An invalid feedback was entered" error="Please choose feedback from drop down only.">
      <formula1>"STK Top,STK Bottom,STKx2,DTK Top,DTK Bottom,DTKx2,None"</formula1>
    </dataValidation>
    <dataValidation type="list" xr:uid="{9378C180-9488-47E2-9DF9-4E5B86D40F55}" sqref="F10" showErrorMessage="1" errorTitle="An invalid feedback was entered" error="Please choose feedback from drop down only.">
      <formula1>"STK Top,STK Bottom,STKx2,DTK Top,DTK Bottom,DTKx2,None"</formula1>
    </dataValidation>
    <dataValidation type="list" xr:uid="{8F1EB016-881D-41A9-BC46-1FEFEFDE5222}" sqref="G10" showErrorMessage="1" errorTitle="An invalid feedback was entered" error="Please choose feedback from drop down only.">
      <formula1>"STK Top,STK Bottom,STKx2,DTK Top,DTK Bottom,DTKx2,None"</formula1>
    </dataValidation>
    <dataValidation type="list" xr:uid="{4FCB2DBA-7600-4EB9-B15E-CEC3C2B05B01}" sqref="H10" showErrorMessage="1" errorTitle="An invalid feedback was entered" error="Please choose feedback from drop down only.">
      <formula1>"STK Top,STK Bottom,STKx2,DTK Top,DTK Bottom,DTKx2,None"</formula1>
    </dataValidation>
    <dataValidation type="list" xr:uid="{A3D01E54-9BD6-4F5A-85DE-DC2F25CA0CD2}" sqref="I10" showErrorMessage="1" errorTitle="An invalid feedback was entered" error="Please choose feedback from drop down only.">
      <formula1>"STK Top,STK Bottom,STKx2,DTK Top,DTK Bottom,DTKx2,None"</formula1>
    </dataValidation>
    <dataValidation type="list" xr:uid="{B37B65B3-A66C-4C5A-B04C-A53B6C6383E6}" sqref="J10" showErrorMessage="1" errorTitle="An invalid feedback was entered" error="Please choose feedback from drop down only.">
      <formula1>"STK Top,STK Bottom,STKx2,DTK Top,DTK Bottom,DTKx2,None"</formula1>
    </dataValidation>
    <dataValidation type="list" xr:uid="{8185CCCB-A308-4A90-B017-F6C9EE2739D4}" sqref="K10" showErrorMessage="1" errorTitle="An invalid feedback was entered" error="Please choose feedback from drop down only.">
      <formula1>"STK Top,STK Bottom,STKx2,DTK Top,DTK Bottom,DTKx2,None"</formula1>
    </dataValidation>
    <dataValidation type="list" xr:uid="{5E866310-F203-4122-B9C3-798BDEA5043A}" sqref="L10" showErrorMessage="1" errorTitle="An invalid feedback was entered" error="Please choose feedback from drop down only.">
      <formula1>"STK Top,STK Bottom,STKx2,DTK Top,DTK Bottom,DTKx2,None"</formula1>
    </dataValidation>
    <dataValidation type="list" xr:uid="{EC5AA606-D165-458E-AC85-87B20A26C07D}" sqref="M10" showErrorMessage="1" errorTitle="An invalid feedback was entered" error="Please choose feedback from drop down only.">
      <formula1>"STK Top,STK Bottom,STKx2,DTK Top,DTK Bottom,DTKx2,None"</formula1>
    </dataValidation>
    <dataValidation type="list" xr:uid="{3CC5BAAD-4358-4644-BA99-CDC0C099581F}" sqref="N10" showErrorMessage="1" errorTitle="An invalid feedback was entered" error="Please choose feedback from drop down only.">
      <formula1>"STK Top,STK Bottom,STKx2,DTK Top,DTK Bottom,DTKx2,None"</formula1>
    </dataValidation>
    <dataValidation type="list" xr:uid="{1B592F42-3A4C-4781-BAC0-77233BB68DE4}" sqref="O10" showErrorMessage="1" errorTitle="An invalid feedback was entered" error="Please choose feedback from drop down only.">
      <formula1>"STK Top,STK Bottom,STKx2,DTK Top,DTK Bottom,DTKx2,None"</formula1>
    </dataValidation>
    <dataValidation type="list" xr:uid="{ADC8C3ED-EFF2-492F-A401-87B194E5B74D}" sqref="P10" showErrorMessage="1" errorTitle="An invalid feedback was entered" error="Please choose feedback from drop down only.">
      <formula1>"STK Top,STK Bottom,STKx2,DTK Top,DTK Bottom,DTKx2,None"</formula1>
    </dataValidation>
    <dataValidation type="list" xr:uid="{91AF4938-AAFF-4D2B-AE2B-B726723B4076}" sqref="Q10" showErrorMessage="1" errorTitle="An invalid feedback was entered" error="Please choose feedback from drop down only.">
      <formula1>"STK Top,STK Bottom,STKx2,DTK Top,DTK Bottom,DTKx2,None"</formula1>
    </dataValidation>
    <dataValidation type="list" xr:uid="{BF91DC28-86C1-4755-A4E8-971A265AB459}" sqref="C23" showErrorMessage="1" errorTitle="An invalid feedback was entered" error="Please choose feedback from drop down only.">
      <formula1>"Yetel,Bulsatcom,A1,Yetel&amp;A1,N/A"</formula1>
    </dataValidation>
    <dataValidation type="list" xr:uid="{076680D6-B2FA-4B25-B989-1FB80D3061A2}" sqref="D23" showErrorMessage="1" errorTitle="An invalid feedback was entered" error="Please choose feedback from drop down only.">
      <formula1>"Yetel,Bulsatcom,A1,Yetel&amp;A1,N/A"</formula1>
    </dataValidation>
    <dataValidation type="list" xr:uid="{5CB44BE3-456F-4E2B-B967-7CB34D9FCB2D}" sqref="E23" showErrorMessage="1" errorTitle="An invalid feedback was entered" error="Please choose feedback from drop down only.">
      <formula1>"Yetel,Bulsatcom,A1,Yetel&amp;A1,N/A"</formula1>
    </dataValidation>
    <dataValidation type="list" xr:uid="{783DB229-C0B8-46F4-BB8C-8892AE09707E}" sqref="F23" showErrorMessage="1" errorTitle="An invalid feedback was entered" error="Please choose feedback from drop down only.">
      <formula1>"Yetel,Bulsatcom,A1,Yetel&amp;A1,N/A"</formula1>
    </dataValidation>
    <dataValidation type="list" xr:uid="{CBC27BD0-A82D-45F9-9109-A350694C7A9D}" sqref="G23" showErrorMessage="1" errorTitle="An invalid feedback was entered" error="Please choose feedback from drop down only.">
      <formula1>"Yetel,Bulsatcom,A1,Yetel&amp;A1,N/A"</formula1>
    </dataValidation>
    <dataValidation type="list" xr:uid="{0703E69C-BBD6-4198-A571-DE80AA3434B7}" sqref="H23" showErrorMessage="1" errorTitle="An invalid feedback was entered" error="Please choose feedback from drop down only.">
      <formula1>"Yetel,Bulsatcom,A1,Yetel&amp;A1,N/A"</formula1>
    </dataValidation>
    <dataValidation type="list" xr:uid="{AA588EAD-199A-4D5A-817A-8C5B1244A6F7}" sqref="I23" showErrorMessage="1" errorTitle="An invalid feedback was entered" error="Please choose feedback from drop down only.">
      <formula1>"Yetel,Bulsatcom,A1,Yetel&amp;A1,N/A"</formula1>
    </dataValidation>
    <dataValidation type="list" xr:uid="{797BE5F4-DD46-4AF6-B8D8-EC7DF9E2224F}" sqref="J23" showErrorMessage="1" errorTitle="An invalid feedback was entered" error="Please choose feedback from drop down only.">
      <formula1>"Yetel,Bulsatcom,A1,Yetel&amp;A1,N/A"</formula1>
    </dataValidation>
    <dataValidation type="list" xr:uid="{B07DAE57-6485-4D33-9154-A1E96C528BE5}" sqref="K23" showErrorMessage="1" errorTitle="An invalid feedback was entered" error="Please choose feedback from drop down only.">
      <formula1>"Yetel,Bulsatcom,A1,Yetel&amp;A1,N/A"</formula1>
    </dataValidation>
    <dataValidation type="list" xr:uid="{83B243FB-0F66-4085-B6E8-1C23F48A75A6}" sqref="L23" showErrorMessage="1" errorTitle="An invalid feedback was entered" error="Please choose feedback from drop down only.">
      <formula1>"Yetel,Bulsatcom,A1,Yetel&amp;A1,N/A"</formula1>
    </dataValidation>
    <dataValidation type="list" xr:uid="{0A108911-6770-4ECE-BB33-3051F3A721A9}" sqref="M23" showErrorMessage="1" errorTitle="An invalid feedback was entered" error="Please choose feedback from drop down only.">
      <formula1>"Yetel,Bulsatcom,A1,Yetel&amp;A1,N/A"</formula1>
    </dataValidation>
    <dataValidation type="list" xr:uid="{52D74AA7-5FAC-47B8-9F39-27F3A27A9F55}" sqref="N23" showErrorMessage="1" errorTitle="An invalid feedback was entered" error="Please choose feedback from drop down only.">
      <formula1>"Yetel,Bulsatcom,A1,Yetel&amp;A1,N/A"</formula1>
    </dataValidation>
    <dataValidation type="list" xr:uid="{32FB9037-B6D8-434A-AAA1-7B9B14F64F20}" sqref="O23" showErrorMessage="1" errorTitle="An invalid feedback was entered" error="Please choose feedback from drop down only.">
      <formula1>"Yetel,Bulsatcom,A1,Yetel&amp;A1,N/A"</formula1>
    </dataValidation>
    <dataValidation type="list" xr:uid="{7A99BC64-E977-499F-BBD9-4C57F7EB1265}" sqref="P23" showErrorMessage="1" errorTitle="An invalid feedback was entered" error="Please choose feedback from drop down only.">
      <formula1>"Yetel,Bulsatcom,A1,Yetel&amp;A1,N/A"</formula1>
    </dataValidation>
    <dataValidation type="list" xr:uid="{92B57EA6-B7CD-4A10-B2D3-B216F7EACE6B}" sqref="Q23" showErrorMessage="1" errorTitle="An invalid feedback was entered" error="Please choose feedback from drop down only.">
      <formula1>"Yetel,Bulsatcom,A1,Yetel&amp;A1,N/A"</formula1>
    </dataValidation>
    <dataValidation type="list" xr:uid="{DEC8814C-3B54-4853-A71E-BF98E13487F9}" sqref="C31" showErrorMessage="1" errorTitle="An invalid feedback was entered" error="Please choose feedback from drop down only.">
      <formula1>"1/2,5/4,7/8,RRU TOP JUMPER,N/A"</formula1>
    </dataValidation>
    <dataValidation type="list" xr:uid="{9E353907-4A50-4599-B771-22EEE087E965}" sqref="D31" showErrorMessage="1" errorTitle="An invalid feedback was entered" error="Please choose feedback from drop down only.">
      <formula1>"1/2,5/4,7/8,RRU TOP JUMPER,N/A"</formula1>
    </dataValidation>
    <dataValidation type="list" xr:uid="{99B96A7F-96DD-4D96-AFC0-A95942B2E965}" sqref="E31" showErrorMessage="1" errorTitle="An invalid feedback was entered" error="Please choose feedback from drop down only.">
      <formula1>"1/2,5/4,7/8,RRU TOP JUMPER,N/A"</formula1>
    </dataValidation>
    <dataValidation type="list" xr:uid="{1E416AA9-3864-4030-BAE9-9427661818CE}" sqref="F31" showErrorMessage="1" errorTitle="An invalid feedback was entered" error="Please choose feedback from drop down only.">
      <formula1>"1/2,5/4,7/8,RRU TOP JUMPER,N/A"</formula1>
    </dataValidation>
    <dataValidation type="list" xr:uid="{62D3A2E3-4F70-4DBE-B246-4106CBFF9E32}" sqref="G31" showErrorMessage="1" errorTitle="An invalid feedback was entered" error="Please choose feedback from drop down only.">
      <formula1>"1/2,5/4,7/8,RRU TOP JUMPER,N/A"</formula1>
    </dataValidation>
    <dataValidation type="list" xr:uid="{9E7828DD-3B9C-427E-9899-32640E37EC28}" sqref="H31" showErrorMessage="1" errorTitle="An invalid feedback was entered" error="Please choose feedback from drop down only.">
      <formula1>"1/2,5/4,7/8,RRU TOP JUMPER,N/A"</formula1>
    </dataValidation>
    <dataValidation type="list" xr:uid="{72D887DC-7F61-46E9-A12C-FD055D0078A3}" sqref="I31" showErrorMessage="1" errorTitle="An invalid feedback was entered" error="Please choose feedback from drop down only.">
      <formula1>"1/2,5/4,7/8,RRU TOP JUMPER,N/A"</formula1>
    </dataValidation>
    <dataValidation type="list" xr:uid="{5E7DBB30-2904-4159-81E7-D9A1F18BAE02}" sqref="J31" showErrorMessage="1" errorTitle="An invalid feedback was entered" error="Please choose feedback from drop down only.">
      <formula1>"1/2,5/4,7/8,RRU TOP JUMPER,N/A"</formula1>
    </dataValidation>
    <dataValidation type="list" xr:uid="{C5624812-58AE-45CB-A876-1EF2B8B841C0}" sqref="K31" showErrorMessage="1" errorTitle="An invalid feedback was entered" error="Please choose feedback from drop down only.">
      <formula1>"1/2,5/4,7/8,RRU TOP JUMPER,N/A"</formula1>
    </dataValidation>
    <dataValidation type="list" xr:uid="{2913616D-F078-417E-ABDC-8C96ABE3A6C5}" sqref="L31" showErrorMessage="1" errorTitle="An invalid feedback was entered" error="Please choose feedback from drop down only.">
      <formula1>"1/2,5/4,7/8,RRU TOP JUMPER,N/A"</formula1>
    </dataValidation>
    <dataValidation type="list" xr:uid="{A67DB041-0D49-4CD6-8A08-D017BAE71B4C}" sqref="M31" showErrorMessage="1" errorTitle="An invalid feedback was entered" error="Please choose feedback from drop down only.">
      <formula1>"1/2,5/4,7/8,RRU TOP JUMPER,N/A"</formula1>
    </dataValidation>
    <dataValidation type="list" xr:uid="{23708017-5602-49CF-AC7E-7FA27043A94B}" sqref="N31" showErrorMessage="1" errorTitle="An invalid feedback was entered" error="Please choose feedback from drop down only.">
      <formula1>"1/2,5/4,7/8,RRU TOP JUMPER,N/A"</formula1>
    </dataValidation>
    <dataValidation type="list" xr:uid="{7A7DBFF5-DBD1-4971-A96C-DD9B1E9EB8B8}" sqref="O31" showErrorMessage="1" errorTitle="An invalid feedback was entered" error="Please choose feedback from drop down only.">
      <formula1>"1/2,5/4,7/8,RRU TOP JUMPER,N/A"</formula1>
    </dataValidation>
    <dataValidation type="list" xr:uid="{E1F51221-9E84-42FF-87BC-5E81B6847B92}" sqref="P31" showErrorMessage="1" errorTitle="An invalid feedback was entered" error="Please choose feedback from drop down only.">
      <formula1>"1/2,5/4,7/8,RRU TOP JUMPER,N/A"</formula1>
    </dataValidation>
    <dataValidation type="list" xr:uid="{F55748D2-2FEF-46BF-9F99-6712B532CC6C}" sqref="Q31" showErrorMessage="1" errorTitle="An invalid feedback was entered" error="Please choose feedback from drop down only.">
      <formula1>"1/2,5/4,7/8,RRU TOP JUMPER,N/A"</formula1>
    </dataValidation>
    <dataValidation type="list" xr:uid="{AE6FAD95-F495-4F7F-B29C-2E787A64F971}" sqref="C4" showErrorMessage="1" errorTitle="An invalid feedback was entered" error="Please choose feedback from drop down only.">
      <formula1>"1,2,3,4,5,6,N/A"</formula1>
    </dataValidation>
    <dataValidation type="list" xr:uid="{1B69692E-4166-4FAE-9F91-43F78751FD02}" sqref="D4" showErrorMessage="1" errorTitle="An invalid feedback was entered" error="Please choose feedback from drop down only.">
      <formula1>"1,2,3,4,5,6,N/A"</formula1>
    </dataValidation>
    <dataValidation type="list" xr:uid="{804486EE-C635-4276-ADB6-18CCE73B1CD2}" sqref="E4" showErrorMessage="1" errorTitle="An invalid feedback was entered" error="Please choose feedback from drop down only.">
      <formula1>"1,2,3,4,5,6,N/A"</formula1>
    </dataValidation>
    <dataValidation type="list" xr:uid="{2832F6B6-76C4-4BBC-A7D2-3BE25BFEEA4A}" sqref="F4" showErrorMessage="1" errorTitle="An invalid feedback was entered" error="Please choose feedback from drop down only.">
      <formula1>"1,2,3,4,5,6,N/A"</formula1>
    </dataValidation>
    <dataValidation type="list" xr:uid="{FD6B8709-50F9-4BCC-92BF-81C3A018C0FD}" sqref="G4" showErrorMessage="1" errorTitle="An invalid feedback was entered" error="Please choose feedback from drop down only.">
      <formula1>"1,2,3,4,5,6,N/A"</formula1>
    </dataValidation>
    <dataValidation type="list" xr:uid="{6ADAC99F-BA0E-4D5F-9ECC-CA456CE699AD}" sqref="H4" showErrorMessage="1" errorTitle="An invalid feedback was entered" error="Please choose feedback from drop down only.">
      <formula1>"1,2,3,4,5,6,N/A"</formula1>
    </dataValidation>
    <dataValidation type="list" xr:uid="{F3A90F15-8CF6-49C6-8B63-4B3D09931786}" sqref="I4" showErrorMessage="1" errorTitle="An invalid feedback was entered" error="Please choose feedback from drop down only.">
      <formula1>"1,2,3,4,5,6,N/A"</formula1>
    </dataValidation>
    <dataValidation type="list" xr:uid="{CA75F22B-662E-474D-B65B-5C455CA65871}" sqref="J4" showErrorMessage="1" errorTitle="An invalid feedback was entered" error="Please choose feedback from drop down only.">
      <formula1>"1,2,3,4,5,6,N/A"</formula1>
    </dataValidation>
    <dataValidation type="list" xr:uid="{6161365D-C944-40D5-A3C5-241BD9D2DBCF}" sqref="K4" showErrorMessage="1" errorTitle="An invalid feedback was entered" error="Please choose feedback from drop down only.">
      <formula1>"1,2,3,4,5,6,N/A"</formula1>
    </dataValidation>
    <dataValidation type="list" xr:uid="{D85C4C8F-9E33-41C0-ADF4-212496D25D46}" sqref="L4" showErrorMessage="1" errorTitle="An invalid feedback was entered" error="Please choose feedback from drop down only.">
      <formula1>"1,2,3,4,5,6,N/A"</formula1>
    </dataValidation>
    <dataValidation type="list" xr:uid="{B18D3FB4-0E42-40DF-A78D-BD5B074828BA}" sqref="M4" showErrorMessage="1" errorTitle="An invalid feedback was entered" error="Please choose feedback from drop down only.">
      <formula1>"1,2,3,4,5,6,N/A"</formula1>
    </dataValidation>
    <dataValidation type="list" xr:uid="{24DF5787-715B-46D7-8E89-1F1129562887}" sqref="N4" showErrorMessage="1" errorTitle="An invalid feedback was entered" error="Please choose feedback from drop down only.">
      <formula1>"1,2,3,4,5,6,N/A"</formula1>
    </dataValidation>
    <dataValidation type="list" xr:uid="{7441ED86-AAD2-4E35-8115-6DC934E241A3}" sqref="O4" showErrorMessage="1" errorTitle="An invalid feedback was entered" error="Please choose feedback from drop down only.">
      <formula1>"1,2,3,4,5,6,N/A"</formula1>
    </dataValidation>
    <dataValidation type="list" xr:uid="{786693BD-BECA-4DCB-BB19-B93641BDA0B5}" sqref="P4" showErrorMessage="1" errorTitle="An invalid feedback was entered" error="Please choose feedback from drop down only.">
      <formula1>"1,2,3,4,5,6,N/A"</formula1>
    </dataValidation>
    <dataValidation type="list" xr:uid="{8DAD7E70-C0BF-4C9E-AB31-EBF9D4E56D7E}" sqref="Q4" showErrorMessage="1" errorTitle="An invalid feedback was entered" error="Please choose feedback from drop down only.">
      <formula1>"1,2,3,4,5,6,N/A"</formula1>
    </dataValidation>
    <dataValidation type="list" xr:uid="{65E8EE68-7B28-493D-B011-2AA161E3A9F9}" sqref="C22" showErrorMessage="1" errorTitle="An invalid feedback was entered" error="Please choose feedback from drop down only.">
      <formula1>"700,800&amp;900,900,1800,2100,2600,3600,1800&amp;2100,1800&amp;2600,2100&amp;2600,18&amp;21&amp;26,Free,N/A,Yetel,A1,Yetel&amp;A1"</formula1>
    </dataValidation>
    <dataValidation type="list" xr:uid="{5FCAD359-953A-4D46-BFD6-F50C74FAB542}" sqref="D22" showErrorMessage="1" errorTitle="An invalid feedback was entered" error="Please choose feedback from drop down only.">
      <formula1>"700,800&amp;900,900,1800,2100,2600,3600,1800&amp;2100,1800&amp;2600,2100&amp;2600,18&amp;21&amp;26,Free,N/A,Yetel,A1,Yetel&amp;A1"</formula1>
    </dataValidation>
    <dataValidation type="list" xr:uid="{3AFA4A5A-E399-434E-862E-DCD16FA799B7}" sqref="E22" showErrorMessage="1" errorTitle="An invalid feedback was entered" error="Please choose feedback from drop down only.">
      <formula1>"700,800&amp;900,900,1800,2100,2600,3600,1800&amp;2100,1800&amp;2600,2100&amp;2600,18&amp;21&amp;26,Free,N/A,Yetel,A1,Yetel&amp;A1"</formula1>
    </dataValidation>
    <dataValidation type="list" xr:uid="{249B8DF4-5948-4EF2-A000-5CCDCC916BEE}" sqref="F22" showErrorMessage="1" errorTitle="An invalid feedback was entered" error="Please choose feedback from drop down only.">
      <formula1>"700,800&amp;900,900,1800,2100,2600,3600,1800&amp;2100,1800&amp;2600,2100&amp;2600,18&amp;21&amp;26,Free,N/A,Yetel,A1,Yetel&amp;A1"</formula1>
    </dataValidation>
    <dataValidation type="list" xr:uid="{389C1AB7-DD03-46D2-9DDE-E8B541BC1F07}" sqref="G22" showErrorMessage="1" errorTitle="An invalid feedback was entered" error="Please choose feedback from drop down only.">
      <formula1>"700,800&amp;900,900,1800,2100,2600,3600,1800&amp;2100,1800&amp;2600,2100&amp;2600,18&amp;21&amp;26,Free,N/A,Yetel,A1,Yetel&amp;A1"</formula1>
    </dataValidation>
    <dataValidation type="list" xr:uid="{BE896EE6-EF4B-4B4E-BA23-88C62E9002EC}" sqref="H22" showErrorMessage="1" errorTitle="An invalid feedback was entered" error="Please choose feedback from drop down only.">
      <formula1>"700,800&amp;900,900,1800,2100,2600,3600,1800&amp;2100,1800&amp;2600,2100&amp;2600,18&amp;21&amp;26,Free,N/A,Yetel,A1,Yetel&amp;A1"</formula1>
    </dataValidation>
    <dataValidation type="list" xr:uid="{70ADA53F-A23A-47A3-AF52-7526370E0CB3}" sqref="I22" showErrorMessage="1" errorTitle="An invalid feedback was entered" error="Please choose feedback from drop down only.">
      <formula1>"700,800&amp;900,900,1800,2100,2600,3600,1800&amp;2100,1800&amp;2600,2100&amp;2600,18&amp;21&amp;26,Free,N/A,Yetel,A1,Yetel&amp;A1"</formula1>
    </dataValidation>
    <dataValidation type="list" xr:uid="{F47D448C-66FC-449A-918B-B4AD0DC1E082}" sqref="J22" showErrorMessage="1" errorTitle="An invalid feedback was entered" error="Please choose feedback from drop down only.">
      <formula1>"700,800&amp;900,900,1800,2100,2600,3600,1800&amp;2100,1800&amp;2600,2100&amp;2600,18&amp;21&amp;26,Free,N/A,Yetel,A1,Yetel&amp;A1"</formula1>
    </dataValidation>
    <dataValidation type="list" xr:uid="{38858AB8-1431-47A3-82F6-87C74C148EB2}" sqref="K22" showErrorMessage="1" errorTitle="An invalid feedback was entered" error="Please choose feedback from drop down only.">
      <formula1>"700,800&amp;900,900,1800,2100,2600,3600,1800&amp;2100,1800&amp;2600,2100&amp;2600,18&amp;21&amp;26,Free,N/A,Yetel,A1,Yetel&amp;A1"</formula1>
    </dataValidation>
    <dataValidation type="list" xr:uid="{5E3061B9-860B-440F-9A80-26F647D87643}" sqref="L22" showErrorMessage="1" errorTitle="An invalid feedback was entered" error="Please choose feedback from drop down only.">
      <formula1>"700,800&amp;900,900,1800,2100,2600,3600,1800&amp;2100,1800&amp;2600,2100&amp;2600,18&amp;21&amp;26,Free,N/A,Yetel,A1,Yetel&amp;A1"</formula1>
    </dataValidation>
    <dataValidation type="list" xr:uid="{EB56539E-99FA-46C8-B756-1B9436815816}" sqref="M22" showErrorMessage="1" errorTitle="An invalid feedback was entered" error="Please choose feedback from drop down only.">
      <formula1>"700,800&amp;900,900,1800,2100,2600,3600,1800&amp;2100,1800&amp;2600,2100&amp;2600,18&amp;21&amp;26,Free,N/A,Yetel,A1,Yetel&amp;A1"</formula1>
    </dataValidation>
    <dataValidation type="list" xr:uid="{B8790F1C-1E1A-43C6-9986-6456EB2520D2}" sqref="N22" showErrorMessage="1" errorTitle="An invalid feedback was entered" error="Please choose feedback from drop down only.">
      <formula1>"700,800&amp;900,900,1800,2100,2600,3600,1800&amp;2100,1800&amp;2600,2100&amp;2600,18&amp;21&amp;26,Free,N/A,Yetel,A1,Yetel&amp;A1"</formula1>
    </dataValidation>
    <dataValidation type="list" xr:uid="{B44F851C-BECD-47D0-9FD9-3252E26B2CDF}" sqref="O22" showErrorMessage="1" errorTitle="An invalid feedback was entered" error="Please choose feedback from drop down only.">
      <formula1>"700,800&amp;900,900,1800,2100,2600,3600,1800&amp;2100,1800&amp;2600,2100&amp;2600,18&amp;21&amp;26,Free,N/A,Yetel,A1,Yetel&amp;A1"</formula1>
    </dataValidation>
    <dataValidation type="list" xr:uid="{8E2CB033-B06E-4FAC-A388-BADA7785234F}" sqref="P22" showErrorMessage="1" errorTitle="An invalid feedback was entered" error="Please choose feedback from drop down only.">
      <formula1>"700,800&amp;900,900,1800,2100,2600,3600,1800&amp;2100,1800&amp;2600,2100&amp;2600,18&amp;21&amp;26,Free,N/A,Yetel,A1,Yetel&amp;A1"</formula1>
    </dataValidation>
    <dataValidation type="list" xr:uid="{4BCDCA67-72E0-40F6-828D-CE02F5388932}" sqref="Q22" showErrorMessage="1" errorTitle="An invalid feedback was entered" error="Please choose feedback from drop down only.">
      <formula1>"700,800&amp;900,900,1800,2100,2600,3600,1800&amp;2100,1800&amp;2600,2100&amp;2600,18&amp;21&amp;26,Free,N/A,Yetel,A1,Yetel&amp;A1"</formula1>
    </dataValidation>
    <dataValidation type="list" xr:uid="{0EE3CE4A-0477-48D2-A3C9-C6F61042E44C}" sqref="C28" showErrorMessage="1" errorTitle="An invalid feedback was entered" error="Please choose feedback from drop down only.">
      <formula1>"Yes,No,FlexRET"</formula1>
    </dataValidation>
    <dataValidation type="list" xr:uid="{F524CDB2-01FA-4222-940D-74F17EB2DA81}" sqref="D28" showErrorMessage="1" errorTitle="An invalid feedback was entered" error="Please choose feedback from drop down only.">
      <formula1>"Yes,No,FlexRET"</formula1>
    </dataValidation>
    <dataValidation type="list" xr:uid="{B2D86E4C-AE92-4AAD-9739-A35BEF46DC5F}" sqref="E28" showErrorMessage="1" errorTitle="An invalid feedback was entered" error="Please choose feedback from drop down only.">
      <formula1>"Yes,No,FlexRET"</formula1>
    </dataValidation>
    <dataValidation type="list" xr:uid="{DAB665FA-7573-4C64-8028-6D4E3269B59E}" sqref="F28" showErrorMessage="1" errorTitle="An invalid feedback was entered" error="Please choose feedback from drop down only.">
      <formula1>"Yes,No,FlexRET"</formula1>
    </dataValidation>
    <dataValidation type="list" xr:uid="{44B342F0-BEC5-43E1-AA5B-AB4C77ED77E3}" sqref="G28" showErrorMessage="1" errorTitle="An invalid feedback was entered" error="Please choose feedback from drop down only.">
      <formula1>"Yes,No,FlexRET"</formula1>
    </dataValidation>
    <dataValidation type="list" xr:uid="{A2EF5C3A-DB66-4E67-902A-D3FE3BFE2E00}" sqref="H28" showErrorMessage="1" errorTitle="An invalid feedback was entered" error="Please choose feedback from drop down only.">
      <formula1>"Yes,No,FlexRET"</formula1>
    </dataValidation>
    <dataValidation type="list" xr:uid="{1A15803F-2D55-40BA-AA9F-DF14EC68A957}" sqref="I28" showErrorMessage="1" errorTitle="An invalid feedback was entered" error="Please choose feedback from drop down only.">
      <formula1>"Yes,No,FlexRET"</formula1>
    </dataValidation>
    <dataValidation type="list" xr:uid="{8D77F325-47DD-4601-BB4B-8B8719CD808E}" sqref="J28" showErrorMessage="1" errorTitle="An invalid feedback was entered" error="Please choose feedback from drop down only.">
      <formula1>"Yes,No,FlexRET"</formula1>
    </dataValidation>
    <dataValidation type="list" xr:uid="{712221C2-75A8-4492-93B2-CC414BD25298}" sqref="K28" showErrorMessage="1" errorTitle="An invalid feedback was entered" error="Please choose feedback from drop down only.">
      <formula1>"Yes,No,FlexRET"</formula1>
    </dataValidation>
    <dataValidation type="list" xr:uid="{4D4EA109-A8BD-46F3-A423-FD97E2E48AC6}" sqref="L28" showErrorMessage="1" errorTitle="An invalid feedback was entered" error="Please choose feedback from drop down only.">
      <formula1>"Yes,No,FlexRET"</formula1>
    </dataValidation>
    <dataValidation type="list" xr:uid="{126FFD3E-7A16-40F0-B6F7-6083F7D717CC}" sqref="M28" showErrorMessage="1" errorTitle="An invalid feedback was entered" error="Please choose feedback from drop down only.">
      <formula1>"Yes,No,FlexRET"</formula1>
    </dataValidation>
    <dataValidation type="list" xr:uid="{FDF5042B-7499-4554-A7BD-4F2FDD79104D}" sqref="N28" showErrorMessage="1" errorTitle="An invalid feedback was entered" error="Please choose feedback from drop down only.">
      <formula1>"Yes,No,FlexRET"</formula1>
    </dataValidation>
    <dataValidation type="list" xr:uid="{53566EFA-F29F-43E3-822E-7A858B71F4BC}" sqref="O28" showErrorMessage="1" errorTitle="An invalid feedback was entered" error="Please choose feedback from drop down only.">
      <formula1>"Yes,No,FlexRET"</formula1>
    </dataValidation>
    <dataValidation type="list" xr:uid="{18B2B736-59AF-4951-9821-AC52AB8630BD}" sqref="P28" showErrorMessage="1" errorTitle="An invalid feedback was entered" error="Please choose feedback from drop down only.">
      <formula1>"Yes,No,FlexRET"</formula1>
    </dataValidation>
    <dataValidation type="list" xr:uid="{6DE28CF5-93E3-4CF1-ACAD-CA76EEBC00BE}" sqref="Q28" showErrorMessage="1" errorTitle="An invalid feedback was entered" error="Please choose feedback from drop down only.">
      <formula1>"Yes,No,FlexRET"</formula1>
    </dataValidation>
    <dataValidation type="list" xr:uid="{8B0FE90A-9EFC-488C-B91C-8871E86D8E8B}" sqref="C29" showErrorMessage="1" errorTitle="An invalid feedback was entered" error="Please choose feedback from drop down only.">
      <formula1>"Yes,No,FlexRET"</formula1>
    </dataValidation>
    <dataValidation type="list" xr:uid="{C1816574-97EC-42B8-BE1B-C6DF6FAED7F6}" sqref="D29" showErrorMessage="1" errorTitle="An invalid feedback was entered" error="Please choose feedback from drop down only.">
      <formula1>"Yes,No,FlexRET"</formula1>
    </dataValidation>
    <dataValidation type="list" xr:uid="{B592BFC7-2E3E-4C89-907D-3914250C4110}" sqref="E29" showErrorMessage="1" errorTitle="An invalid feedback was entered" error="Please choose feedback from drop down only.">
      <formula1>"Yes,No,FlexRET"</formula1>
    </dataValidation>
    <dataValidation type="list" xr:uid="{61B8BCEF-E552-40BF-BB0D-700B949CABFF}" sqref="F29" showErrorMessage="1" errorTitle="An invalid feedback was entered" error="Please choose feedback from drop down only.">
      <formula1>"Yes,No,FlexRET"</formula1>
    </dataValidation>
    <dataValidation type="list" xr:uid="{53D755AD-104B-46ED-AAB0-8F5755772A16}" sqref="G29" showErrorMessage="1" errorTitle="An invalid feedback was entered" error="Please choose feedback from drop down only.">
      <formula1>"Yes,No,FlexRET"</formula1>
    </dataValidation>
    <dataValidation type="list" xr:uid="{183F6FFA-3C25-49E8-A438-2A2B43167F72}" sqref="H29" showErrorMessage="1" errorTitle="An invalid feedback was entered" error="Please choose feedback from drop down only.">
      <formula1>"Yes,No,FlexRET"</formula1>
    </dataValidation>
    <dataValidation type="list" xr:uid="{C3C774C6-137E-4D99-BFD4-951449602963}" sqref="I29" showErrorMessage="1" errorTitle="An invalid feedback was entered" error="Please choose feedback from drop down only.">
      <formula1>"Yes,No,FlexRET"</formula1>
    </dataValidation>
    <dataValidation type="list" xr:uid="{77B66F60-C572-4665-82BB-E2872BB944EC}" sqref="J29" showErrorMessage="1" errorTitle="An invalid feedback was entered" error="Please choose feedback from drop down only.">
      <formula1>"Yes,No,FlexRET"</formula1>
    </dataValidation>
    <dataValidation type="list" xr:uid="{D0B5E9D4-C0C2-4826-A076-8E3283C723B7}" sqref="K29" showErrorMessage="1" errorTitle="An invalid feedback was entered" error="Please choose feedback from drop down only.">
      <formula1>"Yes,No,FlexRET"</formula1>
    </dataValidation>
    <dataValidation type="list" xr:uid="{65D40B3C-BF96-4694-839C-92CDD571E1CF}" sqref="L29" showErrorMessage="1" errorTitle="An invalid feedback was entered" error="Please choose feedback from drop down only.">
      <formula1>"Yes,No,FlexRET"</formula1>
    </dataValidation>
    <dataValidation type="list" xr:uid="{E49E7CFC-E94D-45A8-B515-7845A908CCDA}" sqref="M29" showErrorMessage="1" errorTitle="An invalid feedback was entered" error="Please choose feedback from drop down only.">
      <formula1>"Yes,No,FlexRET"</formula1>
    </dataValidation>
    <dataValidation type="list" xr:uid="{0DA3AB8E-B284-4A61-A8E8-B82FC6A3DFA0}" sqref="N29" showErrorMessage="1" errorTitle="An invalid feedback was entered" error="Please choose feedback from drop down only.">
      <formula1>"Yes,No,FlexRET"</formula1>
    </dataValidation>
    <dataValidation type="list" xr:uid="{BE249BAF-48C5-4AD8-9CBC-B4B8FDC6254F}" sqref="O29" showErrorMessage="1" errorTitle="An invalid feedback was entered" error="Please choose feedback from drop down only.">
      <formula1>"Yes,No,FlexRET"</formula1>
    </dataValidation>
    <dataValidation type="list" xr:uid="{37A2106D-0665-4DEE-B0C5-378FFCB4A5E7}" sqref="P29" showErrorMessage="1" errorTitle="An invalid feedback was entered" error="Please choose feedback from drop down only.">
      <formula1>"Yes,No,FlexRET"</formula1>
    </dataValidation>
    <dataValidation type="list" xr:uid="{09FCC71A-502F-490C-BFA5-F98311AE332D}" sqref="Q29" showErrorMessage="1" errorTitle="An invalid feedback was entered" error="Please choose feedback from drop down only.">
      <formula1>"Yes,No,FlexRET"</formula1>
    </dataValidation>
    <dataValidation type="list" xr:uid="{E96EB442-3FAA-457D-9867-DD608FC1E99A}" sqref="C25" showErrorMessage="1" errorTitle="An invalid feedback was entered" error="Please choose feedback from drop down only.">
      <formula1>"G,U,L,NR,GU,UL,GL,GUL,LNR,ULNR,None"</formula1>
    </dataValidation>
    <dataValidation type="list" xr:uid="{66CDE345-50A1-41F8-89BB-F3D0EEC73746}" sqref="D25" showErrorMessage="1" errorTitle="An invalid feedback was entered" error="Please choose feedback from drop down only.">
      <formula1>"G,U,L,NR,GU,UL,GL,GUL,LNR,ULNR,None"</formula1>
    </dataValidation>
    <dataValidation type="list" xr:uid="{2C1447B2-854A-47A0-BC25-25F5E4EFD429}" sqref="E25" showErrorMessage="1" errorTitle="An invalid feedback was entered" error="Please choose feedback from drop down only.">
      <formula1>"G,U,L,NR,GU,UL,GL,GUL,LNR,ULNR,None"</formula1>
    </dataValidation>
    <dataValidation type="list" xr:uid="{85CC786D-E726-4DB3-A5F5-5D4878841887}" sqref="F25" showErrorMessage="1" errorTitle="An invalid feedback was entered" error="Please choose feedback from drop down only.">
      <formula1>"G,U,L,NR,GU,UL,GL,GUL,LNR,ULNR,None"</formula1>
    </dataValidation>
    <dataValidation type="list" xr:uid="{7ACA55FE-ED53-4AD1-9254-13551303BE5C}" sqref="G25" showErrorMessage="1" errorTitle="An invalid feedback was entered" error="Please choose feedback from drop down only.">
      <formula1>"G,U,L,NR,GU,UL,GL,GUL,LNR,ULNR,None"</formula1>
    </dataValidation>
    <dataValidation type="list" xr:uid="{3912DADC-34DC-4B79-B635-753260C06CAF}" sqref="H25" showErrorMessage="1" errorTitle="An invalid feedback was entered" error="Please choose feedback from drop down only.">
      <formula1>"G,U,L,NR,GU,UL,GL,GUL,LNR,ULNR,None"</formula1>
    </dataValidation>
    <dataValidation type="list" xr:uid="{2013CC0E-9FE7-49DF-8257-A0116AD73DAB}" sqref="I25" showErrorMessage="1" errorTitle="An invalid feedback was entered" error="Please choose feedback from drop down only.">
      <formula1>"G,U,L,NR,GU,UL,GL,GUL,LNR,ULNR,None"</formula1>
    </dataValidation>
    <dataValidation type="list" xr:uid="{EC7797AF-B25F-46C7-8794-5609F4E9CC1C}" sqref="J25" showErrorMessage="1" errorTitle="An invalid feedback was entered" error="Please choose feedback from drop down only.">
      <formula1>"G,U,L,NR,GU,UL,GL,GUL,LNR,ULNR,None"</formula1>
    </dataValidation>
    <dataValidation type="list" xr:uid="{CB04460B-5C49-430C-B5CF-5AF5DF981B4F}" sqref="K25" showErrorMessage="1" errorTitle="An invalid feedback was entered" error="Please choose feedback from drop down only.">
      <formula1>"G,U,L,NR,GU,UL,GL,GUL,LNR,ULNR,None"</formula1>
    </dataValidation>
    <dataValidation type="list" xr:uid="{260DD370-2D10-4DB5-8CDF-C55A08F89AEC}" sqref="L25" showErrorMessage="1" errorTitle="An invalid feedback was entered" error="Please choose feedback from drop down only.">
      <formula1>"G,U,L,NR,GU,UL,GL,GUL,LNR,ULNR,None"</formula1>
    </dataValidation>
    <dataValidation type="list" xr:uid="{EF1F1D09-11B9-4319-A324-5CD67388A068}" sqref="M25" showErrorMessage="1" errorTitle="An invalid feedback was entered" error="Please choose feedback from drop down only.">
      <formula1>"G,U,L,NR,GU,UL,GL,GUL,LNR,ULNR,None"</formula1>
    </dataValidation>
    <dataValidation type="list" xr:uid="{7E5C38A4-E755-4EF1-B138-84A398E9E648}" sqref="N25" showErrorMessage="1" errorTitle="An invalid feedback was entered" error="Please choose feedback from drop down only.">
      <formula1>"G,U,L,NR,GU,UL,GL,GUL,LNR,ULNR,None"</formula1>
    </dataValidation>
    <dataValidation type="list" xr:uid="{34951D0F-DFE1-46D3-BF7E-449538CC490C}" sqref="O25" showErrorMessage="1" errorTitle="An invalid feedback was entered" error="Please choose feedback from drop down only.">
      <formula1>"G,U,L,NR,GU,UL,GL,GUL,LNR,ULNR,None"</formula1>
    </dataValidation>
    <dataValidation type="list" xr:uid="{A256D28F-459E-4368-A2D8-9780F47A698B}" sqref="P25" showErrorMessage="1" errorTitle="An invalid feedback was entered" error="Please choose feedback from drop down only.">
      <formula1>"G,U,L,NR,GU,UL,GL,GUL,LNR,ULNR,None"</formula1>
    </dataValidation>
    <dataValidation type="list" xr:uid="{3AAAB1A1-623F-45A4-8D77-DE823F1A227D}" sqref="Q25" showErrorMessage="1" errorTitle="An invalid feedback was entered" error="Please choose feedback from drop down only.">
      <formula1>"G,U,L,NR,GU,UL,GL,GUL,LNR,ULNR,None"</formula1>
    </dataValidation>
    <dataValidation type="list" xr:uid="{87D1A65B-CB8D-4C11-8CEF-FFD6F606B3C6}" sqref="C37" showErrorMessage="1" errorTitle="An invalid feedback was entered" error="Please choose feedback from drop down only.">
      <formula1>"Yes,No,SASU,SASU/SASA,DCS/UMTS2100share,78210440,78211110,78210510,DTMA UMTS 12 ASIG,78211106,78210312,TMA 900 Tower amplifier,TMA900,MI-15832,MI-16331,MI-12731,MI-12031,N/A,Unknown,None"</formula1>
    </dataValidation>
    <dataValidation type="list" xr:uid="{61EB1497-8CB2-4AB0-9AB8-08DB5BBE6980}" sqref="D37" showErrorMessage="1" errorTitle="An invalid feedback was entered" error="Please choose feedback from drop down only.">
      <formula1>"Yes,No,SASU,SASU/SASA,DCS/UMTS2100share,78210440,78211110,78210510,DTMA UMTS 12 ASIG,78211106,78210312,TMA 900 Tower amplifier,TMA900,MI-15832,MI-16331,MI-12731,MI-12031,N/A,Unknown,None"</formula1>
    </dataValidation>
    <dataValidation type="list" xr:uid="{46B2AFC1-947F-4344-8711-AB55A56B97ED}" sqref="E37" showErrorMessage="1" errorTitle="An invalid feedback was entered" error="Please choose feedback from drop down only.">
      <formula1>"Yes,No,SASU,SASU/SASA,DCS/UMTS2100share,78210440,78211110,78210510,DTMA UMTS 12 ASIG,78211106,78210312,TMA 900 Tower amplifier,TMA900,MI-15832,MI-16331,MI-12731,MI-12031,N/A,Unknown,None"</formula1>
    </dataValidation>
    <dataValidation type="list" xr:uid="{C7EE4D89-62AC-4A90-AD14-794ABE25EC3D}" sqref="F37" showErrorMessage="1" errorTitle="An invalid feedback was entered" error="Please choose feedback from drop down only.">
      <formula1>"Yes,No,SASU,SASU/SASA,DCS/UMTS2100share,78210440,78211110,78210510,DTMA UMTS 12 ASIG,78211106,78210312,TMA 900 Tower amplifier,TMA900,MI-15832,MI-16331,MI-12731,MI-12031,N/A,Unknown,None"</formula1>
    </dataValidation>
    <dataValidation type="list" xr:uid="{548E7ED0-FAC2-4B3F-AC18-ED9D9CE8BE27}" sqref="G37" showErrorMessage="1" errorTitle="An invalid feedback was entered" error="Please choose feedback from drop down only.">
      <formula1>"Yes,No,SASU,SASU/SASA,DCS/UMTS2100share,78210440,78211110,78210510,DTMA UMTS 12 ASIG,78211106,78210312,TMA 900 Tower amplifier,TMA900,MI-15832,MI-16331,MI-12731,MI-12031,N/A,Unknown,None"</formula1>
    </dataValidation>
    <dataValidation type="list" xr:uid="{C253DB98-ED69-4D68-B9CD-9A7DEFA14F30}" sqref="H37" showErrorMessage="1" errorTitle="An invalid feedback was entered" error="Please choose feedback from drop down only.">
      <formula1>"Yes,No,SASU,SASU/SASA,DCS/UMTS2100share,78210440,78211110,78210510,DTMA UMTS 12 ASIG,78211106,78210312,TMA 900 Tower amplifier,TMA900,MI-15832,MI-16331,MI-12731,MI-12031,N/A,Unknown,None"</formula1>
    </dataValidation>
    <dataValidation type="list" xr:uid="{7A46B831-240F-4D7E-A371-1E1D463E8D5D}" sqref="I37" showErrorMessage="1" errorTitle="An invalid feedback was entered" error="Please choose feedback from drop down only.">
      <formula1>"Yes,No,SASU,SASU/SASA,DCS/UMTS2100share,78210440,78211110,78210510,DTMA UMTS 12 ASIG,78211106,78210312,TMA 900 Tower amplifier,TMA900,MI-15832,MI-16331,MI-12731,MI-12031,N/A,Unknown,None"</formula1>
    </dataValidation>
    <dataValidation type="list" xr:uid="{9F414C99-FFFB-44E0-A35C-D5692852F0F7}" sqref="J37" showErrorMessage="1" errorTitle="An invalid feedback was entered" error="Please choose feedback from drop down only.">
      <formula1>"Yes,No,SASU,SASU/SASA,DCS/UMTS2100share,78210440,78211110,78210510,DTMA UMTS 12 ASIG,78211106,78210312,TMA 900 Tower amplifier,TMA900,MI-15832,MI-16331,MI-12731,MI-12031,N/A,Unknown,None"</formula1>
    </dataValidation>
    <dataValidation type="list" xr:uid="{D71DD0EF-D05A-4094-B7B7-DFD9FC2359BE}" sqref="K37" showErrorMessage="1" errorTitle="An invalid feedback was entered" error="Please choose feedback from drop down only.">
      <formula1>"Yes,No,SASU,SASU/SASA,DCS/UMTS2100share,78210440,78211110,78210510,DTMA UMTS 12 ASIG,78211106,78210312,TMA 900 Tower amplifier,TMA900,MI-15832,MI-16331,MI-12731,MI-12031,N/A,Unknown,None"</formula1>
    </dataValidation>
    <dataValidation type="list" xr:uid="{4771D85D-D2D3-4296-8344-1EF0F82A8196}" sqref="L37" showErrorMessage="1" errorTitle="An invalid feedback was entered" error="Please choose feedback from drop down only.">
      <formula1>"Yes,No,SASU,SASU/SASA,DCS/UMTS2100share,78210440,78211110,78210510,DTMA UMTS 12 ASIG,78211106,78210312,TMA 900 Tower amplifier,TMA900,MI-15832,MI-16331,MI-12731,MI-12031,N/A,Unknown,None"</formula1>
    </dataValidation>
    <dataValidation type="list" xr:uid="{4F1FF648-8956-4744-A5A2-8055EFF72E38}" sqref="M37" showErrorMessage="1" errorTitle="An invalid feedback was entered" error="Please choose feedback from drop down only.">
      <formula1>"Yes,No,SASU,SASU/SASA,DCS/UMTS2100share,78210440,78211110,78210510,DTMA UMTS 12 ASIG,78211106,78210312,TMA 900 Tower amplifier,TMA900,MI-15832,MI-16331,MI-12731,MI-12031,N/A,Unknown,None"</formula1>
    </dataValidation>
    <dataValidation type="list" xr:uid="{AE52C5A9-177C-431A-8A97-320FFDB9A90D}" sqref="N37" showErrorMessage="1" errorTitle="An invalid feedback was entered" error="Please choose feedback from drop down only.">
      <formula1>"Yes,No,SASU,SASU/SASA,DCS/UMTS2100share,78210440,78211110,78210510,DTMA UMTS 12 ASIG,78211106,78210312,TMA 900 Tower amplifier,TMA900,MI-15832,MI-16331,MI-12731,MI-12031,N/A,Unknown,None"</formula1>
    </dataValidation>
    <dataValidation type="list" xr:uid="{5D2D2930-70AD-40F8-BD21-4582DD181974}" sqref="O37" showErrorMessage="1" errorTitle="An invalid feedback was entered" error="Please choose feedback from drop down only.">
      <formula1>"Yes,No,SASU,SASU/SASA,DCS/UMTS2100share,78210440,78211110,78210510,DTMA UMTS 12 ASIG,78211106,78210312,TMA 900 Tower amplifier,TMA900,MI-15832,MI-16331,MI-12731,MI-12031,N/A,Unknown,None"</formula1>
    </dataValidation>
    <dataValidation type="list" xr:uid="{3E38FF41-09A1-4CF3-9DF4-4EA73CFA6C49}" sqref="P37" showErrorMessage="1" errorTitle="An invalid feedback was entered" error="Please choose feedback from drop down only.">
      <formula1>"Yes,No,SASU,SASU/SASA,DCS/UMTS2100share,78210440,78211110,78210510,DTMA UMTS 12 ASIG,78211106,78210312,TMA 900 Tower amplifier,TMA900,MI-15832,MI-16331,MI-12731,MI-12031,N/A,Unknown,None"</formula1>
    </dataValidation>
    <dataValidation type="list" xr:uid="{179134C4-E487-40B1-8774-9CC305C321C5}" sqref="Q37" showErrorMessage="1" errorTitle="An invalid feedback was entered" error="Please choose feedback from drop down only.">
      <formula1>"Yes,No,SASU,SASU/SASA,DCS/UMTS2100share,78210440,78211110,78210510,DTMA UMTS 12 ASIG,78211106,78210312,TMA 900 Tower amplifier,TMA900,MI-15832,MI-16331,MI-12731,MI-12031,N/A,Unknown,None"</formula1>
    </dataValidation>
  </dataValidations>
  <pageMargins left="0.7" right="0.7" top="0.75" bottom="0.75" header="0.3" footer="0.3"/>
  <pageSetup orientation="portrait"/>
  <headerFooter/>
  <extLst>
    <ext xmlns:x14="http://schemas.microsoft.com/office/spreadsheetml/2009/9/main" uri="{CCE6A557-97BC-4b89-ADB6-D9C93CAAB3DF}">
      <x14:dataValidations xmlns:xm="http://schemas.microsoft.com/office/excel/2006/main" count="60">
        <x14:dataValidation type="list" xr:uid="{370EF0F2-BE00-4E4B-889F-7B9BF3C841A3}" error="Please choose feedback from drop down only." errorTitle="An invalid feedback was entered" showErrorMessage="1">
          <x14:formula1>
            <xm:f>Antennas!A:A</xm:f>
          </x14:formula1>
          <xm:sqref>C8</xm:sqref>
        </x14:dataValidation>
        <x14:dataValidation type="list" xr:uid="{F775F807-704A-4913-9AF6-F6038493BEDE}" error="Please choose feedback from drop down only." errorTitle="An invalid feedback was entered" showErrorMessage="1">
          <x14:formula1>
            <xm:f>Antennas!A:A</xm:f>
          </x14:formula1>
          <xm:sqref>D8</xm:sqref>
        </x14:dataValidation>
        <x14:dataValidation type="list" xr:uid="{055E36F9-D544-442F-AA3C-BCE89C63162B}" error="Please choose feedback from drop down only." errorTitle="An invalid feedback was entered" showErrorMessage="1">
          <x14:formula1>
            <xm:f>Antennas!A:A</xm:f>
          </x14:formula1>
          <xm:sqref>E8</xm:sqref>
        </x14:dataValidation>
        <x14:dataValidation type="list" xr:uid="{4CAF4103-5E9D-43F9-82B0-C572DB06CBAA}" error="Please choose feedback from drop down only." errorTitle="An invalid feedback was entered" showErrorMessage="1">
          <x14:formula1>
            <xm:f>Antennas!A:A</xm:f>
          </x14:formula1>
          <xm:sqref>F8</xm:sqref>
        </x14:dataValidation>
        <x14:dataValidation type="list" xr:uid="{635C18A3-5326-4B48-84BD-D00FF112D2BD}" error="Please choose feedback from drop down only." errorTitle="An invalid feedback was entered" showErrorMessage="1">
          <x14:formula1>
            <xm:f>Antennas!A:A</xm:f>
          </x14:formula1>
          <xm:sqref>G8</xm:sqref>
        </x14:dataValidation>
        <x14:dataValidation type="list" xr:uid="{C7610E09-ED0C-4B3D-B41C-0D1A974EB501}" error="Please choose feedback from drop down only." errorTitle="An invalid feedback was entered" showErrorMessage="1">
          <x14:formula1>
            <xm:f>Antennas!A:A</xm:f>
          </x14:formula1>
          <xm:sqref>H8</xm:sqref>
        </x14:dataValidation>
        <x14:dataValidation type="list" xr:uid="{A82D5974-5706-4DF1-AFD3-B442C93EA3DF}" error="Please choose feedback from drop down only." errorTitle="An invalid feedback was entered" showErrorMessage="1">
          <x14:formula1>
            <xm:f>Antennas!A:A</xm:f>
          </x14:formula1>
          <xm:sqref>I8</xm:sqref>
        </x14:dataValidation>
        <x14:dataValidation type="list" xr:uid="{4BBB4D82-E698-4155-8F54-8040C4D67B9D}" error="Please choose feedback from drop down only." errorTitle="An invalid feedback was entered" showErrorMessage="1">
          <x14:formula1>
            <xm:f>Antennas!A:A</xm:f>
          </x14:formula1>
          <xm:sqref>J8</xm:sqref>
        </x14:dataValidation>
        <x14:dataValidation type="list" xr:uid="{CFD91CDA-FDDD-4084-B159-4DF2081994DA}" error="Please choose feedback from drop down only." errorTitle="An invalid feedback was entered" showErrorMessage="1">
          <x14:formula1>
            <xm:f>Antennas!A:A</xm:f>
          </x14:formula1>
          <xm:sqref>K8</xm:sqref>
        </x14:dataValidation>
        <x14:dataValidation type="list" xr:uid="{6522B724-2E1D-4445-9A23-6958EFDC9E77}" error="Please choose feedback from drop down only." errorTitle="An invalid feedback was entered" showErrorMessage="1">
          <x14:formula1>
            <xm:f>Antennas!A:A</xm:f>
          </x14:formula1>
          <xm:sqref>L8</xm:sqref>
        </x14:dataValidation>
        <x14:dataValidation type="list" xr:uid="{0297D8E2-7962-4004-AA65-BF74C40C002A}" error="Please choose feedback from drop down only." errorTitle="An invalid feedback was entered" showErrorMessage="1">
          <x14:formula1>
            <xm:f>Antennas!A:A</xm:f>
          </x14:formula1>
          <xm:sqref>M8</xm:sqref>
        </x14:dataValidation>
        <x14:dataValidation type="list" xr:uid="{E0C0EEED-2CC3-4E67-9F3F-1510B7E3D16E}" error="Please choose feedback from drop down only." errorTitle="An invalid feedback was entered" showErrorMessage="1">
          <x14:formula1>
            <xm:f>Antennas!A:A</xm:f>
          </x14:formula1>
          <xm:sqref>N8</xm:sqref>
        </x14:dataValidation>
        <x14:dataValidation type="list" xr:uid="{5B8A98DD-F9AD-4EF3-B6CD-24D7F2F2EDFB}" error="Please choose feedback from drop down only." errorTitle="An invalid feedback was entered" showErrorMessage="1">
          <x14:formula1>
            <xm:f>Antennas!A:A</xm:f>
          </x14:formula1>
          <xm:sqref>O8</xm:sqref>
        </x14:dataValidation>
        <x14:dataValidation type="list" xr:uid="{0EB3E13A-C86D-417C-85EC-7AF9F55B7F40}" error="Please choose feedback from drop down only." errorTitle="An invalid feedback was entered" showErrorMessage="1">
          <x14:formula1>
            <xm:f>Antennas!A:A</xm:f>
          </x14:formula1>
          <xm:sqref>P8</xm:sqref>
        </x14:dataValidation>
        <x14:dataValidation type="list" xr:uid="{98274A56-B833-4255-B8F8-C13B676616A4}" error="Please choose feedback from drop down only." errorTitle="An invalid feedback was entered" showErrorMessage="1">
          <x14:formula1>
            <xm:f>Antennas!A:A</xm:f>
          </x14:formula1>
          <xm:sqref>Q8</xm:sqref>
        </x14:dataValidation>
        <x14:dataValidation type="list" xr:uid="{F1AC612A-302F-4873-A610-C031D87CD7D1}" error="Please choose feedback from drop down only." errorTitle="An invalid feedback was entered" showErrorMessage="1">
          <x14:formula1>
            <xm:f>Combiners!A:A</xm:f>
          </x14:formula1>
          <xm:sqref>C39</xm:sqref>
        </x14:dataValidation>
        <x14:dataValidation type="list" xr:uid="{8F236D38-766E-4802-84EF-946827E97418}" error="Please choose feedback from drop down only." errorTitle="An invalid feedback was entered" showErrorMessage="1">
          <x14:formula1>
            <xm:f>Combiners!A:A</xm:f>
          </x14:formula1>
          <xm:sqref>D39</xm:sqref>
        </x14:dataValidation>
        <x14:dataValidation type="list" xr:uid="{2833569E-8EA2-4C1B-BF0E-24325003064A}" error="Please choose feedback from drop down only." errorTitle="An invalid feedback was entered" showErrorMessage="1">
          <x14:formula1>
            <xm:f>Combiners!A:A</xm:f>
          </x14:formula1>
          <xm:sqref>E39</xm:sqref>
        </x14:dataValidation>
        <x14:dataValidation type="list" xr:uid="{5E3AFC11-C5B6-4E3B-BB43-D1C77912739F}" error="Please choose feedback from drop down only." errorTitle="An invalid feedback was entered" showErrorMessage="1">
          <x14:formula1>
            <xm:f>Combiners!A:A</xm:f>
          </x14:formula1>
          <xm:sqref>F39</xm:sqref>
        </x14:dataValidation>
        <x14:dataValidation type="list" xr:uid="{ED5F0C9B-D29A-4197-AF90-CF6B03DE1AF9}" error="Please choose feedback from drop down only." errorTitle="An invalid feedback was entered" showErrorMessage="1">
          <x14:formula1>
            <xm:f>Combiners!A:A</xm:f>
          </x14:formula1>
          <xm:sqref>G39</xm:sqref>
        </x14:dataValidation>
        <x14:dataValidation type="list" xr:uid="{9978E012-27F0-4298-846E-F0059FF73B85}" error="Please choose feedback from drop down only." errorTitle="An invalid feedback was entered" showErrorMessage="1">
          <x14:formula1>
            <xm:f>Combiners!A:A</xm:f>
          </x14:formula1>
          <xm:sqref>H39</xm:sqref>
        </x14:dataValidation>
        <x14:dataValidation type="list" xr:uid="{A3D592D1-2189-49BA-9791-DBD8D2B13C22}" error="Please choose feedback from drop down only." errorTitle="An invalid feedback was entered" showErrorMessage="1">
          <x14:formula1>
            <xm:f>Combiners!A:A</xm:f>
          </x14:formula1>
          <xm:sqref>I39</xm:sqref>
        </x14:dataValidation>
        <x14:dataValidation type="list" xr:uid="{62BDD3E0-D234-48B7-BAF7-0AAC28794FBC}" error="Please choose feedback from drop down only." errorTitle="An invalid feedback was entered" showErrorMessage="1">
          <x14:formula1>
            <xm:f>Combiners!A:A</xm:f>
          </x14:formula1>
          <xm:sqref>J39</xm:sqref>
        </x14:dataValidation>
        <x14:dataValidation type="list" xr:uid="{E178CF06-6329-41DA-9901-D964BB955047}" error="Please choose feedback from drop down only." errorTitle="An invalid feedback was entered" showErrorMessage="1">
          <x14:formula1>
            <xm:f>Combiners!A:A</xm:f>
          </x14:formula1>
          <xm:sqref>K39</xm:sqref>
        </x14:dataValidation>
        <x14:dataValidation type="list" xr:uid="{3B3ADE13-72DF-4644-823B-2D8547C8BBD8}" error="Please choose feedback from drop down only." errorTitle="An invalid feedback was entered" showErrorMessage="1">
          <x14:formula1>
            <xm:f>Combiners!A:A</xm:f>
          </x14:formula1>
          <xm:sqref>L39</xm:sqref>
        </x14:dataValidation>
        <x14:dataValidation type="list" xr:uid="{53D4093F-873C-4531-BAD6-5867BF6374C6}" error="Please choose feedback from drop down only." errorTitle="An invalid feedback was entered" showErrorMessage="1">
          <x14:formula1>
            <xm:f>Combiners!A:A</xm:f>
          </x14:formula1>
          <xm:sqref>M39</xm:sqref>
        </x14:dataValidation>
        <x14:dataValidation type="list" xr:uid="{4E75EEA0-F54F-479F-80D5-8CF42D139AD2}" error="Please choose feedback from drop down only." errorTitle="An invalid feedback was entered" showErrorMessage="1">
          <x14:formula1>
            <xm:f>Combiners!A:A</xm:f>
          </x14:formula1>
          <xm:sqref>N39</xm:sqref>
        </x14:dataValidation>
        <x14:dataValidation type="list" xr:uid="{B20A180F-0580-4345-ABA4-6C6E8CB5A23A}" error="Please choose feedback from drop down only." errorTitle="An invalid feedback was entered" showErrorMessage="1">
          <x14:formula1>
            <xm:f>Combiners!A:A</xm:f>
          </x14:formula1>
          <xm:sqref>O39</xm:sqref>
        </x14:dataValidation>
        <x14:dataValidation type="list" xr:uid="{D0470B5C-0464-4D4A-90EB-5CD8FDC4D707}" error="Please choose feedback from drop down only." errorTitle="An invalid feedback was entered" showErrorMessage="1">
          <x14:formula1>
            <xm:f>Combiners!A:A</xm:f>
          </x14:formula1>
          <xm:sqref>P39</xm:sqref>
        </x14:dataValidation>
        <x14:dataValidation type="list" xr:uid="{219FB46A-43D4-4FF3-BABB-BBED07DF981F}" error="Please choose feedback from drop down only." errorTitle="An invalid feedback was entered" showErrorMessage="1">
          <x14:formula1>
            <xm:f>Combiners!A:A</xm:f>
          </x14:formula1>
          <xm:sqref>Q39</xm:sqref>
        </x14:dataValidation>
        <x14:dataValidation type="list" xr:uid="{2CA5C0D8-4510-47C6-9F69-8C037E59CADC}" error="Please choose feedback from drop down only." errorTitle="An invalid feedback was entered" showErrorMessage="0">
          <x14:formula1>
            <xm:f>RRUs!A:A</xm:f>
          </x14:formula1>
          <xm:sqref>C35</xm:sqref>
        </x14:dataValidation>
        <x14:dataValidation type="list" xr:uid="{1F0CD16A-6D28-4B81-B670-E1D734EA40CD}" error="Please choose feedback from drop down only." errorTitle="An invalid feedback was entered" showErrorMessage="0">
          <x14:formula1>
            <xm:f>RRUs!A:A</xm:f>
          </x14:formula1>
          <xm:sqref>D35</xm:sqref>
        </x14:dataValidation>
        <x14:dataValidation type="list" xr:uid="{4D052FBE-A40C-4BE3-9651-DECE58A783E4}" error="Please choose feedback from drop down only." errorTitle="An invalid feedback was entered" showErrorMessage="0">
          <x14:formula1>
            <xm:f>RRUs!A:A</xm:f>
          </x14:formula1>
          <xm:sqref>E35</xm:sqref>
        </x14:dataValidation>
        <x14:dataValidation type="list" xr:uid="{0C939528-3FDD-4C8E-A7B5-12283F0CD5E7}" error="Please choose feedback from drop down only." errorTitle="An invalid feedback was entered" showErrorMessage="0">
          <x14:formula1>
            <xm:f>RRUs!A:A</xm:f>
          </x14:formula1>
          <xm:sqref>F35</xm:sqref>
        </x14:dataValidation>
        <x14:dataValidation type="list" xr:uid="{CDEAA98E-8003-4810-8DCE-7A54FEAD55E2}" error="Please choose feedback from drop down only." errorTitle="An invalid feedback was entered" showErrorMessage="0">
          <x14:formula1>
            <xm:f>RRUs!A:A</xm:f>
          </x14:formula1>
          <xm:sqref>G35</xm:sqref>
        </x14:dataValidation>
        <x14:dataValidation type="list" xr:uid="{D509F51B-024D-4B60-8C43-0FF966B02DB9}" error="Please choose feedback from drop down only." errorTitle="An invalid feedback was entered" showErrorMessage="0">
          <x14:formula1>
            <xm:f>RRUs!A:A</xm:f>
          </x14:formula1>
          <xm:sqref>H35</xm:sqref>
        </x14:dataValidation>
        <x14:dataValidation type="list" xr:uid="{68A95887-191E-477F-B457-493F3EE7FC3C}" error="Please choose feedback from drop down only." errorTitle="An invalid feedback was entered" showErrorMessage="0">
          <x14:formula1>
            <xm:f>RRUs!A:A</xm:f>
          </x14:formula1>
          <xm:sqref>I35</xm:sqref>
        </x14:dataValidation>
        <x14:dataValidation type="list" xr:uid="{30079BCE-2E33-4F3B-BAE6-5845A0785FD2}" error="Please choose feedback from drop down only." errorTitle="An invalid feedback was entered" showErrorMessage="0">
          <x14:formula1>
            <xm:f>RRUs!A:A</xm:f>
          </x14:formula1>
          <xm:sqref>J35</xm:sqref>
        </x14:dataValidation>
        <x14:dataValidation type="list" xr:uid="{61AE935D-D915-49CB-8583-A1A1BF72C1A1}" error="Please choose feedback from drop down only." errorTitle="An invalid feedback was entered" showErrorMessage="0">
          <x14:formula1>
            <xm:f>RRUs!A:A</xm:f>
          </x14:formula1>
          <xm:sqref>K35</xm:sqref>
        </x14:dataValidation>
        <x14:dataValidation type="list" xr:uid="{04EDCBF9-0F74-4607-8498-A92077AEA1B6}" error="Please choose feedback from drop down only." errorTitle="An invalid feedback was entered" showErrorMessage="0">
          <x14:formula1>
            <xm:f>RRUs!A:A</xm:f>
          </x14:formula1>
          <xm:sqref>L35</xm:sqref>
        </x14:dataValidation>
        <x14:dataValidation type="list" xr:uid="{7662B6F1-EC86-4D81-B60F-7E5E95D7754F}" error="Please choose feedback from drop down only." errorTitle="An invalid feedback was entered" showErrorMessage="0">
          <x14:formula1>
            <xm:f>RRUs!A:A</xm:f>
          </x14:formula1>
          <xm:sqref>M35</xm:sqref>
        </x14:dataValidation>
        <x14:dataValidation type="list" xr:uid="{61BF2E26-2E96-450A-BBEB-CAF228AA7D4E}" error="Please choose feedback from drop down only." errorTitle="An invalid feedback was entered" showErrorMessage="0">
          <x14:formula1>
            <xm:f>RRUs!A:A</xm:f>
          </x14:formula1>
          <xm:sqref>N35</xm:sqref>
        </x14:dataValidation>
        <x14:dataValidation type="list" xr:uid="{27641AA7-4B7B-412E-A629-E77978ED5718}" error="Please choose feedback from drop down only." errorTitle="An invalid feedback was entered" showErrorMessage="0">
          <x14:formula1>
            <xm:f>RRUs!A:A</xm:f>
          </x14:formula1>
          <xm:sqref>O35</xm:sqref>
        </x14:dataValidation>
        <x14:dataValidation type="list" xr:uid="{3224BCAF-7D40-4578-9579-B22FE9284209}" error="Please choose feedback from drop down only." errorTitle="An invalid feedback was entered" showErrorMessage="0">
          <x14:formula1>
            <xm:f>RRUs!A:A</xm:f>
          </x14:formula1>
          <xm:sqref>P35</xm:sqref>
        </x14:dataValidation>
        <x14:dataValidation type="list" xr:uid="{B4C631C5-9ACB-4304-B571-05DEA0A86432}" error="Please choose feedback from drop down only." errorTitle="An invalid feedback was entered" showErrorMessage="0">
          <x14:formula1>
            <xm:f>RRUs!A:A</xm:f>
          </x14:formula1>
          <xm:sqref>Q35</xm:sqref>
        </x14:dataValidation>
        <x14:dataValidation type="list" xr:uid="{BF3447C7-065A-4E10-A8EF-822DDF3F237B}" error="Please choose feedback from drop down only." errorTitle="An invalid feedback was entered" showErrorMessage="1">
          <x14:formula1>
            <xm:f>Combiners!A:A</xm:f>
          </x14:formula1>
          <xm:sqref>C41</xm:sqref>
        </x14:dataValidation>
        <x14:dataValidation type="list" xr:uid="{8461B124-6FD6-4A32-ABBD-256BFE7AE504}" error="Please choose feedback from drop down only." errorTitle="An invalid feedback was entered" showErrorMessage="1">
          <x14:formula1>
            <xm:f>Combiners!A:A</xm:f>
          </x14:formula1>
          <xm:sqref>D41</xm:sqref>
        </x14:dataValidation>
        <x14:dataValidation type="list" xr:uid="{1B864F6C-9084-4386-A576-BFD2AD9A6D60}" error="Please choose feedback from drop down only." errorTitle="An invalid feedback was entered" showErrorMessage="1">
          <x14:formula1>
            <xm:f>Combiners!A:A</xm:f>
          </x14:formula1>
          <xm:sqref>E41</xm:sqref>
        </x14:dataValidation>
        <x14:dataValidation type="list" xr:uid="{3E6D8745-F2F8-43B5-B1A7-9D580316F6B3}" error="Please choose feedback from drop down only." errorTitle="An invalid feedback was entered" showErrorMessage="1">
          <x14:formula1>
            <xm:f>Combiners!A:A</xm:f>
          </x14:formula1>
          <xm:sqref>F41</xm:sqref>
        </x14:dataValidation>
        <x14:dataValidation type="list" xr:uid="{0A11BFC7-C5EB-4EDC-BFD1-7CC95B0C7C7A}" error="Please choose feedback from drop down only." errorTitle="An invalid feedback was entered" showErrorMessage="1">
          <x14:formula1>
            <xm:f>Combiners!A:A</xm:f>
          </x14:formula1>
          <xm:sqref>G41</xm:sqref>
        </x14:dataValidation>
        <x14:dataValidation type="list" xr:uid="{74D50E1A-CE9A-499F-B513-73B51244F367}" error="Please choose feedback from drop down only." errorTitle="An invalid feedback was entered" showErrorMessage="1">
          <x14:formula1>
            <xm:f>Combiners!A:A</xm:f>
          </x14:formula1>
          <xm:sqref>H41</xm:sqref>
        </x14:dataValidation>
        <x14:dataValidation type="list" xr:uid="{1836CB01-527A-46CE-8070-9F1853ECC2B1}" error="Please choose feedback from drop down only." errorTitle="An invalid feedback was entered" showErrorMessage="1">
          <x14:formula1>
            <xm:f>Combiners!A:A</xm:f>
          </x14:formula1>
          <xm:sqref>I41</xm:sqref>
        </x14:dataValidation>
        <x14:dataValidation type="list" xr:uid="{49994F55-5133-4E4C-AA34-15EFA0290817}" error="Please choose feedback from drop down only." errorTitle="An invalid feedback was entered" showErrorMessage="1">
          <x14:formula1>
            <xm:f>Combiners!A:A</xm:f>
          </x14:formula1>
          <xm:sqref>J41</xm:sqref>
        </x14:dataValidation>
        <x14:dataValidation type="list" xr:uid="{A30EDB42-2FED-440D-A913-F1E5E5D12279}" error="Please choose feedback from drop down only." errorTitle="An invalid feedback was entered" showErrorMessage="1">
          <x14:formula1>
            <xm:f>Combiners!A:A</xm:f>
          </x14:formula1>
          <xm:sqref>K41</xm:sqref>
        </x14:dataValidation>
        <x14:dataValidation type="list" xr:uid="{BF019D8C-A76E-4A20-B013-2E5C63B03441}" error="Please choose feedback from drop down only." errorTitle="An invalid feedback was entered" showErrorMessage="1">
          <x14:formula1>
            <xm:f>Combiners!A:A</xm:f>
          </x14:formula1>
          <xm:sqref>L41</xm:sqref>
        </x14:dataValidation>
        <x14:dataValidation type="list" xr:uid="{C3145863-CD6B-4FFD-ABC0-E595835C316B}" error="Please choose feedback from drop down only." errorTitle="An invalid feedback was entered" showErrorMessage="1">
          <x14:formula1>
            <xm:f>Combiners!A:A</xm:f>
          </x14:formula1>
          <xm:sqref>M41</xm:sqref>
        </x14:dataValidation>
        <x14:dataValidation type="list" xr:uid="{8E64F125-BA7B-4418-A837-54AB8DDF8C93}" error="Please choose feedback from drop down only." errorTitle="An invalid feedback was entered" showErrorMessage="1">
          <x14:formula1>
            <xm:f>Combiners!A:A</xm:f>
          </x14:formula1>
          <xm:sqref>N41</xm:sqref>
        </x14:dataValidation>
        <x14:dataValidation type="list" xr:uid="{8C0FF5E4-CBC8-4ECB-99F6-C533AE913A5A}" error="Please choose feedback from drop down only." errorTitle="An invalid feedback was entered" showErrorMessage="1">
          <x14:formula1>
            <xm:f>Combiners!A:A</xm:f>
          </x14:formula1>
          <xm:sqref>O41</xm:sqref>
        </x14:dataValidation>
        <x14:dataValidation type="list" xr:uid="{8B097AAE-CB37-4B27-B674-E590ED554133}" error="Please choose feedback from drop down only." errorTitle="An invalid feedback was entered" showErrorMessage="1">
          <x14:formula1>
            <xm:f>Combiners!A:A</xm:f>
          </x14:formula1>
          <xm:sqref>P41</xm:sqref>
        </x14:dataValidation>
        <x14:dataValidation type="list" xr:uid="{24EF8460-754C-4109-95FD-9E0E317E4D59}" error="Please choose feedback from drop down only." errorTitle="An invalid feedback was entered" showErrorMessage="1">
          <x14:formula1>
            <xm:f>Combiners!A:A</xm:f>
          </x14:formula1>
          <xm:sqref>Q41</xm:sqref>
        </x14:dataValidation>
      </x14:dataValidations>
    </ext>
  </extLst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mc:Ignorable="x14ac xr">
  <sheetPr codeName="Sheet9"/>
  <dimension ref="A1:U45"/>
  <sheetViews>
    <sheetView zoomScale="90" zoomScaleNormal="90" workbookViewId="0">
      <selection activeCell="C8" sqref="C8:H8"/>
    </sheetView>
  </sheetViews>
  <sheetFormatPr defaultColWidth="9.1328125" defaultRowHeight="12.75"/>
  <cols>
    <col min="1" max="1" bestFit="1" width="10.265625" customWidth="1" style="6"/>
    <col min="2" max="2" bestFit="1" width="40.1328125" customWidth="1" style="7"/>
    <col min="3" max="7" width="9.1328125" customWidth="1" style="21"/>
    <col min="8" max="8" bestFit="1" width="9.3984375" customWidth="1" style="21"/>
    <col min="9" max="16384" width="9.1328125" customWidth="1" style="21"/>
  </cols>
  <sheetData>
    <row r="1" ht="25.15" customHeight="1">
      <c r="A1" s="197"/>
      <c r="B1" s="198"/>
      <c r="C1" s="258" t="s">
        <v>120</v>
      </c>
      <c r="D1" s="258"/>
      <c r="E1" s="258"/>
      <c r="F1" s="258"/>
      <c r="G1" s="258"/>
      <c r="H1" s="258"/>
      <c r="I1" s="258"/>
      <c r="J1" s="258"/>
      <c r="K1" s="258"/>
      <c r="L1" s="258"/>
      <c r="M1" s="258"/>
      <c r="N1" s="258"/>
      <c r="O1" s="258"/>
      <c r="P1" s="258"/>
    </row>
    <row r="2" ht="18">
      <c r="A2" s="33"/>
      <c r="B2" s="14" t="s">
        <v>1</v>
      </c>
      <c r="C2" s="217">
        <v>1</v>
      </c>
      <c r="D2" s="251"/>
      <c r="E2" s="251"/>
      <c r="F2" s="251"/>
      <c r="G2" s="251"/>
      <c r="H2" s="219"/>
      <c r="I2" s="252">
        <v>2</v>
      </c>
      <c r="J2" s="253"/>
      <c r="K2" s="253"/>
      <c r="L2" s="254"/>
      <c r="M2" s="252">
        <v>3</v>
      </c>
      <c r="N2" s="253"/>
      <c r="O2" s="255"/>
      <c r="P2" s="72">
        <v>4</v>
      </c>
    </row>
    <row r="3" ht="17.25">
      <c r="A3" s="241"/>
      <c r="B3" s="12" t="s">
        <v>2</v>
      </c>
      <c r="C3" s="211"/>
      <c r="D3" s="212"/>
      <c r="E3" s="212"/>
      <c r="F3" s="212"/>
      <c r="G3" s="212"/>
      <c r="H3" s="212"/>
      <c r="I3" s="212"/>
      <c r="J3" s="212"/>
      <c r="K3" s="212"/>
      <c r="L3" s="212"/>
      <c r="M3" s="212"/>
      <c r="N3" s="212"/>
      <c r="O3" s="212"/>
      <c r="P3" s="213"/>
    </row>
    <row r="4" ht="25.15" s="22" customFormat="1">
      <c r="A4" s="241"/>
      <c r="B4" s="9" t="s">
        <v>3</v>
      </c>
      <c r="C4" s="270"/>
      <c r="D4" s="271"/>
      <c r="E4" s="271"/>
      <c r="F4" s="271"/>
      <c r="G4" s="271"/>
      <c r="H4" s="271"/>
      <c r="I4" s="271"/>
      <c r="J4" s="271"/>
      <c r="K4" s="271"/>
      <c r="L4" s="271"/>
      <c r="M4" s="271"/>
      <c r="N4" s="271"/>
      <c r="O4" s="271"/>
      <c r="P4" s="272"/>
    </row>
    <row r="5" ht="24.75">
      <c r="A5" s="241"/>
      <c r="B5" s="13" t="s">
        <v>4</v>
      </c>
      <c r="C5" s="263"/>
      <c r="D5" s="264"/>
      <c r="E5" s="264"/>
      <c r="F5" s="264"/>
      <c r="G5" s="264"/>
      <c r="H5" s="264"/>
      <c r="I5" s="264"/>
      <c r="J5" s="264"/>
      <c r="K5" s="264"/>
      <c r="L5" s="264"/>
      <c r="M5" s="264"/>
      <c r="N5" s="264"/>
      <c r="O5" s="264"/>
      <c r="P5" s="265"/>
    </row>
    <row r="6" ht="25.15" s="22" customFormat="1">
      <c r="A6" s="241"/>
      <c r="B6" s="32" t="s">
        <v>5</v>
      </c>
      <c r="C6" s="248"/>
      <c r="D6" s="249"/>
      <c r="E6" s="249"/>
      <c r="F6" s="249"/>
      <c r="G6" s="249"/>
      <c r="H6" s="249"/>
      <c r="I6" s="249"/>
      <c r="J6" s="249"/>
      <c r="K6" s="249"/>
      <c r="L6" s="249"/>
      <c r="M6" s="249"/>
      <c r="N6" s="249"/>
      <c r="O6" s="249"/>
      <c r="P6" s="250"/>
    </row>
    <row r="7" ht="17.25">
      <c r="A7" s="241"/>
      <c r="B7" s="8" t="s">
        <v>6</v>
      </c>
      <c r="C7" s="226"/>
      <c r="D7" s="227"/>
      <c r="E7" s="227"/>
      <c r="F7" s="227"/>
      <c r="G7" s="227"/>
      <c r="H7" s="228"/>
      <c r="I7" s="227"/>
      <c r="J7" s="227"/>
      <c r="K7" s="227"/>
      <c r="L7" s="228"/>
      <c r="M7" s="227"/>
      <c r="N7" s="227"/>
      <c r="O7" s="228"/>
      <c r="P7" s="94"/>
    </row>
    <row r="8" ht="17.65" s="22" customFormat="1">
      <c r="A8" s="241"/>
      <c r="B8" s="9" t="s">
        <v>8</v>
      </c>
      <c r="C8" s="229"/>
      <c r="D8" s="230"/>
      <c r="E8" s="230"/>
      <c r="F8" s="230"/>
      <c r="G8" s="230"/>
      <c r="H8" s="231"/>
      <c r="I8" s="229"/>
      <c r="J8" s="230"/>
      <c r="K8" s="230"/>
      <c r="L8" s="231"/>
      <c r="M8" s="229"/>
      <c r="N8" s="230"/>
      <c r="O8" s="231"/>
      <c r="P8" s="95"/>
    </row>
    <row r="9" ht="17.25">
      <c r="A9" s="241"/>
      <c r="B9" s="8" t="s">
        <v>9</v>
      </c>
      <c r="C9" s="211"/>
      <c r="D9" s="212"/>
      <c r="E9" s="212"/>
      <c r="F9" s="212"/>
      <c r="G9" s="212"/>
      <c r="H9" s="213"/>
      <c r="I9" s="212"/>
      <c r="J9" s="212"/>
      <c r="K9" s="212"/>
      <c r="L9" s="213"/>
      <c r="M9" s="212"/>
      <c r="N9" s="212"/>
      <c r="O9" s="213"/>
      <c r="P9" s="94"/>
    </row>
    <row r="10" ht="17.65" s="22" customFormat="1">
      <c r="A10" s="241"/>
      <c r="B10" s="10" t="s">
        <v>11</v>
      </c>
      <c r="C10" s="229"/>
      <c r="D10" s="230"/>
      <c r="E10" s="230"/>
      <c r="F10" s="230"/>
      <c r="G10" s="230"/>
      <c r="H10" s="231"/>
      <c r="I10" s="229"/>
      <c r="J10" s="230"/>
      <c r="K10" s="230"/>
      <c r="L10" s="231"/>
      <c r="M10" s="229"/>
      <c r="N10" s="230"/>
      <c r="O10" s="231"/>
      <c r="P10" s="95"/>
    </row>
    <row r="11" ht="17.25">
      <c r="A11" s="241"/>
      <c r="B11" s="8" t="s">
        <v>12</v>
      </c>
      <c r="C11" s="211"/>
      <c r="D11" s="212"/>
      <c r="E11" s="212"/>
      <c r="F11" s="212"/>
      <c r="G11" s="212"/>
      <c r="H11" s="213"/>
      <c r="I11" s="212"/>
      <c r="J11" s="212"/>
      <c r="K11" s="212"/>
      <c r="L11" s="213"/>
      <c r="M11" s="212"/>
      <c r="N11" s="212"/>
      <c r="O11" s="213"/>
      <c r="P11" s="94"/>
    </row>
    <row r="12" ht="17.65" s="22" customFormat="1">
      <c r="A12" s="241"/>
      <c r="B12" s="10" t="s">
        <v>13</v>
      </c>
      <c r="C12" s="214"/>
      <c r="D12" s="215"/>
      <c r="E12" s="215"/>
      <c r="F12" s="215"/>
      <c r="G12" s="215"/>
      <c r="H12" s="216"/>
      <c r="I12" s="214"/>
      <c r="J12" s="215"/>
      <c r="K12" s="215"/>
      <c r="L12" s="216"/>
      <c r="M12" s="214"/>
      <c r="N12" s="215"/>
      <c r="O12" s="216"/>
      <c r="P12" s="95"/>
    </row>
    <row r="13" ht="17.25">
      <c r="A13" s="241"/>
      <c r="B13" s="8" t="s">
        <v>14</v>
      </c>
      <c r="C13" s="211"/>
      <c r="D13" s="212"/>
      <c r="E13" s="212"/>
      <c r="F13" s="212"/>
      <c r="G13" s="212"/>
      <c r="H13" s="213"/>
      <c r="I13" s="212"/>
      <c r="J13" s="212"/>
      <c r="K13" s="212"/>
      <c r="L13" s="213"/>
      <c r="M13" s="212"/>
      <c r="N13" s="212"/>
      <c r="O13" s="213"/>
      <c r="P13" s="94"/>
    </row>
    <row r="14" ht="17.65" s="22" customFormat="1">
      <c r="A14" s="241"/>
      <c r="B14" s="10" t="s">
        <v>15</v>
      </c>
      <c r="C14" s="208"/>
      <c r="D14" s="209"/>
      <c r="E14" s="209"/>
      <c r="F14" s="209"/>
      <c r="G14" s="209"/>
      <c r="H14" s="210"/>
      <c r="I14" s="208"/>
      <c r="J14" s="209"/>
      <c r="K14" s="209"/>
      <c r="L14" s="210"/>
      <c r="M14" s="208"/>
      <c r="N14" s="209"/>
      <c r="O14" s="210"/>
      <c r="P14" s="96"/>
    </row>
    <row r="15" ht="17.25">
      <c r="A15" s="241"/>
      <c r="B15" s="8" t="s">
        <v>16</v>
      </c>
      <c r="C15" s="211"/>
      <c r="D15" s="212"/>
      <c r="E15" s="212"/>
      <c r="F15" s="212"/>
      <c r="G15" s="212"/>
      <c r="H15" s="213"/>
      <c r="I15" s="212"/>
      <c r="J15" s="212"/>
      <c r="K15" s="212"/>
      <c r="L15" s="213"/>
      <c r="M15" s="212"/>
      <c r="N15" s="212"/>
      <c r="O15" s="213"/>
      <c r="P15" s="97"/>
    </row>
    <row r="16" ht="17.25" s="22" customFormat="1">
      <c r="A16" s="241"/>
      <c r="B16" s="68" t="s">
        <v>17</v>
      </c>
      <c r="C16" s="199"/>
      <c r="D16" s="200"/>
      <c r="E16" s="200"/>
      <c r="F16" s="200"/>
      <c r="G16" s="200"/>
      <c r="H16" s="201"/>
      <c r="I16" s="202"/>
      <c r="J16" s="203"/>
      <c r="K16" s="203"/>
      <c r="L16" s="204"/>
      <c r="M16" s="202"/>
      <c r="N16" s="203"/>
      <c r="O16" s="204"/>
      <c r="P16" s="98"/>
    </row>
    <row r="17" ht="17.25">
      <c r="A17" s="256"/>
      <c r="B17" s="70" t="s">
        <v>18</v>
      </c>
      <c r="C17" s="63" t="s">
        <v>19</v>
      </c>
      <c r="D17" s="64" t="s">
        <v>20</v>
      </c>
      <c r="E17" s="64" t="s">
        <v>21</v>
      </c>
      <c r="F17" s="64" t="s">
        <v>22</v>
      </c>
      <c r="G17" s="64" t="s">
        <v>23</v>
      </c>
      <c r="H17" s="65" t="s">
        <v>24</v>
      </c>
      <c r="I17" s="63" t="s">
        <v>19</v>
      </c>
      <c r="J17" s="64" t="s">
        <v>20</v>
      </c>
      <c r="K17" s="64" t="s">
        <v>21</v>
      </c>
      <c r="L17" s="65" t="s">
        <v>22</v>
      </c>
      <c r="M17" s="63" t="s">
        <v>19</v>
      </c>
      <c r="N17" s="64" t="s">
        <v>20</v>
      </c>
      <c r="O17" s="65" t="s">
        <v>21</v>
      </c>
      <c r="P17" s="76" t="s">
        <v>19</v>
      </c>
    </row>
    <row r="18" ht="17.25">
      <c r="A18" s="256"/>
      <c r="B18" s="70" t="s">
        <v>25</v>
      </c>
      <c r="C18" s="63"/>
      <c r="D18" s="64"/>
      <c r="E18" s="64"/>
      <c r="F18" s="64"/>
      <c r="G18" s="64"/>
      <c r="H18" s="65"/>
      <c r="I18" s="63"/>
      <c r="J18" s="64"/>
      <c r="K18" s="64"/>
      <c r="L18" s="65"/>
      <c r="M18" s="63"/>
      <c r="N18" s="64"/>
      <c r="O18" s="65"/>
      <c r="P18" s="77"/>
    </row>
    <row r="19" ht="17.25">
      <c r="A19" s="256"/>
      <c r="B19" s="71" t="s">
        <v>32</v>
      </c>
      <c r="C19" s="105">
        <f>VLOOKUP(C8,AntennasPortName!A:H,2,FALSE)</f>
      </c>
      <c r="D19" s="105">
        <f>VLOOKUP(C8,AntennasPortName!A:H,3,FALSE)</f>
      </c>
      <c r="E19" s="105">
        <f>VLOOKUP(C8,AntennasPortName!A:H,4,FALSE)</f>
      </c>
      <c r="F19" s="105">
        <f>VLOOKUP(C8,AntennasPortName!A:H,5,FALSE)</f>
      </c>
      <c r="G19" s="105">
        <f>VLOOKUP(C8,AntennasPortName!A:H,6,FALSE)</f>
      </c>
      <c r="H19" s="105">
        <f>VLOOKUP(C8,AntennasPortName!A:H,7,FALSE)</f>
      </c>
      <c r="I19" s="105">
        <f>VLOOKUP(I8,AntennasPortName!A:H,2,FALSE)</f>
      </c>
      <c r="J19" s="105">
        <f>VLOOKUP(I8,AntennasPortName!A:H,3,FALSE)</f>
      </c>
      <c r="K19" s="105">
        <f>VLOOKUP(I8,AntennasPortName!A:H,4,FALSE)</f>
      </c>
      <c r="L19" s="105">
        <f>VLOOKUP(I8,AntennasPortName!A:H,5,FALSE)</f>
      </c>
      <c r="M19" s="105">
        <f>VLOOKUP(M8,AntennasPortName!A:H,2,FALSE)</f>
      </c>
      <c r="N19" s="105">
        <f>VLOOKUP(M8,AntennasPortName!A:H,3,FALSE)</f>
      </c>
      <c r="O19" s="105">
        <f>VLOOKUP(M8,AntennasPortName!A:H,4,FALSE)</f>
      </c>
      <c r="P19" s="105">
        <f>VLOOKUP(P8,AntennasPortName!A:H,2,FALSE)</f>
      </c>
      <c r="Q19" s="106"/>
    </row>
    <row r="20" ht="17.25">
      <c r="A20" s="241"/>
      <c r="B20" s="69" t="s">
        <v>33</v>
      </c>
      <c r="C20" s="61"/>
      <c r="D20" s="62"/>
      <c r="E20" s="62"/>
      <c r="F20" s="62"/>
      <c r="G20" s="62"/>
      <c r="H20" s="62"/>
      <c r="I20" s="61"/>
      <c r="J20" s="62"/>
      <c r="K20" s="62"/>
      <c r="L20" s="66"/>
      <c r="M20" s="67"/>
      <c r="N20" s="62"/>
      <c r="O20" s="66"/>
      <c r="P20" s="66"/>
    </row>
    <row r="21" ht="17.65">
      <c r="A21" s="241"/>
      <c r="B21" s="18" t="s">
        <v>36</v>
      </c>
      <c r="C21" s="42">
        <f>VLOOKUP(C8,Antennas!A:H,2,FALSE)</f>
      </c>
      <c r="D21" s="43">
        <f>VLOOKUP(C8,Antennas!A:H,3,FALSE)</f>
      </c>
      <c r="E21" s="43">
        <f>VLOOKUP(C8,Antennas!A:H,4,FALSE)</f>
      </c>
      <c r="F21" s="43">
        <f>VLOOKUP(C8,Antennas!A:H,5,FALSE)</f>
      </c>
      <c r="G21" s="43">
        <f>VLOOKUP(C8,Antennas!A:H,6,FALSE)</f>
      </c>
      <c r="H21" s="43">
        <f>VLOOKUP(C8,Antennas!A:H,7,FALSE)</f>
      </c>
      <c r="I21" s="43">
        <f>VLOOKUP(I8,Antennas!A:H,2,FALSE)</f>
      </c>
      <c r="J21" s="43">
        <f>VLOOKUP(I8,Antennas!A:H,3,FALSE)</f>
      </c>
      <c r="K21" s="43">
        <f>VLOOKUP(I8,Antennas!A:H,4,FALSE)</f>
      </c>
      <c r="L21" s="44">
        <f>VLOOKUP(I8,Antennas!A:H,5,FALSE)</f>
      </c>
      <c r="M21" s="45">
        <f>VLOOKUP(M8,Antennas!A:H,2,FALSE)</f>
      </c>
      <c r="N21" s="43">
        <f>VLOOKUP(M8,Antennas!A:H,3,FALSE)</f>
      </c>
      <c r="O21" s="42">
        <f>VLOOKUP(M8,Antennas!A:H,4,FALSE)</f>
      </c>
      <c r="P21" s="42">
        <f>VLOOKUP(P8,Antennas!A:H,2,FALSE)</f>
      </c>
      <c r="R21" s="17"/>
    </row>
    <row r="22" ht="17.65" s="22" customFormat="1">
      <c r="A22" s="241"/>
      <c r="B22" s="28" t="s">
        <v>37</v>
      </c>
      <c r="C22" s="46"/>
      <c r="D22" s="47"/>
      <c r="E22" s="47"/>
      <c r="F22" s="47"/>
      <c r="G22" s="47"/>
      <c r="H22" s="47"/>
      <c r="I22" s="47"/>
      <c r="J22" s="47"/>
      <c r="K22" s="47"/>
      <c r="L22" s="48"/>
      <c r="M22" s="49"/>
      <c r="N22" s="47"/>
      <c r="O22" s="50"/>
      <c r="P22" s="50"/>
    </row>
    <row r="23" ht="17.65" s="22" customFormat="1">
      <c r="A23" s="241"/>
      <c r="B23" s="28" t="s">
        <v>38</v>
      </c>
      <c r="C23" s="46"/>
      <c r="D23" s="46"/>
      <c r="E23" s="46"/>
      <c r="F23" s="46"/>
      <c r="G23" s="46"/>
      <c r="H23" s="46"/>
      <c r="I23" s="46"/>
      <c r="J23" s="46"/>
      <c r="K23" s="46"/>
      <c r="L23" s="46"/>
      <c r="M23" s="46"/>
      <c r="N23" s="46"/>
      <c r="O23" s="46"/>
      <c r="P23" s="46"/>
    </row>
    <row r="24" ht="17.25">
      <c r="A24" s="241"/>
      <c r="B24" s="11" t="s">
        <v>39</v>
      </c>
      <c r="C24" s="25"/>
      <c r="D24" s="25"/>
      <c r="E24" s="25"/>
      <c r="F24" s="25"/>
      <c r="G24" s="25"/>
      <c r="H24" s="25"/>
      <c r="I24" s="25"/>
      <c r="J24" s="25"/>
      <c r="K24" s="25"/>
      <c r="L24" s="25"/>
      <c r="M24" s="25"/>
      <c r="N24" s="25"/>
      <c r="O24" s="25"/>
      <c r="P24" s="25"/>
    </row>
    <row r="25" ht="17.65" s="22" customFormat="1">
      <c r="A25" s="241"/>
      <c r="B25" s="29" t="s">
        <v>43</v>
      </c>
      <c r="C25" s="51"/>
      <c r="D25" s="51"/>
      <c r="E25" s="51"/>
      <c r="F25" s="51"/>
      <c r="G25" s="51"/>
      <c r="H25" s="51"/>
      <c r="I25" s="51"/>
      <c r="J25" s="51"/>
      <c r="K25" s="51"/>
      <c r="L25" s="51"/>
      <c r="M25" s="51"/>
      <c r="N25" s="51"/>
      <c r="O25" s="51"/>
      <c r="P25" s="78"/>
    </row>
    <row r="26" ht="17.25">
      <c r="A26" s="241"/>
      <c r="B26" s="27" t="s">
        <v>44</v>
      </c>
      <c r="C26" s="24"/>
      <c r="D26" s="24"/>
      <c r="E26" s="24"/>
      <c r="F26" s="24"/>
      <c r="G26" s="24"/>
      <c r="H26" s="24"/>
      <c r="I26" s="24"/>
      <c r="J26" s="24"/>
      <c r="K26" s="24"/>
      <c r="L26" s="24"/>
      <c r="M26" s="24"/>
      <c r="N26" s="24"/>
      <c r="O26" s="24"/>
      <c r="P26" s="24"/>
    </row>
    <row r="27" ht="17.65" s="22" customFormat="1">
      <c r="A27" s="241"/>
      <c r="B27" s="30" t="s">
        <v>45</v>
      </c>
      <c r="C27" s="52"/>
      <c r="D27" s="52"/>
      <c r="E27" s="52"/>
      <c r="F27" s="52"/>
      <c r="G27" s="52"/>
      <c r="H27" s="52"/>
      <c r="I27" s="52"/>
      <c r="J27" s="52"/>
      <c r="K27" s="52"/>
      <c r="L27" s="52"/>
      <c r="M27" s="52"/>
      <c r="N27" s="52"/>
      <c r="O27" s="52"/>
      <c r="P27" s="52"/>
    </row>
    <row r="28" ht="17.25">
      <c r="A28" s="241"/>
      <c r="B28" s="11" t="s">
        <v>46</v>
      </c>
      <c r="C28" s="24"/>
      <c r="D28" s="24"/>
      <c r="E28" s="24"/>
      <c r="F28" s="24"/>
      <c r="G28" s="24"/>
      <c r="H28" s="24"/>
      <c r="I28" s="24"/>
      <c r="J28" s="24"/>
      <c r="K28" s="24"/>
      <c r="L28" s="24"/>
      <c r="M28" s="24"/>
      <c r="N28" s="24"/>
      <c r="O28" s="24"/>
      <c r="P28" s="24"/>
    </row>
    <row r="29" ht="17.65" s="22" customFormat="1">
      <c r="A29" s="241"/>
      <c r="B29" s="31" t="s">
        <v>47</v>
      </c>
      <c r="C29" s="51"/>
      <c r="D29" s="51"/>
      <c r="E29" s="51"/>
      <c r="F29" s="51"/>
      <c r="G29" s="51"/>
      <c r="H29" s="51"/>
      <c r="I29" s="51"/>
      <c r="J29" s="51"/>
      <c r="K29" s="51"/>
      <c r="L29" s="51"/>
      <c r="M29" s="51"/>
      <c r="N29" s="51"/>
      <c r="O29" s="51"/>
      <c r="P29" s="78"/>
    </row>
    <row r="30" ht="17.25">
      <c r="A30" s="241"/>
      <c r="B30" s="27" t="s">
        <v>48</v>
      </c>
      <c r="C30" s="24"/>
      <c r="D30" s="24"/>
      <c r="E30" s="24"/>
      <c r="F30" s="24"/>
      <c r="G30" s="24"/>
      <c r="H30" s="24"/>
      <c r="I30" s="24"/>
      <c r="J30" s="24"/>
      <c r="K30" s="24"/>
      <c r="L30" s="24"/>
      <c r="M30" s="24"/>
      <c r="N30" s="24"/>
      <c r="O30" s="24"/>
      <c r="P30" s="24"/>
    </row>
    <row r="31" ht="17.65" s="22" customFormat="1">
      <c r="A31" s="241"/>
      <c r="B31" s="30" t="s">
        <v>50</v>
      </c>
      <c r="C31" s="53"/>
      <c r="D31" s="53"/>
      <c r="E31" s="53"/>
      <c r="F31" s="53"/>
      <c r="G31" s="53"/>
      <c r="H31" s="53"/>
      <c r="I31" s="53"/>
      <c r="J31" s="53"/>
      <c r="K31" s="53"/>
      <c r="L31" s="53"/>
      <c r="M31" s="53"/>
      <c r="N31" s="53"/>
      <c r="O31" s="53"/>
      <c r="P31" s="79"/>
    </row>
    <row r="32" ht="17.25">
      <c r="A32" s="241"/>
      <c r="B32" s="11" t="s">
        <v>51</v>
      </c>
      <c r="C32" s="25"/>
      <c r="D32" s="25"/>
      <c r="E32" s="25"/>
      <c r="F32" s="25"/>
      <c r="G32" s="25"/>
      <c r="H32" s="25"/>
      <c r="I32" s="25"/>
      <c r="J32" s="25"/>
      <c r="K32" s="25"/>
      <c r="L32" s="25"/>
      <c r="M32" s="25"/>
      <c r="N32" s="25"/>
      <c r="O32" s="25"/>
      <c r="P32" s="25"/>
    </row>
    <row r="33" ht="17.65" s="22" customFormat="1">
      <c r="A33" s="241"/>
      <c r="B33" s="30" t="s">
        <v>52</v>
      </c>
      <c r="C33" s="51"/>
      <c r="D33" s="51"/>
      <c r="E33" s="51"/>
      <c r="F33" s="51"/>
      <c r="G33" s="51"/>
      <c r="H33" s="51"/>
      <c r="I33" s="51"/>
      <c r="J33" s="51"/>
      <c r="K33" s="51"/>
      <c r="L33" s="51"/>
      <c r="M33" s="51"/>
      <c r="N33" s="51"/>
      <c r="O33" s="51"/>
      <c r="P33" s="78"/>
    </row>
    <row r="34" ht="17.25">
      <c r="A34" s="241"/>
      <c r="B34" s="27" t="s">
        <v>53</v>
      </c>
      <c r="C34" s="24"/>
      <c r="D34" s="24"/>
      <c r="E34" s="24"/>
      <c r="F34" s="24"/>
      <c r="G34" s="24"/>
      <c r="H34" s="24"/>
      <c r="I34" s="24"/>
      <c r="J34" s="24"/>
      <c r="K34" s="24"/>
      <c r="L34" s="24"/>
      <c r="M34" s="24"/>
      <c r="N34" s="24"/>
      <c r="O34" s="24"/>
      <c r="P34" s="24"/>
      <c r="U34" s="22"/>
    </row>
    <row r="35" ht="17.65" s="22" customFormat="1">
      <c r="A35" s="241"/>
      <c r="B35" s="28" t="s">
        <v>56</v>
      </c>
      <c r="C35" s="51"/>
      <c r="D35" s="51"/>
      <c r="E35" s="51"/>
      <c r="F35" s="51"/>
      <c r="G35" s="51"/>
      <c r="H35" s="51"/>
      <c r="I35" s="51"/>
      <c r="J35" s="51"/>
      <c r="K35" s="51"/>
      <c r="L35" s="51"/>
      <c r="M35" s="51"/>
      <c r="N35" s="51"/>
      <c r="O35" s="51"/>
      <c r="P35" s="78"/>
      <c r="U35" s="21"/>
    </row>
    <row r="36" ht="17.25">
      <c r="A36" s="241"/>
      <c r="B36" s="11" t="s">
        <v>57</v>
      </c>
      <c r="C36" s="25"/>
      <c r="D36" s="25"/>
      <c r="E36" s="25"/>
      <c r="F36" s="25"/>
      <c r="G36" s="25"/>
      <c r="H36" s="25"/>
      <c r="I36" s="25"/>
      <c r="J36" s="25"/>
      <c r="K36" s="25"/>
      <c r="L36" s="25"/>
      <c r="M36" s="25"/>
      <c r="N36" s="25"/>
      <c r="O36" s="25"/>
      <c r="P36" s="25"/>
    </row>
    <row r="37" ht="17.65" s="22" customFormat="1">
      <c r="A37" s="241"/>
      <c r="B37" s="28" t="s">
        <v>60</v>
      </c>
      <c r="C37" s="51"/>
      <c r="D37" s="51"/>
      <c r="E37" s="51"/>
      <c r="F37" s="51"/>
      <c r="G37" s="51"/>
      <c r="H37" s="51"/>
      <c r="I37" s="51"/>
      <c r="J37" s="51"/>
      <c r="K37" s="51"/>
      <c r="L37" s="51"/>
      <c r="M37" s="51"/>
      <c r="N37" s="51"/>
      <c r="O37" s="51"/>
      <c r="P37" s="78"/>
    </row>
    <row r="38" ht="17.25">
      <c r="A38" s="241"/>
      <c r="B38" s="11" t="s">
        <v>61</v>
      </c>
      <c r="C38" s="25"/>
      <c r="D38" s="25"/>
      <c r="E38" s="25"/>
      <c r="F38" s="25"/>
      <c r="G38" s="25"/>
      <c r="H38" s="25"/>
      <c r="I38" s="25"/>
      <c r="J38" s="25"/>
      <c r="K38" s="25"/>
      <c r="L38" s="25"/>
      <c r="M38" s="25"/>
      <c r="N38" s="25"/>
      <c r="O38" s="25"/>
      <c r="P38" s="25"/>
    </row>
    <row r="39" ht="17.65" s="22" customFormat="1">
      <c r="A39" s="241"/>
      <c r="B39" s="28" t="s">
        <v>64</v>
      </c>
      <c r="C39" s="51"/>
      <c r="D39" s="51"/>
      <c r="E39" s="51"/>
      <c r="F39" s="51"/>
      <c r="G39" s="51"/>
      <c r="H39" s="51"/>
      <c r="I39" s="51"/>
      <c r="J39" s="51"/>
      <c r="K39" s="51"/>
      <c r="L39" s="51"/>
      <c r="M39" s="51"/>
      <c r="N39" s="51"/>
      <c r="O39" s="51"/>
      <c r="P39" s="78"/>
    </row>
    <row r="40" ht="17.25">
      <c r="A40" s="241"/>
      <c r="B40" s="11" t="s">
        <v>65</v>
      </c>
      <c r="C40" s="26"/>
      <c r="D40" s="26"/>
      <c r="E40" s="26"/>
      <c r="F40" s="26"/>
      <c r="G40" s="26"/>
      <c r="H40" s="26"/>
      <c r="I40" s="26"/>
      <c r="J40" s="26"/>
      <c r="K40" s="26"/>
      <c r="L40" s="26"/>
      <c r="M40" s="26"/>
      <c r="N40" s="26"/>
      <c r="O40" s="26"/>
      <c r="P40" s="26"/>
    </row>
    <row r="41" ht="17.65" s="22" customFormat="1">
      <c r="A41" s="241"/>
      <c r="B41" s="29" t="s">
        <v>66</v>
      </c>
      <c r="C41" s="51"/>
      <c r="D41" s="51"/>
      <c r="E41" s="51"/>
      <c r="F41" s="51"/>
      <c r="G41" s="51"/>
      <c r="H41" s="51"/>
      <c r="I41" s="51"/>
      <c r="J41" s="51"/>
      <c r="K41" s="51"/>
      <c r="L41" s="51"/>
      <c r="M41" s="51"/>
      <c r="N41" s="51"/>
      <c r="O41" s="51"/>
      <c r="P41" s="78"/>
    </row>
    <row r="42" ht="12.75" customHeight="1">
      <c r="A42" s="223" t="s">
        <v>67</v>
      </c>
      <c r="B42" s="232"/>
      <c r="C42" s="233"/>
      <c r="D42" s="233"/>
      <c r="E42" s="233"/>
      <c r="F42" s="233"/>
      <c r="G42" s="233"/>
      <c r="H42" s="233"/>
      <c r="I42" s="233"/>
      <c r="J42" s="233"/>
      <c r="K42" s="233"/>
      <c r="L42" s="233"/>
      <c r="M42" s="233"/>
      <c r="N42" s="233"/>
      <c r="O42" s="233"/>
      <c r="P42" s="234"/>
      <c r="Q42" s="22"/>
      <c r="R42" s="22"/>
      <c r="S42" s="22"/>
    </row>
    <row r="43" ht="13.15" customHeight="1">
      <c r="A43" s="224"/>
      <c r="B43" s="235"/>
      <c r="C43" s="236"/>
      <c r="D43" s="236"/>
      <c r="E43" s="236"/>
      <c r="F43" s="236"/>
      <c r="G43" s="236"/>
      <c r="H43" s="236"/>
      <c r="I43" s="236"/>
      <c r="J43" s="236"/>
      <c r="K43" s="236"/>
      <c r="L43" s="236"/>
      <c r="M43" s="236"/>
      <c r="N43" s="236"/>
      <c r="O43" s="236"/>
      <c r="P43" s="237"/>
      <c r="Q43" s="22"/>
      <c r="R43" s="22"/>
      <c r="S43" s="22"/>
    </row>
    <row r="44" ht="13.15" customHeight="1">
      <c r="A44" s="224"/>
      <c r="B44" s="235"/>
      <c r="C44" s="236"/>
      <c r="D44" s="236"/>
      <c r="E44" s="236"/>
      <c r="F44" s="236"/>
      <c r="G44" s="236"/>
      <c r="H44" s="236"/>
      <c r="I44" s="236"/>
      <c r="J44" s="236"/>
      <c r="K44" s="236"/>
      <c r="L44" s="236"/>
      <c r="M44" s="236"/>
      <c r="N44" s="236"/>
      <c r="O44" s="236"/>
      <c r="P44" s="237"/>
      <c r="Q44" s="22"/>
      <c r="R44" s="22"/>
      <c r="S44" s="22"/>
    </row>
    <row r="45" ht="13.9" customHeight="1">
      <c r="A45" s="225"/>
      <c r="B45" s="238"/>
      <c r="C45" s="239"/>
      <c r="D45" s="239"/>
      <c r="E45" s="239"/>
      <c r="F45" s="239"/>
      <c r="G45" s="239"/>
      <c r="H45" s="239"/>
      <c r="I45" s="239"/>
      <c r="J45" s="239"/>
      <c r="K45" s="239"/>
      <c r="L45" s="239"/>
      <c r="M45" s="239"/>
      <c r="N45" s="239"/>
      <c r="O45" s="239"/>
      <c r="P45" s="240"/>
      <c r="Q45" s="22"/>
      <c r="R45" s="22"/>
      <c r="S45" s="22"/>
    </row>
  </sheetData>
  <mergeCells>
    <mergeCell ref="C3:P3"/>
    <mergeCell ref="C4:P4"/>
    <mergeCell ref="C5:P5"/>
    <mergeCell ref="C6:P6"/>
    <mergeCell ref="B42:P45"/>
    <mergeCell ref="M15:O15"/>
    <mergeCell ref="M16:O16"/>
    <mergeCell ref="M13:O13"/>
    <mergeCell ref="M14:O14"/>
    <mergeCell ref="M11:O11"/>
    <mergeCell ref="M12:O12"/>
    <mergeCell ref="C9:H9"/>
    <mergeCell ref="I9:L9"/>
    <mergeCell ref="M9:O9"/>
    <mergeCell ref="C10:H10"/>
    <mergeCell ref="I10:L10"/>
    <mergeCell ref="A34:A35"/>
    <mergeCell ref="A36:A41"/>
    <mergeCell ref="A42:A45"/>
    <mergeCell ref="C15:H15"/>
    <mergeCell ref="I15:L15"/>
    <mergeCell ref="C16:H16"/>
    <mergeCell ref="I16:L16"/>
    <mergeCell ref="A3:A33"/>
    <mergeCell ref="C13:H13"/>
    <mergeCell ref="I13:L13"/>
    <mergeCell ref="C14:H14"/>
    <mergeCell ref="I14:L14"/>
    <mergeCell ref="C11:H11"/>
    <mergeCell ref="I11:L11"/>
    <mergeCell ref="C12:H12"/>
    <mergeCell ref="I12:L12"/>
    <mergeCell ref="M10:O10"/>
    <mergeCell ref="C7:H7"/>
    <mergeCell ref="I7:L7"/>
    <mergeCell ref="M7:O7"/>
    <mergeCell ref="C8:H8"/>
    <mergeCell ref="I8:L8"/>
    <mergeCell ref="M8:O8"/>
    <mergeCell ref="A1:B1"/>
    <mergeCell ref="C2:H2"/>
    <mergeCell ref="I2:L2"/>
    <mergeCell ref="M2:O2"/>
    <mergeCell ref="C1:P1"/>
  </mergeCells>
  <conditionalFormatting sqref="C22:E22 C4 H22:O22">
    <cfRule type="cellIs" dxfId="0" priority="47" operator="greaterThan">
      <formula>0</formula>
    </cfRule>
  </conditionalFormatting>
  <conditionalFormatting sqref="C21:E21 H21:O21">
    <cfRule type="expression" dxfId="1" priority="46">
      <formula>ISERROR(C21)</formula>
    </cfRule>
  </conditionalFormatting>
  <conditionalFormatting sqref="C21:E21 H21:O21">
    <cfRule type="cellIs" dxfId="1" priority="45" operator="equal">
      <formula>0</formula>
    </cfRule>
  </conditionalFormatting>
  <conditionalFormatting sqref="C21:E21 H21:O21">
    <cfRule type="cellIs" dxfId="3" priority="44" operator="greaterThan">
      <formula>0</formula>
    </cfRule>
  </conditionalFormatting>
  <conditionalFormatting sqref="C27:O27 D29:O29 D33:O33">
    <cfRule type="cellIs" dxfId="0" priority="43" operator="notEqual">
      <formula>VALUE(C26)</formula>
    </cfRule>
  </conditionalFormatting>
  <conditionalFormatting sqref="C8:O8 C10:O10 C12:O12 C14:O14 C16:O16 C27:O27 D29:O29 D31:O31 D33:O33 D35:O35 D37:O37 D25:O25 D39:O39 D41:O41">
    <cfRule type="expression" dxfId="10" priority="39">
      <formula>ISBLANK(C8)</formula>
    </cfRule>
  </conditionalFormatting>
  <conditionalFormatting sqref="C29">
    <cfRule type="cellIs" dxfId="0" priority="41" operator="notEqual">
      <formula>VALUE(C28)</formula>
    </cfRule>
  </conditionalFormatting>
  <conditionalFormatting sqref="C29">
    <cfRule type="expression" dxfId="10" priority="40">
      <formula>ISBLANK(C29)</formula>
    </cfRule>
  </conditionalFormatting>
  <conditionalFormatting sqref="C8:O8 C10:O10 C12:O12 C14:O14 C16:O16 C31:O31 D35:O35 D37:O37 D25:O25 D39:O39 D41:O41">
    <cfRule type="cellIs" dxfId="0" priority="42" operator="notEqual">
      <formula>C7</formula>
    </cfRule>
  </conditionalFormatting>
  <conditionalFormatting sqref="C31">
    <cfRule type="expression" dxfId="10" priority="38">
      <formula>ISBLANK(C31)</formula>
    </cfRule>
  </conditionalFormatting>
  <conditionalFormatting sqref="C33">
    <cfRule type="cellIs" dxfId="0" priority="37" operator="notEqual">
      <formula>VALUE(C32)</formula>
    </cfRule>
  </conditionalFormatting>
  <conditionalFormatting sqref="C33">
    <cfRule type="expression" dxfId="10" priority="36">
      <formula>ISBLANK(C33)</formula>
    </cfRule>
  </conditionalFormatting>
  <conditionalFormatting sqref="C35">
    <cfRule type="cellIs" dxfId="0" priority="35" operator="notEqual">
      <formula>C34</formula>
    </cfRule>
  </conditionalFormatting>
  <conditionalFormatting sqref="C35">
    <cfRule type="expression" dxfId="10" priority="34">
      <formula>ISBLANK(C35)</formula>
    </cfRule>
  </conditionalFormatting>
  <conditionalFormatting sqref="C37">
    <cfRule type="cellIs" dxfId="0" priority="33" operator="notEqual">
      <formula>C36</formula>
    </cfRule>
  </conditionalFormatting>
  <conditionalFormatting sqref="C37">
    <cfRule type="expression" dxfId="10" priority="32">
      <formula>ISBLANK(C37)</formula>
    </cfRule>
  </conditionalFormatting>
  <conditionalFormatting sqref="C6">
    <cfRule type="expression" dxfId="10" priority="30">
      <formula>ISBLANK(C6)</formula>
    </cfRule>
    <cfRule type="cellIs" dxfId="0" priority="31" operator="notEqual">
      <formula>C5</formula>
    </cfRule>
  </conditionalFormatting>
  <conditionalFormatting sqref="C25">
    <cfRule type="cellIs" dxfId="0" priority="29" operator="notEqual">
      <formula>C24</formula>
    </cfRule>
  </conditionalFormatting>
  <conditionalFormatting sqref="C25">
    <cfRule type="expression" dxfId="10" priority="28">
      <formula>ISBLANK(C25)</formula>
    </cfRule>
  </conditionalFormatting>
  <conditionalFormatting sqref="C39">
    <cfRule type="cellIs" dxfId="0" priority="27" operator="notEqual">
      <formula>C38</formula>
    </cfRule>
  </conditionalFormatting>
  <conditionalFormatting sqref="C39">
    <cfRule type="expression" dxfId="10" priority="26">
      <formula>ISBLANK(C39)</formula>
    </cfRule>
  </conditionalFormatting>
  <conditionalFormatting sqref="C41">
    <cfRule type="cellIs" dxfId="0" priority="25" operator="notEqual">
      <formula>C40</formula>
    </cfRule>
  </conditionalFormatting>
  <conditionalFormatting sqref="C41">
    <cfRule type="expression" dxfId="10" priority="24">
      <formula>ISBLANK(C41)</formula>
    </cfRule>
  </conditionalFormatting>
  <conditionalFormatting sqref="C24:O41">
    <cfRule type="expression" dxfId="1" priority="23" stopIfTrue="1">
      <formula>OR(C$22="Free",C$22="Telenor",C$22="Mtel",C$22="Telenor&amp;Mtel")</formula>
    </cfRule>
  </conditionalFormatting>
  <conditionalFormatting sqref="F22:G22">
    <cfRule type="cellIs" dxfId="0" priority="22" operator="greaterThan">
      <formula>0</formula>
    </cfRule>
  </conditionalFormatting>
  <conditionalFormatting sqref="F21:G21">
    <cfRule type="expression" dxfId="1" priority="21">
      <formula>ISERROR(F21)</formula>
    </cfRule>
  </conditionalFormatting>
  <conditionalFormatting sqref="F21:G21">
    <cfRule type="cellIs" dxfId="1" priority="20" operator="equal">
      <formula>0</formula>
    </cfRule>
  </conditionalFormatting>
  <conditionalFormatting sqref="F21:G21">
    <cfRule type="cellIs" dxfId="3" priority="19" operator="greaterThan">
      <formula>0</formula>
    </cfRule>
  </conditionalFormatting>
  <conditionalFormatting sqref="P22">
    <cfRule type="cellIs" dxfId="0" priority="18" operator="greaterThan">
      <formula>0</formula>
    </cfRule>
  </conditionalFormatting>
  <conditionalFormatting sqref="P27 P29 P33">
    <cfRule type="cellIs" dxfId="0" priority="14" operator="notEqual">
      <formula>VALUE(P26)</formula>
    </cfRule>
  </conditionalFormatting>
  <conditionalFormatting sqref="P8 P10 P12 P14 P16 P27 P29 P31 P33 P35 P37 P25 P39 P41">
    <cfRule type="expression" dxfId="10" priority="12">
      <formula>ISBLANK(P8)</formula>
    </cfRule>
  </conditionalFormatting>
  <conditionalFormatting sqref="P8 P10 P12 P14 P16 P31 P35 P37 P25 P39 P41">
    <cfRule type="cellIs" dxfId="0" priority="13" operator="notEqual">
      <formula>P7</formula>
    </cfRule>
  </conditionalFormatting>
  <conditionalFormatting sqref="P24:P41">
    <cfRule type="expression" dxfId="1" priority="11" stopIfTrue="1">
      <formula>OR(P$22="Free",P$22="Telenor",P$22="Mtel",P$22="Telenor&amp;Mtel")</formula>
    </cfRule>
  </conditionalFormatting>
  <conditionalFormatting sqref="C19">
    <cfRule type="expression" dxfId="1" priority="7">
      <formula>ISERROR(C19)</formula>
    </cfRule>
    <cfRule type="cellIs" dxfId="1" priority="8" operator="equal">
      <formula>0</formula>
    </cfRule>
  </conditionalFormatting>
  <conditionalFormatting sqref="D19:P19">
    <cfRule type="expression" dxfId="1" priority="5">
      <formula>ISERROR(D19)</formula>
    </cfRule>
    <cfRule type="cellIs" dxfId="1" priority="6" operator="equal">
      <formula>0</formula>
    </cfRule>
  </conditionalFormatting>
  <conditionalFormatting sqref="P21">
    <cfRule type="expression" dxfId="1" priority="4">
      <formula>ISERROR(P21)</formula>
    </cfRule>
  </conditionalFormatting>
  <conditionalFormatting sqref="P21">
    <cfRule type="cellIs" dxfId="1" priority="3" operator="equal">
      <formula>0</formula>
    </cfRule>
  </conditionalFormatting>
  <conditionalFormatting sqref="P21">
    <cfRule type="cellIs" dxfId="3" priority="2" operator="greaterThan">
      <formula>0</formula>
    </cfRule>
  </conditionalFormatting>
  <conditionalFormatting sqref="C23:P23">
    <cfRule type="cellIs" dxfId="0" priority="1" operator="greaterThan">
      <formula>0</formula>
    </cfRule>
  </conditionalFormatting>
  <dataValidations count="165">
    <dataValidation type="list" xr:uid="{65A3324F-954B-4BD9-9B61-A66D4492C1CA}" sqref="C2" showErrorMessage="1" errorTitle="An invalid feedback was entered" error="Please choose feedback from drop down only.">
      <formula1>"1,2,3"</formula1>
    </dataValidation>
    <dataValidation type="list" xr:uid="{6C633667-D51E-43BF-9FF6-048E91A63B13}" sqref="D2" showErrorMessage="1" errorTitle="An invalid feedback was entered" error="Please choose feedback from drop down only.">
      <formula1>"1,2,3"</formula1>
    </dataValidation>
    <dataValidation type="list" xr:uid="{4DCCE844-669A-4508-941D-5F56C2393107}" sqref="E2" showErrorMessage="1" errorTitle="An invalid feedback was entered" error="Please choose feedback from drop down only.">
      <formula1>"1,2,3"</formula1>
    </dataValidation>
    <dataValidation type="list" xr:uid="{35C34F82-91A5-4C73-A861-618607593E07}" sqref="F2" showErrorMessage="1" errorTitle="An invalid feedback was entered" error="Please choose feedback from drop down only.">
      <formula1>"1,2,3"</formula1>
    </dataValidation>
    <dataValidation type="list" xr:uid="{0BD375AF-78F0-4C7C-94B7-F54C2B7B9615}" sqref="G2" showErrorMessage="1" errorTitle="An invalid feedback was entered" error="Please choose feedback from drop down only.">
      <formula1>"1,2,3"</formula1>
    </dataValidation>
    <dataValidation type="list" xr:uid="{0AD7D95F-DDD0-47F1-9AC0-B6570BF2754C}" sqref="H2" showErrorMessage="1" errorTitle="An invalid feedback was entered" error="Please choose feedback from drop down only.">
      <formula1>"1,2,3"</formula1>
    </dataValidation>
    <dataValidation type="list" xr:uid="{249232C9-5CE9-465B-B57E-D082990DC954}" sqref="I2" showErrorMessage="1" errorTitle="An invalid feedback was entered" error="Please choose feedback from drop down only.">
      <formula1>"1,2,3"</formula1>
    </dataValidation>
    <dataValidation type="list" xr:uid="{475B83B2-FCFD-4EBD-BA58-CCB5349AD1D5}" sqref="J2" showErrorMessage="1" errorTitle="An invalid feedback was entered" error="Please choose feedback from drop down only.">
      <formula1>"1,2,3"</formula1>
    </dataValidation>
    <dataValidation type="list" xr:uid="{7D1415E3-ADCF-4448-83E8-5F0D75B3EDB9}" sqref="K2" showErrorMessage="1" errorTitle="An invalid feedback was entered" error="Please choose feedback from drop down only.">
      <formula1>"1,2,3"</formula1>
    </dataValidation>
    <dataValidation type="list" xr:uid="{02B0A606-31E6-4824-AC5B-1E5EE2D4442B}" sqref="L2" showErrorMessage="1" errorTitle="An invalid feedback was entered" error="Please choose feedback from drop down only.">
      <formula1>"1,2,3"</formula1>
    </dataValidation>
    <dataValidation type="list" xr:uid="{D4E7E740-7B1F-4646-9995-D50FFCF4D4C8}" sqref="M2" showErrorMessage="1" errorTitle="An invalid feedback was entered" error="Please choose feedback from drop down only.">
      <formula1>"1,2,3"</formula1>
    </dataValidation>
    <dataValidation type="list" xr:uid="{C1090DD8-403A-4F77-BF94-F6BFCE6A87A9}" sqref="N2" showErrorMessage="1" errorTitle="An invalid feedback was entered" error="Please choose feedback from drop down only.">
      <formula1>"1,2,3"</formula1>
    </dataValidation>
    <dataValidation type="list" xr:uid="{7E448BFC-615E-40DD-A6B2-7AE4B3FCC394}" sqref="O2" showErrorMessage="1" errorTitle="An invalid feedback was entered" error="Please choose feedback from drop down only.">
      <formula1>"1,2,3"</formula1>
    </dataValidation>
    <dataValidation type="list" xr:uid="{080DB343-4503-46E7-9C0E-7BFD595C4DE9}" sqref="P2" showErrorMessage="1" errorTitle="An invalid feedback was entered" error="Please choose feedback from drop down only.">
      <formula1>"1,2,3"</formula1>
    </dataValidation>
    <dataValidation type="list" xr:uid="{2041D3D7-8839-48BA-B0F5-4008AA2F3E49}" sqref="Q2" showErrorMessage="1" errorTitle="An invalid feedback was entered" error="Please choose feedback from drop down only.">
      <formula1>"1,2,3"</formula1>
    </dataValidation>
    <dataValidation type="list" xr:uid="{916283BC-1E97-407D-9E2F-8978C1A0050A}" sqref="C17" showErrorMessage="1" errorTitle="An invalid feedback was entered" error="Please choose feedback from drop down only.">
      <formula1>"1-2,3-4,5-6,7-8,9-10,N/A"</formula1>
    </dataValidation>
    <dataValidation type="list" xr:uid="{35D8BC97-F5AE-4A68-976D-338447868B03}" sqref="D17" showErrorMessage="1" errorTitle="An invalid feedback was entered" error="Please choose feedback from drop down only.">
      <formula1>"1-2,3-4,5-6,7-8,9-10,N/A"</formula1>
    </dataValidation>
    <dataValidation type="list" xr:uid="{2CE2E099-66D3-49E8-A8F3-FBC2F48470A4}" sqref="E17" showErrorMessage="1" errorTitle="An invalid feedback was entered" error="Please choose feedback from drop down only.">
      <formula1>"1-2,3-4,5-6,7-8,9-10,N/A"</formula1>
    </dataValidation>
    <dataValidation type="list" xr:uid="{DCC920C4-5DE3-413A-8462-6D453A87ADB2}" sqref="F17" showErrorMessage="1" errorTitle="An invalid feedback was entered" error="Please choose feedback from drop down only.">
      <formula1>"1-2,3-4,5-6,7-8,9-10,N/A"</formula1>
    </dataValidation>
    <dataValidation type="list" xr:uid="{09CD815B-FAD0-4343-80A4-87BB011DD72C}" sqref="G17" showErrorMessage="1" errorTitle="An invalid feedback was entered" error="Please choose feedback from drop down only.">
      <formula1>"1-2,3-4,5-6,7-8,9-10,N/A"</formula1>
    </dataValidation>
    <dataValidation type="list" xr:uid="{2B78DC03-FAD9-49A3-ADA0-C0AAA298544D}" sqref="H17" showErrorMessage="1" errorTitle="An invalid feedback was entered" error="Please choose feedback from drop down only.">
      <formula1>"1-2,3-4,5-6,7-8,9-10,N/A"</formula1>
    </dataValidation>
    <dataValidation type="list" xr:uid="{DC5082F0-29C9-4CC3-8E64-F1B19F3B2B67}" sqref="I17" showErrorMessage="1" errorTitle="An invalid feedback was entered" error="Please choose feedback from drop down only.">
      <formula1>"1-2,3-4,5-6,7-8,9-10,N/A"</formula1>
    </dataValidation>
    <dataValidation type="list" xr:uid="{E4C3B6F7-F645-4A42-9382-5EE798EF4BAB}" sqref="J17" showErrorMessage="1" errorTitle="An invalid feedback was entered" error="Please choose feedback from drop down only.">
      <formula1>"1-2,3-4,5-6,7-8,9-10,N/A"</formula1>
    </dataValidation>
    <dataValidation type="list" xr:uid="{5C8703F9-5BE3-4C9E-966D-C3F8D07680ED}" sqref="K17" showErrorMessage="1" errorTitle="An invalid feedback was entered" error="Please choose feedback from drop down only.">
      <formula1>"1-2,3-4,5-6,7-8,9-10,N/A"</formula1>
    </dataValidation>
    <dataValidation type="list" xr:uid="{BD9539B1-1E96-4C2E-8304-4179B297BE45}" sqref="L17" showErrorMessage="1" errorTitle="An invalid feedback was entered" error="Please choose feedback from drop down only.">
      <formula1>"1-2,3-4,5-6,7-8,9-10,N/A"</formula1>
    </dataValidation>
    <dataValidation type="list" xr:uid="{E098D536-D5CA-4738-8A94-9D0C31BAE4D2}" sqref="M17" showErrorMessage="1" errorTitle="An invalid feedback was entered" error="Please choose feedback from drop down only.">
      <formula1>"1-2,3-4,5-6,7-8,9-10,N/A"</formula1>
    </dataValidation>
    <dataValidation type="list" xr:uid="{79FF8921-7C7B-4794-95C9-1A05E1FE971B}" sqref="N17" showErrorMessage="1" errorTitle="An invalid feedback was entered" error="Please choose feedback from drop down only.">
      <formula1>"1-2,3-4,5-6,7-8,9-10,N/A"</formula1>
    </dataValidation>
    <dataValidation type="list" xr:uid="{F65CC1E8-73E8-4CFD-A854-03BBCFE31596}" sqref="O17" showErrorMessage="1" errorTitle="An invalid feedback was entered" error="Please choose feedback from drop down only.">
      <formula1>"1-2,3-4,5-6,7-8,9-10,N/A"</formula1>
    </dataValidation>
    <dataValidation type="list" xr:uid="{E74A3ED2-99D4-4A39-8748-5EFF0D4944FE}" sqref="P17" showErrorMessage="1" errorTitle="An invalid feedback was entered" error="Please choose feedback from drop down only.">
      <formula1>"1-2,3-4,5-6,7-8,9-10,N/A"</formula1>
    </dataValidation>
    <dataValidation type="list" xr:uid="{500A44DF-7EFE-4E8C-9043-8D3430AE6B2E}" sqref="Q17" showErrorMessage="1" errorTitle="An invalid feedback was entered" error="Please choose feedback from drop down only.">
      <formula1>"1-2,3-4,5-6,7-8,9-10,N/A"</formula1>
    </dataValidation>
    <dataValidation type="list" xr:uid="{2658D10B-7CCB-4985-91F9-F6CA93B5BD74}" sqref="C10" showErrorMessage="1" errorTitle="An invalid feedback was entered" error="Please choose feedback from drop down only.">
      <formula1>"STK Top,STK Bottom,STKx2,DTK Top,DTK Bottom,DTKx2,None"</formula1>
    </dataValidation>
    <dataValidation type="list" xr:uid="{E5AD861D-A163-4C87-AFC7-8F0D55605A13}" sqref="D10" showErrorMessage="1" errorTitle="An invalid feedback was entered" error="Please choose feedback from drop down only.">
      <formula1>"STK Top,STK Bottom,STKx2,DTK Top,DTK Bottom,DTKx2,None"</formula1>
    </dataValidation>
    <dataValidation type="list" xr:uid="{07918DDC-5626-4A38-837E-EB6C264A2D5A}" sqref="E10" showErrorMessage="1" errorTitle="An invalid feedback was entered" error="Please choose feedback from drop down only.">
      <formula1>"STK Top,STK Bottom,STKx2,DTK Top,DTK Bottom,DTKx2,None"</formula1>
    </dataValidation>
    <dataValidation type="list" xr:uid="{C17AC2C3-9CEA-4287-A562-667B7A5A3BB3}" sqref="F10" showErrorMessage="1" errorTitle="An invalid feedback was entered" error="Please choose feedback from drop down only.">
      <formula1>"STK Top,STK Bottom,STKx2,DTK Top,DTK Bottom,DTKx2,None"</formula1>
    </dataValidation>
    <dataValidation type="list" xr:uid="{C44C1E6F-F7DF-482D-BB8B-F2B3312F3104}" sqref="G10" showErrorMessage="1" errorTitle="An invalid feedback was entered" error="Please choose feedback from drop down only.">
      <formula1>"STK Top,STK Bottom,STKx2,DTK Top,DTK Bottom,DTKx2,None"</formula1>
    </dataValidation>
    <dataValidation type="list" xr:uid="{850352A3-7ECC-485F-A12C-136BDE8979A5}" sqref="H10" showErrorMessage="1" errorTitle="An invalid feedback was entered" error="Please choose feedback from drop down only.">
      <formula1>"STK Top,STK Bottom,STKx2,DTK Top,DTK Bottom,DTKx2,None"</formula1>
    </dataValidation>
    <dataValidation type="list" xr:uid="{6B782755-DC58-4760-BA03-D44C2D2F98A2}" sqref="I10" showErrorMessage="1" errorTitle="An invalid feedback was entered" error="Please choose feedback from drop down only.">
      <formula1>"STK Top,STK Bottom,STKx2,DTK Top,DTK Bottom,DTKx2,None"</formula1>
    </dataValidation>
    <dataValidation type="list" xr:uid="{E82A57B7-719B-4A46-B2F6-B896211D13A3}" sqref="J10" showErrorMessage="1" errorTitle="An invalid feedback was entered" error="Please choose feedback from drop down only.">
      <formula1>"STK Top,STK Bottom,STKx2,DTK Top,DTK Bottom,DTKx2,None"</formula1>
    </dataValidation>
    <dataValidation type="list" xr:uid="{22DD1435-B893-4CCD-B1F0-E1A3A5DDCF77}" sqref="K10" showErrorMessage="1" errorTitle="An invalid feedback was entered" error="Please choose feedback from drop down only.">
      <formula1>"STK Top,STK Bottom,STKx2,DTK Top,DTK Bottom,DTKx2,None"</formula1>
    </dataValidation>
    <dataValidation type="list" xr:uid="{78A60D08-C4B6-4DC0-9CB8-78FE2037C3DB}" sqref="L10" showErrorMessage="1" errorTitle="An invalid feedback was entered" error="Please choose feedback from drop down only.">
      <formula1>"STK Top,STK Bottom,STKx2,DTK Top,DTK Bottom,DTKx2,None"</formula1>
    </dataValidation>
    <dataValidation type="list" xr:uid="{18E0E9A5-1437-42C8-A5B9-9EAF669ECD70}" sqref="M10" showErrorMessage="1" errorTitle="An invalid feedback was entered" error="Please choose feedback from drop down only.">
      <formula1>"STK Top,STK Bottom,STKx2,DTK Top,DTK Bottom,DTKx2,None"</formula1>
    </dataValidation>
    <dataValidation type="list" xr:uid="{16304833-FBA5-4404-BCAF-475444E7271E}" sqref="N10" showErrorMessage="1" errorTitle="An invalid feedback was entered" error="Please choose feedback from drop down only.">
      <formula1>"STK Top,STK Bottom,STKx2,DTK Top,DTK Bottom,DTKx2,None"</formula1>
    </dataValidation>
    <dataValidation type="list" xr:uid="{ADF141A9-9B5D-43F5-B022-EC387E010115}" sqref="O10" showErrorMessage="1" errorTitle="An invalid feedback was entered" error="Please choose feedback from drop down only.">
      <formula1>"STK Top,STK Bottom,STKx2,DTK Top,DTK Bottom,DTKx2,None"</formula1>
    </dataValidation>
    <dataValidation type="list" xr:uid="{E1E7A9B3-0AD6-4BB5-953F-A81BB73FDC2A}" sqref="P10" showErrorMessage="1" errorTitle="An invalid feedback was entered" error="Please choose feedback from drop down only.">
      <formula1>"STK Top,STK Bottom,STKx2,DTK Top,DTK Bottom,DTKx2,None"</formula1>
    </dataValidation>
    <dataValidation type="list" xr:uid="{EEDC29D4-C78A-4062-BD6D-1C8062760495}" sqref="Q10" showErrorMessage="1" errorTitle="An invalid feedback was entered" error="Please choose feedback from drop down only.">
      <formula1>"STK Top,STK Bottom,STKx2,DTK Top,DTK Bottom,DTKx2,None"</formula1>
    </dataValidation>
    <dataValidation type="list" xr:uid="{BFC9203B-1635-4FAF-B1FD-9C6EB8A6F84B}" sqref="C23" showErrorMessage="1" errorTitle="An invalid feedback was entered" error="Please choose feedback from drop down only.">
      <formula1>"Yetel,Bulsatcom,A1,Yetel&amp;A1,N/A"</formula1>
    </dataValidation>
    <dataValidation type="list" xr:uid="{4F3B514E-F996-4BB5-81CD-D7B79B64EBC8}" sqref="D23" showErrorMessage="1" errorTitle="An invalid feedback was entered" error="Please choose feedback from drop down only.">
      <formula1>"Yetel,Bulsatcom,A1,Yetel&amp;A1,N/A"</formula1>
    </dataValidation>
    <dataValidation type="list" xr:uid="{0B550E68-E8BB-45CD-B4B8-214751610385}" sqref="E23" showErrorMessage="1" errorTitle="An invalid feedback was entered" error="Please choose feedback from drop down only.">
      <formula1>"Yetel,Bulsatcom,A1,Yetel&amp;A1,N/A"</formula1>
    </dataValidation>
    <dataValidation type="list" xr:uid="{B2ADF4F5-BA70-439D-88CC-80850A5E909E}" sqref="F23" showErrorMessage="1" errorTitle="An invalid feedback was entered" error="Please choose feedback from drop down only.">
      <formula1>"Yetel,Bulsatcom,A1,Yetel&amp;A1,N/A"</formula1>
    </dataValidation>
    <dataValidation type="list" xr:uid="{3CA6E4DD-8D1B-400D-B1DA-099EABDDFB32}" sqref="G23" showErrorMessage="1" errorTitle="An invalid feedback was entered" error="Please choose feedback from drop down only.">
      <formula1>"Yetel,Bulsatcom,A1,Yetel&amp;A1,N/A"</formula1>
    </dataValidation>
    <dataValidation type="list" xr:uid="{68273552-28CE-42AB-9E3C-A7222284C5B5}" sqref="H23" showErrorMessage="1" errorTitle="An invalid feedback was entered" error="Please choose feedback from drop down only.">
      <formula1>"Yetel,Bulsatcom,A1,Yetel&amp;A1,N/A"</formula1>
    </dataValidation>
    <dataValidation type="list" xr:uid="{CAFC5FD3-3086-4B54-A4C8-EBAFEA40696C}" sqref="I23" showErrorMessage="1" errorTitle="An invalid feedback was entered" error="Please choose feedback from drop down only.">
      <formula1>"Yetel,Bulsatcom,A1,Yetel&amp;A1,N/A"</formula1>
    </dataValidation>
    <dataValidation type="list" xr:uid="{73DE72CC-3542-481B-B5E8-4810951E16AF}" sqref="J23" showErrorMessage="1" errorTitle="An invalid feedback was entered" error="Please choose feedback from drop down only.">
      <formula1>"Yetel,Bulsatcom,A1,Yetel&amp;A1,N/A"</formula1>
    </dataValidation>
    <dataValidation type="list" xr:uid="{81AFB0F6-61D9-484B-99B6-1BC25C9F9666}" sqref="K23" showErrorMessage="1" errorTitle="An invalid feedback was entered" error="Please choose feedback from drop down only.">
      <formula1>"Yetel,Bulsatcom,A1,Yetel&amp;A1,N/A"</formula1>
    </dataValidation>
    <dataValidation type="list" xr:uid="{4D26E76E-90A5-456C-B306-4013AE1FD5B7}" sqref="L23" showErrorMessage="1" errorTitle="An invalid feedback was entered" error="Please choose feedback from drop down only.">
      <formula1>"Yetel,Bulsatcom,A1,Yetel&amp;A1,N/A"</formula1>
    </dataValidation>
    <dataValidation type="list" xr:uid="{CD1EFA38-3176-437D-9856-9B82D990B48F}" sqref="M23" showErrorMessage="1" errorTitle="An invalid feedback was entered" error="Please choose feedback from drop down only.">
      <formula1>"Yetel,Bulsatcom,A1,Yetel&amp;A1,N/A"</formula1>
    </dataValidation>
    <dataValidation type="list" xr:uid="{C8756295-E683-4712-84F8-8544E5AB7ED1}" sqref="N23" showErrorMessage="1" errorTitle="An invalid feedback was entered" error="Please choose feedback from drop down only.">
      <formula1>"Yetel,Bulsatcom,A1,Yetel&amp;A1,N/A"</formula1>
    </dataValidation>
    <dataValidation type="list" xr:uid="{658DC600-8EC7-4BF4-9304-84B75C2DA799}" sqref="O23" showErrorMessage="1" errorTitle="An invalid feedback was entered" error="Please choose feedback from drop down only.">
      <formula1>"Yetel,Bulsatcom,A1,Yetel&amp;A1,N/A"</formula1>
    </dataValidation>
    <dataValidation type="list" xr:uid="{9B65178E-857C-4B1A-B6C6-4B6F47ED53AB}" sqref="P23" showErrorMessage="1" errorTitle="An invalid feedback was entered" error="Please choose feedback from drop down only.">
      <formula1>"Yetel,Bulsatcom,A1,Yetel&amp;A1,N/A"</formula1>
    </dataValidation>
    <dataValidation type="list" xr:uid="{F9818BBD-2C08-4133-9B82-CD022DB137BE}" sqref="Q23" showErrorMessage="1" errorTitle="An invalid feedback was entered" error="Please choose feedback from drop down only.">
      <formula1>"Yetel,Bulsatcom,A1,Yetel&amp;A1,N/A"</formula1>
    </dataValidation>
    <dataValidation type="list" xr:uid="{DB0A302F-BDCC-46B8-8DA2-B8883F54C9CD}" sqref="C31" showErrorMessage="1" errorTitle="An invalid feedback was entered" error="Please choose feedback from drop down only.">
      <formula1>"1/2,5/4,7/8,RRU TOP JUMPER,N/A"</formula1>
    </dataValidation>
    <dataValidation type="list" xr:uid="{45A850D1-4E89-4B00-91AA-16E208F3FA0E}" sqref="D31" showErrorMessage="1" errorTitle="An invalid feedback was entered" error="Please choose feedback from drop down only.">
      <formula1>"1/2,5/4,7/8,RRU TOP JUMPER,N/A"</formula1>
    </dataValidation>
    <dataValidation type="list" xr:uid="{DFFD649C-0102-4676-A5F7-BBF20BDA90E7}" sqref="E31" showErrorMessage="1" errorTitle="An invalid feedback was entered" error="Please choose feedback from drop down only.">
      <formula1>"1/2,5/4,7/8,RRU TOP JUMPER,N/A"</formula1>
    </dataValidation>
    <dataValidation type="list" xr:uid="{AB04A540-4692-4316-B903-6AFC45B0282F}" sqref="F31" showErrorMessage="1" errorTitle="An invalid feedback was entered" error="Please choose feedback from drop down only.">
      <formula1>"1/2,5/4,7/8,RRU TOP JUMPER,N/A"</formula1>
    </dataValidation>
    <dataValidation type="list" xr:uid="{A0D2997C-9D13-4E2E-BCEF-66F7DD89190E}" sqref="G31" showErrorMessage="1" errorTitle="An invalid feedback was entered" error="Please choose feedback from drop down only.">
      <formula1>"1/2,5/4,7/8,RRU TOP JUMPER,N/A"</formula1>
    </dataValidation>
    <dataValidation type="list" xr:uid="{2EE7BF78-7192-4517-9EAA-47147D6D20EE}" sqref="H31" showErrorMessage="1" errorTitle="An invalid feedback was entered" error="Please choose feedback from drop down only.">
      <formula1>"1/2,5/4,7/8,RRU TOP JUMPER,N/A"</formula1>
    </dataValidation>
    <dataValidation type="list" xr:uid="{A14433BC-8AE4-49D3-A639-3E168551E4C3}" sqref="I31" showErrorMessage="1" errorTitle="An invalid feedback was entered" error="Please choose feedback from drop down only.">
      <formula1>"1/2,5/4,7/8,RRU TOP JUMPER,N/A"</formula1>
    </dataValidation>
    <dataValidation type="list" xr:uid="{09C5D1E7-A681-487D-B094-CF66B1D47F18}" sqref="J31" showErrorMessage="1" errorTitle="An invalid feedback was entered" error="Please choose feedback from drop down only.">
      <formula1>"1/2,5/4,7/8,RRU TOP JUMPER,N/A"</formula1>
    </dataValidation>
    <dataValidation type="list" xr:uid="{0E793E7C-EF1F-4880-963E-BB6765DF0CF9}" sqref="K31" showErrorMessage="1" errorTitle="An invalid feedback was entered" error="Please choose feedback from drop down only.">
      <formula1>"1/2,5/4,7/8,RRU TOP JUMPER,N/A"</formula1>
    </dataValidation>
    <dataValidation type="list" xr:uid="{077AE933-C240-4FED-9F79-68B1593C29F4}" sqref="L31" showErrorMessage="1" errorTitle="An invalid feedback was entered" error="Please choose feedback from drop down only.">
      <formula1>"1/2,5/4,7/8,RRU TOP JUMPER,N/A"</formula1>
    </dataValidation>
    <dataValidation type="list" xr:uid="{FFD01021-6AE4-4089-A51A-50D4FC93D63B}" sqref="M31" showErrorMessage="1" errorTitle="An invalid feedback was entered" error="Please choose feedback from drop down only.">
      <formula1>"1/2,5/4,7/8,RRU TOP JUMPER,N/A"</formula1>
    </dataValidation>
    <dataValidation type="list" xr:uid="{F74C0DFA-59B5-46F9-BC0B-2AB5197A429F}" sqref="N31" showErrorMessage="1" errorTitle="An invalid feedback was entered" error="Please choose feedback from drop down only.">
      <formula1>"1/2,5/4,7/8,RRU TOP JUMPER,N/A"</formula1>
    </dataValidation>
    <dataValidation type="list" xr:uid="{697C1FFB-CAF1-40E9-A9C7-01C5DE965EB4}" sqref="O31" showErrorMessage="1" errorTitle="An invalid feedback was entered" error="Please choose feedback from drop down only.">
      <formula1>"1/2,5/4,7/8,RRU TOP JUMPER,N/A"</formula1>
    </dataValidation>
    <dataValidation type="list" xr:uid="{AF071109-390F-4F82-8FDA-0457F786560E}" sqref="P31" showErrorMessage="1" errorTitle="An invalid feedback was entered" error="Please choose feedback from drop down only.">
      <formula1>"1/2,5/4,7/8,RRU TOP JUMPER,N/A"</formula1>
    </dataValidation>
    <dataValidation type="list" xr:uid="{6B1853A4-303E-47E7-8C98-519F0D18CECC}" sqref="Q31" showErrorMessage="1" errorTitle="An invalid feedback was entered" error="Please choose feedback from drop down only.">
      <formula1>"1/2,5/4,7/8,RRU TOP JUMPER,N/A"</formula1>
    </dataValidation>
    <dataValidation type="list" xr:uid="{537EEFFA-A6BB-4CD6-8E49-9EC9179323E8}" sqref="C4" showErrorMessage="1" errorTitle="An invalid feedback was entered" error="Please choose feedback from drop down only.">
      <formula1>"1,2,3,4,5,6,N/A"</formula1>
    </dataValidation>
    <dataValidation type="list" xr:uid="{842294F9-BFA5-4EA0-96A3-919A590270DD}" sqref="D4" showErrorMessage="1" errorTitle="An invalid feedback was entered" error="Please choose feedback from drop down only.">
      <formula1>"1,2,3,4,5,6,N/A"</formula1>
    </dataValidation>
    <dataValidation type="list" xr:uid="{A808F7A9-3125-4FD4-92CF-5F7B2F463760}" sqref="E4" showErrorMessage="1" errorTitle="An invalid feedback was entered" error="Please choose feedback from drop down only.">
      <formula1>"1,2,3,4,5,6,N/A"</formula1>
    </dataValidation>
    <dataValidation type="list" xr:uid="{0FDED4E0-47DC-4BA2-8C8B-1846C7A0B431}" sqref="F4" showErrorMessage="1" errorTitle="An invalid feedback was entered" error="Please choose feedback from drop down only.">
      <formula1>"1,2,3,4,5,6,N/A"</formula1>
    </dataValidation>
    <dataValidation type="list" xr:uid="{A665393D-0622-4033-AA38-B4935B39493C}" sqref="G4" showErrorMessage="1" errorTitle="An invalid feedback was entered" error="Please choose feedback from drop down only.">
      <formula1>"1,2,3,4,5,6,N/A"</formula1>
    </dataValidation>
    <dataValidation type="list" xr:uid="{881A1F7E-5F19-4601-B737-519A5464077C}" sqref="H4" showErrorMessage="1" errorTitle="An invalid feedback was entered" error="Please choose feedback from drop down only.">
      <formula1>"1,2,3,4,5,6,N/A"</formula1>
    </dataValidation>
    <dataValidation type="list" xr:uid="{40242C2F-AEF1-4E2D-80A4-EADBACD84015}" sqref="I4" showErrorMessage="1" errorTitle="An invalid feedback was entered" error="Please choose feedback from drop down only.">
      <formula1>"1,2,3,4,5,6,N/A"</formula1>
    </dataValidation>
    <dataValidation type="list" xr:uid="{23762657-D6C9-4532-924B-B432F43FE22E}" sqref="J4" showErrorMessage="1" errorTitle="An invalid feedback was entered" error="Please choose feedback from drop down only.">
      <formula1>"1,2,3,4,5,6,N/A"</formula1>
    </dataValidation>
    <dataValidation type="list" xr:uid="{FB8F355F-A645-49E7-8302-88C0245ED7D9}" sqref="K4" showErrorMessage="1" errorTitle="An invalid feedback was entered" error="Please choose feedback from drop down only.">
      <formula1>"1,2,3,4,5,6,N/A"</formula1>
    </dataValidation>
    <dataValidation type="list" xr:uid="{DCBE2D48-36F0-4D79-9269-CC7A643C975D}" sqref="L4" showErrorMessage="1" errorTitle="An invalid feedback was entered" error="Please choose feedback from drop down only.">
      <formula1>"1,2,3,4,5,6,N/A"</formula1>
    </dataValidation>
    <dataValidation type="list" xr:uid="{4BABA107-F283-4908-8B0A-0C859B656591}" sqref="M4" showErrorMessage="1" errorTitle="An invalid feedback was entered" error="Please choose feedback from drop down only.">
      <formula1>"1,2,3,4,5,6,N/A"</formula1>
    </dataValidation>
    <dataValidation type="list" xr:uid="{DADC6807-9F09-401A-83B4-21B52B62365F}" sqref="N4" showErrorMessage="1" errorTitle="An invalid feedback was entered" error="Please choose feedback from drop down only.">
      <formula1>"1,2,3,4,5,6,N/A"</formula1>
    </dataValidation>
    <dataValidation type="list" xr:uid="{6B0F4C27-3217-4F52-AD80-E10FA32A33E3}" sqref="O4" showErrorMessage="1" errorTitle="An invalid feedback was entered" error="Please choose feedback from drop down only.">
      <formula1>"1,2,3,4,5,6,N/A"</formula1>
    </dataValidation>
    <dataValidation type="list" xr:uid="{372397D5-9F49-4EA5-980E-6D9EE3E7A42D}" sqref="P4" showErrorMessage="1" errorTitle="An invalid feedback was entered" error="Please choose feedback from drop down only.">
      <formula1>"1,2,3,4,5,6,N/A"</formula1>
    </dataValidation>
    <dataValidation type="list" xr:uid="{EAD6A1FF-78AD-48B4-AF12-AF32CBB36808}" sqref="Q4" showErrorMessage="1" errorTitle="An invalid feedback was entered" error="Please choose feedback from drop down only.">
      <formula1>"1,2,3,4,5,6,N/A"</formula1>
    </dataValidation>
    <dataValidation type="list" xr:uid="{F9568FE7-9180-4D83-A6A3-D7B62B835075}" sqref="C22" showErrorMessage="1" errorTitle="An invalid feedback was entered" error="Please choose feedback from drop down only.">
      <formula1>"700,800&amp;900,900,1800,2100,2600,3600,1800&amp;2100,1800&amp;2600,2100&amp;2600,18&amp;21&amp;26,Free,N/A,Yetel,A1,Yetel&amp;A1"</formula1>
    </dataValidation>
    <dataValidation type="list" xr:uid="{90C484A4-0E39-4C69-9865-02F41DF0029C}" sqref="D22" showErrorMessage="1" errorTitle="An invalid feedback was entered" error="Please choose feedback from drop down only.">
      <formula1>"700,800&amp;900,900,1800,2100,2600,3600,1800&amp;2100,1800&amp;2600,2100&amp;2600,18&amp;21&amp;26,Free,N/A,Yetel,A1,Yetel&amp;A1"</formula1>
    </dataValidation>
    <dataValidation type="list" xr:uid="{D7E06DBB-5862-479A-8D9C-B1B346214319}" sqref="E22" showErrorMessage="1" errorTitle="An invalid feedback was entered" error="Please choose feedback from drop down only.">
      <formula1>"700,800&amp;900,900,1800,2100,2600,3600,1800&amp;2100,1800&amp;2600,2100&amp;2600,18&amp;21&amp;26,Free,N/A,Yetel,A1,Yetel&amp;A1"</formula1>
    </dataValidation>
    <dataValidation type="list" xr:uid="{FC2CB565-00EC-4D45-91D8-6F4E2F2C7034}" sqref="F22" showErrorMessage="1" errorTitle="An invalid feedback was entered" error="Please choose feedback from drop down only.">
      <formula1>"700,800&amp;900,900,1800,2100,2600,3600,1800&amp;2100,1800&amp;2600,2100&amp;2600,18&amp;21&amp;26,Free,N/A,Yetel,A1,Yetel&amp;A1"</formula1>
    </dataValidation>
    <dataValidation type="list" xr:uid="{88650383-32D9-4F0C-B5E9-14DCCA8B7896}" sqref="G22" showErrorMessage="1" errorTitle="An invalid feedback was entered" error="Please choose feedback from drop down only.">
      <formula1>"700,800&amp;900,900,1800,2100,2600,3600,1800&amp;2100,1800&amp;2600,2100&amp;2600,18&amp;21&amp;26,Free,N/A,Yetel,A1,Yetel&amp;A1"</formula1>
    </dataValidation>
    <dataValidation type="list" xr:uid="{C1D789B2-2E3D-4D36-8CE5-C53B3B3DE0C4}" sqref="H22" showErrorMessage="1" errorTitle="An invalid feedback was entered" error="Please choose feedback from drop down only.">
      <formula1>"700,800&amp;900,900,1800,2100,2600,3600,1800&amp;2100,1800&amp;2600,2100&amp;2600,18&amp;21&amp;26,Free,N/A,Yetel,A1,Yetel&amp;A1"</formula1>
    </dataValidation>
    <dataValidation type="list" xr:uid="{A5B8F50B-09E9-4BB3-8193-2CBABBE30194}" sqref="I22" showErrorMessage="1" errorTitle="An invalid feedback was entered" error="Please choose feedback from drop down only.">
      <formula1>"700,800&amp;900,900,1800,2100,2600,3600,1800&amp;2100,1800&amp;2600,2100&amp;2600,18&amp;21&amp;26,Free,N/A,Yetel,A1,Yetel&amp;A1"</formula1>
    </dataValidation>
    <dataValidation type="list" xr:uid="{804D935A-5596-4222-BC2C-9423913484C0}" sqref="J22" showErrorMessage="1" errorTitle="An invalid feedback was entered" error="Please choose feedback from drop down only.">
      <formula1>"700,800&amp;900,900,1800,2100,2600,3600,1800&amp;2100,1800&amp;2600,2100&amp;2600,18&amp;21&amp;26,Free,N/A,Yetel,A1,Yetel&amp;A1"</formula1>
    </dataValidation>
    <dataValidation type="list" xr:uid="{99CACB9F-2678-4F64-86BC-0E5442C3C46A}" sqref="K22" showErrorMessage="1" errorTitle="An invalid feedback was entered" error="Please choose feedback from drop down only.">
      <formula1>"700,800&amp;900,900,1800,2100,2600,3600,1800&amp;2100,1800&amp;2600,2100&amp;2600,18&amp;21&amp;26,Free,N/A,Yetel,A1,Yetel&amp;A1"</formula1>
    </dataValidation>
    <dataValidation type="list" xr:uid="{479528B2-9C68-4B28-84C2-3BAB68AA989C}" sqref="L22" showErrorMessage="1" errorTitle="An invalid feedback was entered" error="Please choose feedback from drop down only.">
      <formula1>"700,800&amp;900,900,1800,2100,2600,3600,1800&amp;2100,1800&amp;2600,2100&amp;2600,18&amp;21&amp;26,Free,N/A,Yetel,A1,Yetel&amp;A1"</formula1>
    </dataValidation>
    <dataValidation type="list" xr:uid="{9C1C2B0D-7F43-47DB-81E3-029E6949295E}" sqref="M22" showErrorMessage="1" errorTitle="An invalid feedback was entered" error="Please choose feedback from drop down only.">
      <formula1>"700,800&amp;900,900,1800,2100,2600,3600,1800&amp;2100,1800&amp;2600,2100&amp;2600,18&amp;21&amp;26,Free,N/A,Yetel,A1,Yetel&amp;A1"</formula1>
    </dataValidation>
    <dataValidation type="list" xr:uid="{2649334C-F905-41D6-89AD-201834D45CF0}" sqref="N22" showErrorMessage="1" errorTitle="An invalid feedback was entered" error="Please choose feedback from drop down only.">
      <formula1>"700,800&amp;900,900,1800,2100,2600,3600,1800&amp;2100,1800&amp;2600,2100&amp;2600,18&amp;21&amp;26,Free,N/A,Yetel,A1,Yetel&amp;A1"</formula1>
    </dataValidation>
    <dataValidation type="list" xr:uid="{567B2F34-79CC-4D73-8AA3-6BCEC0C64945}" sqref="O22" showErrorMessage="1" errorTitle="An invalid feedback was entered" error="Please choose feedback from drop down only.">
      <formula1>"700,800&amp;900,900,1800,2100,2600,3600,1800&amp;2100,1800&amp;2600,2100&amp;2600,18&amp;21&amp;26,Free,N/A,Yetel,A1,Yetel&amp;A1"</formula1>
    </dataValidation>
    <dataValidation type="list" xr:uid="{702C1DD3-09F7-4C95-BB23-5A3A38D903F5}" sqref="P22" showErrorMessage="1" errorTitle="An invalid feedback was entered" error="Please choose feedback from drop down only.">
      <formula1>"700,800&amp;900,900,1800,2100,2600,3600,1800&amp;2100,1800&amp;2600,2100&amp;2600,18&amp;21&amp;26,Free,N/A,Yetel,A1,Yetel&amp;A1"</formula1>
    </dataValidation>
    <dataValidation type="list" xr:uid="{EA988010-FDAF-49DF-BB9B-8D68F8F1CAF4}" sqref="Q22" showErrorMessage="1" errorTitle="An invalid feedback was entered" error="Please choose feedback from drop down only.">
      <formula1>"700,800&amp;900,900,1800,2100,2600,3600,1800&amp;2100,1800&amp;2600,2100&amp;2600,18&amp;21&amp;26,Free,N/A,Yetel,A1,Yetel&amp;A1"</formula1>
    </dataValidation>
    <dataValidation type="list" xr:uid="{37DE32F1-36E1-4B76-BCA4-D695199A14BD}" sqref="C28" showErrorMessage="1" errorTitle="An invalid feedback was entered" error="Please choose feedback from drop down only.">
      <formula1>"Yes,No,FlexRET"</formula1>
    </dataValidation>
    <dataValidation type="list" xr:uid="{61E63FA2-7097-45EE-9689-B1FCC8E44E0B}" sqref="D28" showErrorMessage="1" errorTitle="An invalid feedback was entered" error="Please choose feedback from drop down only.">
      <formula1>"Yes,No,FlexRET"</formula1>
    </dataValidation>
    <dataValidation type="list" xr:uid="{3B9A32DD-D6AD-4E7B-B05F-B56F247043BF}" sqref="E28" showErrorMessage="1" errorTitle="An invalid feedback was entered" error="Please choose feedback from drop down only.">
      <formula1>"Yes,No,FlexRET"</formula1>
    </dataValidation>
    <dataValidation type="list" xr:uid="{390ED42C-7ACE-4FE2-A022-3B887D866BE0}" sqref="F28" showErrorMessage="1" errorTitle="An invalid feedback was entered" error="Please choose feedback from drop down only.">
      <formula1>"Yes,No,FlexRET"</formula1>
    </dataValidation>
    <dataValidation type="list" xr:uid="{A41329FD-2C12-4C5E-B271-EF2B68991734}" sqref="G28" showErrorMessage="1" errorTitle="An invalid feedback was entered" error="Please choose feedback from drop down only.">
      <formula1>"Yes,No,FlexRET"</formula1>
    </dataValidation>
    <dataValidation type="list" xr:uid="{57C53421-1799-4CEF-9945-80A0017B4BA9}" sqref="H28" showErrorMessage="1" errorTitle="An invalid feedback was entered" error="Please choose feedback from drop down only.">
      <formula1>"Yes,No,FlexRET"</formula1>
    </dataValidation>
    <dataValidation type="list" xr:uid="{8C568F9B-0B81-4CC3-BA5F-4E747AD7F169}" sqref="I28" showErrorMessage="1" errorTitle="An invalid feedback was entered" error="Please choose feedback from drop down only.">
      <formula1>"Yes,No,FlexRET"</formula1>
    </dataValidation>
    <dataValidation type="list" xr:uid="{A9217CC1-398D-46B0-95EE-C40E47F0A868}" sqref="J28" showErrorMessage="1" errorTitle="An invalid feedback was entered" error="Please choose feedback from drop down only.">
      <formula1>"Yes,No,FlexRET"</formula1>
    </dataValidation>
    <dataValidation type="list" xr:uid="{7623FBCA-8FDA-4A22-8E1B-45E02D7D8A90}" sqref="K28" showErrorMessage="1" errorTitle="An invalid feedback was entered" error="Please choose feedback from drop down only.">
      <formula1>"Yes,No,FlexRET"</formula1>
    </dataValidation>
    <dataValidation type="list" xr:uid="{DE41A329-F658-4769-A6B8-47147407CC97}" sqref="L28" showErrorMessage="1" errorTitle="An invalid feedback was entered" error="Please choose feedback from drop down only.">
      <formula1>"Yes,No,FlexRET"</formula1>
    </dataValidation>
    <dataValidation type="list" xr:uid="{166D55A9-7BE3-4116-9351-4508F03D60FB}" sqref="M28" showErrorMessage="1" errorTitle="An invalid feedback was entered" error="Please choose feedback from drop down only.">
      <formula1>"Yes,No,FlexRET"</formula1>
    </dataValidation>
    <dataValidation type="list" xr:uid="{D28B7A96-BCC8-4EA0-BFEE-70B410DEAD1A}" sqref="N28" showErrorMessage="1" errorTitle="An invalid feedback was entered" error="Please choose feedback from drop down only.">
      <formula1>"Yes,No,FlexRET"</formula1>
    </dataValidation>
    <dataValidation type="list" xr:uid="{F50ADC23-9394-4FD3-8108-495788060DDB}" sqref="O28" showErrorMessage="1" errorTitle="An invalid feedback was entered" error="Please choose feedback from drop down only.">
      <formula1>"Yes,No,FlexRET"</formula1>
    </dataValidation>
    <dataValidation type="list" xr:uid="{563E6229-5CF7-4433-8D2B-A59B4C77A3E4}" sqref="P28" showErrorMessage="1" errorTitle="An invalid feedback was entered" error="Please choose feedback from drop down only.">
      <formula1>"Yes,No,FlexRET"</formula1>
    </dataValidation>
    <dataValidation type="list" xr:uid="{BD295603-49A8-4B14-8D33-92D6D8FA2935}" sqref="Q28" showErrorMessage="1" errorTitle="An invalid feedback was entered" error="Please choose feedback from drop down only.">
      <formula1>"Yes,No,FlexRET"</formula1>
    </dataValidation>
    <dataValidation type="list" xr:uid="{BAAF3749-F9FD-4562-B2A3-5C00BFC578E9}" sqref="C29" showErrorMessage="1" errorTitle="An invalid feedback was entered" error="Please choose feedback from drop down only.">
      <formula1>"Yes,No,FlexRET"</formula1>
    </dataValidation>
    <dataValidation type="list" xr:uid="{4C15206A-CCF9-43F5-A387-944E1F6FFE82}" sqref="D29" showErrorMessage="1" errorTitle="An invalid feedback was entered" error="Please choose feedback from drop down only.">
      <formula1>"Yes,No,FlexRET"</formula1>
    </dataValidation>
    <dataValidation type="list" xr:uid="{E067A847-1E9E-4D1B-B19F-62CD6495DEA9}" sqref="E29" showErrorMessage="1" errorTitle="An invalid feedback was entered" error="Please choose feedback from drop down only.">
      <formula1>"Yes,No,FlexRET"</formula1>
    </dataValidation>
    <dataValidation type="list" xr:uid="{3889DB85-9397-4951-B2C0-1205C1F098F2}" sqref="F29" showErrorMessage="1" errorTitle="An invalid feedback was entered" error="Please choose feedback from drop down only.">
      <formula1>"Yes,No,FlexRET"</formula1>
    </dataValidation>
    <dataValidation type="list" xr:uid="{37FAA7D2-D370-40CF-A123-FBA2F37774B2}" sqref="G29" showErrorMessage="1" errorTitle="An invalid feedback was entered" error="Please choose feedback from drop down only.">
      <formula1>"Yes,No,FlexRET"</formula1>
    </dataValidation>
    <dataValidation type="list" xr:uid="{E0F21863-38DC-4273-94EC-B017FD780DD6}" sqref="H29" showErrorMessage="1" errorTitle="An invalid feedback was entered" error="Please choose feedback from drop down only.">
      <formula1>"Yes,No,FlexRET"</formula1>
    </dataValidation>
    <dataValidation type="list" xr:uid="{DE0270A6-DA56-41F5-9E24-DC1F84C37FAB}" sqref="I29" showErrorMessage="1" errorTitle="An invalid feedback was entered" error="Please choose feedback from drop down only.">
      <formula1>"Yes,No,FlexRET"</formula1>
    </dataValidation>
    <dataValidation type="list" xr:uid="{7F042244-C078-4720-8AE9-F3263EEBF902}" sqref="J29" showErrorMessage="1" errorTitle="An invalid feedback was entered" error="Please choose feedback from drop down only.">
      <formula1>"Yes,No,FlexRET"</formula1>
    </dataValidation>
    <dataValidation type="list" xr:uid="{07014B9D-130E-42C4-B049-19ED1F89844B}" sqref="K29" showErrorMessage="1" errorTitle="An invalid feedback was entered" error="Please choose feedback from drop down only.">
      <formula1>"Yes,No,FlexRET"</formula1>
    </dataValidation>
    <dataValidation type="list" xr:uid="{FF4F3521-623C-4E2E-9251-5227AE090129}" sqref="L29" showErrorMessage="1" errorTitle="An invalid feedback was entered" error="Please choose feedback from drop down only.">
      <formula1>"Yes,No,FlexRET"</formula1>
    </dataValidation>
    <dataValidation type="list" xr:uid="{5B33DF80-D510-4761-BAAA-4B901053BCEA}" sqref="M29" showErrorMessage="1" errorTitle="An invalid feedback was entered" error="Please choose feedback from drop down only.">
      <formula1>"Yes,No,FlexRET"</formula1>
    </dataValidation>
    <dataValidation type="list" xr:uid="{757625CC-2750-4F9C-AAF3-CD2255AC0CC4}" sqref="N29" showErrorMessage="1" errorTitle="An invalid feedback was entered" error="Please choose feedback from drop down only.">
      <formula1>"Yes,No,FlexRET"</formula1>
    </dataValidation>
    <dataValidation type="list" xr:uid="{F1BB8229-CD3F-48C8-A530-D1109A45791C}" sqref="O29" showErrorMessage="1" errorTitle="An invalid feedback was entered" error="Please choose feedback from drop down only.">
      <formula1>"Yes,No,FlexRET"</formula1>
    </dataValidation>
    <dataValidation type="list" xr:uid="{CA85D392-6DBD-466B-8705-DC3D903C3CC2}" sqref="P29" showErrorMessage="1" errorTitle="An invalid feedback was entered" error="Please choose feedback from drop down only.">
      <formula1>"Yes,No,FlexRET"</formula1>
    </dataValidation>
    <dataValidation type="list" xr:uid="{F3C29D45-E241-47F8-A952-5A41685EBF2A}" sqref="Q29" showErrorMessage="1" errorTitle="An invalid feedback was entered" error="Please choose feedback from drop down only.">
      <formula1>"Yes,No,FlexRET"</formula1>
    </dataValidation>
    <dataValidation type="list" xr:uid="{DC19B89B-EADC-41E7-B9D3-128FD7F25EED}" sqref="C25" showErrorMessage="1" errorTitle="An invalid feedback was entered" error="Please choose feedback from drop down only.">
      <formula1>"G,U,L,NR,GU,UL,GL,GUL,LNR,ULNR,None"</formula1>
    </dataValidation>
    <dataValidation type="list" xr:uid="{6C3E29D7-1615-46B5-97FB-DD6B9527D87B}" sqref="D25" showErrorMessage="1" errorTitle="An invalid feedback was entered" error="Please choose feedback from drop down only.">
      <formula1>"G,U,L,NR,GU,UL,GL,GUL,LNR,ULNR,None"</formula1>
    </dataValidation>
    <dataValidation type="list" xr:uid="{4C1A37A9-C94E-46D1-A65E-D3F99D9648BA}" sqref="E25" showErrorMessage="1" errorTitle="An invalid feedback was entered" error="Please choose feedback from drop down only.">
      <formula1>"G,U,L,NR,GU,UL,GL,GUL,LNR,ULNR,None"</formula1>
    </dataValidation>
    <dataValidation type="list" xr:uid="{A120BB38-E538-4090-A0E9-20C33FF28239}" sqref="F25" showErrorMessage="1" errorTitle="An invalid feedback was entered" error="Please choose feedback from drop down only.">
      <formula1>"G,U,L,NR,GU,UL,GL,GUL,LNR,ULNR,None"</formula1>
    </dataValidation>
    <dataValidation type="list" xr:uid="{E728A6C0-1C4D-4382-AECF-923D4BF656FC}" sqref="G25" showErrorMessage="1" errorTitle="An invalid feedback was entered" error="Please choose feedback from drop down only.">
      <formula1>"G,U,L,NR,GU,UL,GL,GUL,LNR,ULNR,None"</formula1>
    </dataValidation>
    <dataValidation type="list" xr:uid="{22BF43EA-7FDB-4EF3-B80B-1ADC1CF40573}" sqref="H25" showErrorMessage="1" errorTitle="An invalid feedback was entered" error="Please choose feedback from drop down only.">
      <formula1>"G,U,L,NR,GU,UL,GL,GUL,LNR,ULNR,None"</formula1>
    </dataValidation>
    <dataValidation type="list" xr:uid="{132FEEBE-11EB-4374-847B-0B5AE729410F}" sqref="I25" showErrorMessage="1" errorTitle="An invalid feedback was entered" error="Please choose feedback from drop down only.">
      <formula1>"G,U,L,NR,GU,UL,GL,GUL,LNR,ULNR,None"</formula1>
    </dataValidation>
    <dataValidation type="list" xr:uid="{A2C2BC36-C8E9-49B6-B685-E297ECD16510}" sqref="J25" showErrorMessage="1" errorTitle="An invalid feedback was entered" error="Please choose feedback from drop down only.">
      <formula1>"G,U,L,NR,GU,UL,GL,GUL,LNR,ULNR,None"</formula1>
    </dataValidation>
    <dataValidation type="list" xr:uid="{D6EFF7A4-D493-40ED-9982-E289F1BBD26C}" sqref="K25" showErrorMessage="1" errorTitle="An invalid feedback was entered" error="Please choose feedback from drop down only.">
      <formula1>"G,U,L,NR,GU,UL,GL,GUL,LNR,ULNR,None"</formula1>
    </dataValidation>
    <dataValidation type="list" xr:uid="{9F05A34A-08ED-4025-A031-F0350C4D97E4}" sqref="L25" showErrorMessage="1" errorTitle="An invalid feedback was entered" error="Please choose feedback from drop down only.">
      <formula1>"G,U,L,NR,GU,UL,GL,GUL,LNR,ULNR,None"</formula1>
    </dataValidation>
    <dataValidation type="list" xr:uid="{A6004EC2-E781-4C7C-95BF-625F41590596}" sqref="M25" showErrorMessage="1" errorTitle="An invalid feedback was entered" error="Please choose feedback from drop down only.">
      <formula1>"G,U,L,NR,GU,UL,GL,GUL,LNR,ULNR,None"</formula1>
    </dataValidation>
    <dataValidation type="list" xr:uid="{B934FAE0-CCCE-4D9E-BAEF-F4D4A17A5344}" sqref="N25" showErrorMessage="1" errorTitle="An invalid feedback was entered" error="Please choose feedback from drop down only.">
      <formula1>"G,U,L,NR,GU,UL,GL,GUL,LNR,ULNR,None"</formula1>
    </dataValidation>
    <dataValidation type="list" xr:uid="{C87ED901-8C37-4833-9964-55561952B722}" sqref="O25" showErrorMessage="1" errorTitle="An invalid feedback was entered" error="Please choose feedback from drop down only.">
      <formula1>"G,U,L,NR,GU,UL,GL,GUL,LNR,ULNR,None"</formula1>
    </dataValidation>
    <dataValidation type="list" xr:uid="{884623E9-C123-4CCE-923A-A658B8AE81B6}" sqref="P25" showErrorMessage="1" errorTitle="An invalid feedback was entered" error="Please choose feedback from drop down only.">
      <formula1>"G,U,L,NR,GU,UL,GL,GUL,LNR,ULNR,None"</formula1>
    </dataValidation>
    <dataValidation type="list" xr:uid="{FA2C5D94-AF0D-4AC4-9340-1535EC331E5E}" sqref="Q25" showErrorMessage="1" errorTitle="An invalid feedback was entered" error="Please choose feedback from drop down only.">
      <formula1>"G,U,L,NR,GU,UL,GL,GUL,LNR,ULNR,None"</formula1>
    </dataValidation>
    <dataValidation type="list" xr:uid="{9C528036-677F-4816-9A4D-7C93D775DFA1}" sqref="C37" showErrorMessage="1" errorTitle="An invalid feedback was entered" error="Please choose feedback from drop down only.">
      <formula1>"Yes,No,SASU,SASU/SASA,DCS/UMTS2100share,78210440,78211110,78210510,DTMA UMTS 12 ASIG,78211106,78210312,TMA 900 Tower amplifier,TMA900,MI-15832,MI-16331,MI-12731,MI-12031,N/A,Unknown,None"</formula1>
    </dataValidation>
    <dataValidation type="list" xr:uid="{C776B725-C1D0-40B8-9818-B19E6E57435D}" sqref="D37" showErrorMessage="1" errorTitle="An invalid feedback was entered" error="Please choose feedback from drop down only.">
      <formula1>"Yes,No,SASU,SASU/SASA,DCS/UMTS2100share,78210440,78211110,78210510,DTMA UMTS 12 ASIG,78211106,78210312,TMA 900 Tower amplifier,TMA900,MI-15832,MI-16331,MI-12731,MI-12031,N/A,Unknown,None"</formula1>
    </dataValidation>
    <dataValidation type="list" xr:uid="{2D6D37C9-4C41-4BF5-85FF-D9DADD1A275B}" sqref="E37" showErrorMessage="1" errorTitle="An invalid feedback was entered" error="Please choose feedback from drop down only.">
      <formula1>"Yes,No,SASU,SASU/SASA,DCS/UMTS2100share,78210440,78211110,78210510,DTMA UMTS 12 ASIG,78211106,78210312,TMA 900 Tower amplifier,TMA900,MI-15832,MI-16331,MI-12731,MI-12031,N/A,Unknown,None"</formula1>
    </dataValidation>
    <dataValidation type="list" xr:uid="{1B0CB901-8721-49D4-A212-59C6C4F850A3}" sqref="F37" showErrorMessage="1" errorTitle="An invalid feedback was entered" error="Please choose feedback from drop down only.">
      <formula1>"Yes,No,SASU,SASU/SASA,DCS/UMTS2100share,78210440,78211110,78210510,DTMA UMTS 12 ASIG,78211106,78210312,TMA 900 Tower amplifier,TMA900,MI-15832,MI-16331,MI-12731,MI-12031,N/A,Unknown,None"</formula1>
    </dataValidation>
    <dataValidation type="list" xr:uid="{D2BDB086-77B1-40E3-AC1F-EEA2C070327D}" sqref="G37" showErrorMessage="1" errorTitle="An invalid feedback was entered" error="Please choose feedback from drop down only.">
      <formula1>"Yes,No,SASU,SASU/SASA,DCS/UMTS2100share,78210440,78211110,78210510,DTMA UMTS 12 ASIG,78211106,78210312,TMA 900 Tower amplifier,TMA900,MI-15832,MI-16331,MI-12731,MI-12031,N/A,Unknown,None"</formula1>
    </dataValidation>
    <dataValidation type="list" xr:uid="{69ABC391-BA9F-47E1-9C51-6D6B44E43C55}" sqref="H37" showErrorMessage="1" errorTitle="An invalid feedback was entered" error="Please choose feedback from drop down only.">
      <formula1>"Yes,No,SASU,SASU/SASA,DCS/UMTS2100share,78210440,78211110,78210510,DTMA UMTS 12 ASIG,78211106,78210312,TMA 900 Tower amplifier,TMA900,MI-15832,MI-16331,MI-12731,MI-12031,N/A,Unknown,None"</formula1>
    </dataValidation>
    <dataValidation type="list" xr:uid="{79623AEA-3A9E-407C-A065-1A97C9646BD3}" sqref="I37" showErrorMessage="1" errorTitle="An invalid feedback was entered" error="Please choose feedback from drop down only.">
      <formula1>"Yes,No,SASU,SASU/SASA,DCS/UMTS2100share,78210440,78211110,78210510,DTMA UMTS 12 ASIG,78211106,78210312,TMA 900 Tower amplifier,TMA900,MI-15832,MI-16331,MI-12731,MI-12031,N/A,Unknown,None"</formula1>
    </dataValidation>
    <dataValidation type="list" xr:uid="{194DE3E8-F463-404A-B0ED-01EFFB64D34A}" sqref="J37" showErrorMessage="1" errorTitle="An invalid feedback was entered" error="Please choose feedback from drop down only.">
      <formula1>"Yes,No,SASU,SASU/SASA,DCS/UMTS2100share,78210440,78211110,78210510,DTMA UMTS 12 ASIG,78211106,78210312,TMA 900 Tower amplifier,TMA900,MI-15832,MI-16331,MI-12731,MI-12031,N/A,Unknown,None"</formula1>
    </dataValidation>
    <dataValidation type="list" xr:uid="{7025977A-B5C5-4BC7-AA18-D329512124AA}" sqref="K37" showErrorMessage="1" errorTitle="An invalid feedback was entered" error="Please choose feedback from drop down only.">
      <formula1>"Yes,No,SASU,SASU/SASA,DCS/UMTS2100share,78210440,78211110,78210510,DTMA UMTS 12 ASIG,78211106,78210312,TMA 900 Tower amplifier,TMA900,MI-15832,MI-16331,MI-12731,MI-12031,N/A,Unknown,None"</formula1>
    </dataValidation>
    <dataValidation type="list" xr:uid="{7E677B96-7735-4B26-A269-B16942D65383}" sqref="L37" showErrorMessage="1" errorTitle="An invalid feedback was entered" error="Please choose feedback from drop down only.">
      <formula1>"Yes,No,SASU,SASU/SASA,DCS/UMTS2100share,78210440,78211110,78210510,DTMA UMTS 12 ASIG,78211106,78210312,TMA 900 Tower amplifier,TMA900,MI-15832,MI-16331,MI-12731,MI-12031,N/A,Unknown,None"</formula1>
    </dataValidation>
    <dataValidation type="list" xr:uid="{110FDCC0-A5EC-4456-A7DF-8112F04CABE5}" sqref="M37" showErrorMessage="1" errorTitle="An invalid feedback was entered" error="Please choose feedback from drop down only.">
      <formula1>"Yes,No,SASU,SASU/SASA,DCS/UMTS2100share,78210440,78211110,78210510,DTMA UMTS 12 ASIG,78211106,78210312,TMA 900 Tower amplifier,TMA900,MI-15832,MI-16331,MI-12731,MI-12031,N/A,Unknown,None"</formula1>
    </dataValidation>
    <dataValidation type="list" xr:uid="{71421EF0-0C44-4B2C-A269-EB5D852EA300}" sqref="N37" showErrorMessage="1" errorTitle="An invalid feedback was entered" error="Please choose feedback from drop down only.">
      <formula1>"Yes,No,SASU,SASU/SASA,DCS/UMTS2100share,78210440,78211110,78210510,DTMA UMTS 12 ASIG,78211106,78210312,TMA 900 Tower amplifier,TMA900,MI-15832,MI-16331,MI-12731,MI-12031,N/A,Unknown,None"</formula1>
    </dataValidation>
    <dataValidation type="list" xr:uid="{4AE2D9A3-9D39-4578-93A3-757111BE52B1}" sqref="O37" showErrorMessage="1" errorTitle="An invalid feedback was entered" error="Please choose feedback from drop down only.">
      <formula1>"Yes,No,SASU,SASU/SASA,DCS/UMTS2100share,78210440,78211110,78210510,DTMA UMTS 12 ASIG,78211106,78210312,TMA 900 Tower amplifier,TMA900,MI-15832,MI-16331,MI-12731,MI-12031,N/A,Unknown,None"</formula1>
    </dataValidation>
    <dataValidation type="list" xr:uid="{7ECD5E62-833E-4E01-B47D-5FE04A4D52A1}" sqref="P37" showErrorMessage="1" errorTitle="An invalid feedback was entered" error="Please choose feedback from drop down only.">
      <formula1>"Yes,No,SASU,SASU/SASA,DCS/UMTS2100share,78210440,78211110,78210510,DTMA UMTS 12 ASIG,78211106,78210312,TMA 900 Tower amplifier,TMA900,MI-15832,MI-16331,MI-12731,MI-12031,N/A,Unknown,None"</formula1>
    </dataValidation>
    <dataValidation type="list" xr:uid="{A896FA1B-6CB1-4CCF-B331-3AE2DBB2E033}" sqref="Q37" showErrorMessage="1" errorTitle="An invalid feedback was entered" error="Please choose feedback from drop down only.">
      <formula1>"Yes,No,SASU,SASU/SASA,DCS/UMTS2100share,78210440,78211110,78210510,DTMA UMTS 12 ASIG,78211106,78210312,TMA 900 Tower amplifier,TMA900,MI-15832,MI-16331,MI-12731,MI-12031,N/A,Unknown,None"</formula1>
    </dataValidation>
  </dataValidations>
  <pageMargins left="0.7" right="0.7" top="0.75" bottom="0.75" header="0.3" footer="0.3"/>
  <pageSetup orientation="portrait"/>
  <headerFooter/>
  <extLst>
    <ext xmlns:x14="http://schemas.microsoft.com/office/spreadsheetml/2009/9/main" uri="{CCE6A557-97BC-4b89-ADB6-D9C93CAAB3DF}">
      <x14:dataValidations xmlns:xm="http://schemas.microsoft.com/office/excel/2006/main" count="60">
        <x14:dataValidation type="list" xr:uid="{3B13C517-D9F5-4716-BB85-85974360AB11}" error="Please choose feedback from drop down only." errorTitle="An invalid feedback was entered" showErrorMessage="1">
          <x14:formula1>
            <xm:f>Antennas!A:A</xm:f>
          </x14:formula1>
          <xm:sqref>C8</xm:sqref>
        </x14:dataValidation>
        <x14:dataValidation type="list" xr:uid="{0E5E1CF4-44A5-4F76-B59A-3C22B461595B}" error="Please choose feedback from drop down only." errorTitle="An invalid feedback was entered" showErrorMessage="1">
          <x14:formula1>
            <xm:f>Antennas!A:A</xm:f>
          </x14:formula1>
          <xm:sqref>D8</xm:sqref>
        </x14:dataValidation>
        <x14:dataValidation type="list" xr:uid="{932326CE-EAF8-49CA-A2AF-02453C9AB27D}" error="Please choose feedback from drop down only." errorTitle="An invalid feedback was entered" showErrorMessage="1">
          <x14:formula1>
            <xm:f>Antennas!A:A</xm:f>
          </x14:formula1>
          <xm:sqref>E8</xm:sqref>
        </x14:dataValidation>
        <x14:dataValidation type="list" xr:uid="{E15E6089-6938-40C9-BBCB-845BC10277B2}" error="Please choose feedback from drop down only." errorTitle="An invalid feedback was entered" showErrorMessage="1">
          <x14:formula1>
            <xm:f>Antennas!A:A</xm:f>
          </x14:formula1>
          <xm:sqref>F8</xm:sqref>
        </x14:dataValidation>
        <x14:dataValidation type="list" xr:uid="{45A1B165-E2A6-40D3-9B68-B7BFD3DD4C61}" error="Please choose feedback from drop down only." errorTitle="An invalid feedback was entered" showErrorMessage="1">
          <x14:formula1>
            <xm:f>Antennas!A:A</xm:f>
          </x14:formula1>
          <xm:sqref>G8</xm:sqref>
        </x14:dataValidation>
        <x14:dataValidation type="list" xr:uid="{18E0660A-CBA8-4CBE-BBE1-92DB6C409B0A}" error="Please choose feedback from drop down only." errorTitle="An invalid feedback was entered" showErrorMessage="1">
          <x14:formula1>
            <xm:f>Antennas!A:A</xm:f>
          </x14:formula1>
          <xm:sqref>H8</xm:sqref>
        </x14:dataValidation>
        <x14:dataValidation type="list" xr:uid="{2A2AED55-0AA0-457C-AB11-57BAA23F8304}" error="Please choose feedback from drop down only." errorTitle="An invalid feedback was entered" showErrorMessage="1">
          <x14:formula1>
            <xm:f>Antennas!A:A</xm:f>
          </x14:formula1>
          <xm:sqref>I8</xm:sqref>
        </x14:dataValidation>
        <x14:dataValidation type="list" xr:uid="{1D7CF3FF-ED6D-4EAF-BEF8-B38515852934}" error="Please choose feedback from drop down only." errorTitle="An invalid feedback was entered" showErrorMessage="1">
          <x14:formula1>
            <xm:f>Antennas!A:A</xm:f>
          </x14:formula1>
          <xm:sqref>J8</xm:sqref>
        </x14:dataValidation>
        <x14:dataValidation type="list" xr:uid="{EF7EC18A-8863-4596-92C4-AF89A9CA29FC}" error="Please choose feedback from drop down only." errorTitle="An invalid feedback was entered" showErrorMessage="1">
          <x14:formula1>
            <xm:f>Antennas!A:A</xm:f>
          </x14:formula1>
          <xm:sqref>K8</xm:sqref>
        </x14:dataValidation>
        <x14:dataValidation type="list" xr:uid="{00FD8E5D-5A50-4311-B238-F3B02640728A}" error="Please choose feedback from drop down only." errorTitle="An invalid feedback was entered" showErrorMessage="1">
          <x14:formula1>
            <xm:f>Antennas!A:A</xm:f>
          </x14:formula1>
          <xm:sqref>L8</xm:sqref>
        </x14:dataValidation>
        <x14:dataValidation type="list" xr:uid="{17B425FF-3B76-4882-9E9D-6C5979EDC569}" error="Please choose feedback from drop down only." errorTitle="An invalid feedback was entered" showErrorMessage="1">
          <x14:formula1>
            <xm:f>Antennas!A:A</xm:f>
          </x14:formula1>
          <xm:sqref>M8</xm:sqref>
        </x14:dataValidation>
        <x14:dataValidation type="list" xr:uid="{E1DEC1A8-BE8E-43C2-8A52-832F27619ECF}" error="Please choose feedback from drop down only." errorTitle="An invalid feedback was entered" showErrorMessage="1">
          <x14:formula1>
            <xm:f>Antennas!A:A</xm:f>
          </x14:formula1>
          <xm:sqref>N8</xm:sqref>
        </x14:dataValidation>
        <x14:dataValidation type="list" xr:uid="{88FA6B85-01AA-452A-9807-5C0F627FB261}" error="Please choose feedback from drop down only." errorTitle="An invalid feedback was entered" showErrorMessage="1">
          <x14:formula1>
            <xm:f>Antennas!A:A</xm:f>
          </x14:formula1>
          <xm:sqref>O8</xm:sqref>
        </x14:dataValidation>
        <x14:dataValidation type="list" xr:uid="{91C2C8A6-2FDC-483E-9629-89A5E7FE7B28}" error="Please choose feedback from drop down only." errorTitle="An invalid feedback was entered" showErrorMessage="1">
          <x14:formula1>
            <xm:f>Antennas!A:A</xm:f>
          </x14:formula1>
          <xm:sqref>P8</xm:sqref>
        </x14:dataValidation>
        <x14:dataValidation type="list" xr:uid="{C640707D-2B9B-48E7-B815-FFB0E79B46A0}" error="Please choose feedback from drop down only." errorTitle="An invalid feedback was entered" showErrorMessage="1">
          <x14:formula1>
            <xm:f>Antennas!A:A</xm:f>
          </x14:formula1>
          <xm:sqref>Q8</xm:sqref>
        </x14:dataValidation>
        <x14:dataValidation type="list" xr:uid="{771EDBED-5EF3-405A-BE91-2AC01A59B41B}" error="Please choose feedback from drop down only." errorTitle="An invalid feedback was entered" showErrorMessage="1">
          <x14:formula1>
            <xm:f>Combiners!A:A</xm:f>
          </x14:formula1>
          <xm:sqref>C39</xm:sqref>
        </x14:dataValidation>
        <x14:dataValidation type="list" xr:uid="{91E49E86-AE50-440F-9C3E-0921F8EA1211}" error="Please choose feedback from drop down only." errorTitle="An invalid feedback was entered" showErrorMessage="1">
          <x14:formula1>
            <xm:f>Combiners!A:A</xm:f>
          </x14:formula1>
          <xm:sqref>D39</xm:sqref>
        </x14:dataValidation>
        <x14:dataValidation type="list" xr:uid="{AAB1195F-F671-475C-B3E7-0826DA107ED5}" error="Please choose feedback from drop down only." errorTitle="An invalid feedback was entered" showErrorMessage="1">
          <x14:formula1>
            <xm:f>Combiners!A:A</xm:f>
          </x14:formula1>
          <xm:sqref>E39</xm:sqref>
        </x14:dataValidation>
        <x14:dataValidation type="list" xr:uid="{3AC8C79E-2597-42BE-ACCF-E754F1BEBA5D}" error="Please choose feedback from drop down only." errorTitle="An invalid feedback was entered" showErrorMessage="1">
          <x14:formula1>
            <xm:f>Combiners!A:A</xm:f>
          </x14:formula1>
          <xm:sqref>F39</xm:sqref>
        </x14:dataValidation>
        <x14:dataValidation type="list" xr:uid="{D2665976-0CDC-4841-B313-CCF3165B27FB}" error="Please choose feedback from drop down only." errorTitle="An invalid feedback was entered" showErrorMessage="1">
          <x14:formula1>
            <xm:f>Combiners!A:A</xm:f>
          </x14:formula1>
          <xm:sqref>G39</xm:sqref>
        </x14:dataValidation>
        <x14:dataValidation type="list" xr:uid="{EF74EC69-B3D0-4F50-8C12-3BCAC49C26B5}" error="Please choose feedback from drop down only." errorTitle="An invalid feedback was entered" showErrorMessage="1">
          <x14:formula1>
            <xm:f>Combiners!A:A</xm:f>
          </x14:formula1>
          <xm:sqref>H39</xm:sqref>
        </x14:dataValidation>
        <x14:dataValidation type="list" xr:uid="{0EE0C7AB-C9DD-4E73-B97F-08568ABA8F3C}" error="Please choose feedback from drop down only." errorTitle="An invalid feedback was entered" showErrorMessage="1">
          <x14:formula1>
            <xm:f>Combiners!A:A</xm:f>
          </x14:formula1>
          <xm:sqref>I39</xm:sqref>
        </x14:dataValidation>
        <x14:dataValidation type="list" xr:uid="{434E171B-8474-45B4-838D-39CA8AEFC8DD}" error="Please choose feedback from drop down only." errorTitle="An invalid feedback was entered" showErrorMessage="1">
          <x14:formula1>
            <xm:f>Combiners!A:A</xm:f>
          </x14:formula1>
          <xm:sqref>J39</xm:sqref>
        </x14:dataValidation>
        <x14:dataValidation type="list" xr:uid="{CD545A89-5FDB-4557-B338-A889CBEACC78}" error="Please choose feedback from drop down only." errorTitle="An invalid feedback was entered" showErrorMessage="1">
          <x14:formula1>
            <xm:f>Combiners!A:A</xm:f>
          </x14:formula1>
          <xm:sqref>K39</xm:sqref>
        </x14:dataValidation>
        <x14:dataValidation type="list" xr:uid="{90BFCC6F-2EB6-409B-A703-DDA4889A7611}" error="Please choose feedback from drop down only." errorTitle="An invalid feedback was entered" showErrorMessage="1">
          <x14:formula1>
            <xm:f>Combiners!A:A</xm:f>
          </x14:formula1>
          <xm:sqref>L39</xm:sqref>
        </x14:dataValidation>
        <x14:dataValidation type="list" xr:uid="{0FB6E9C1-52F7-4664-8D9B-B03E393BDA88}" error="Please choose feedback from drop down only." errorTitle="An invalid feedback was entered" showErrorMessage="1">
          <x14:formula1>
            <xm:f>Combiners!A:A</xm:f>
          </x14:formula1>
          <xm:sqref>M39</xm:sqref>
        </x14:dataValidation>
        <x14:dataValidation type="list" xr:uid="{C0A10B66-4020-45CC-9E07-B9F948AE9EDE}" error="Please choose feedback from drop down only." errorTitle="An invalid feedback was entered" showErrorMessage="1">
          <x14:formula1>
            <xm:f>Combiners!A:A</xm:f>
          </x14:formula1>
          <xm:sqref>N39</xm:sqref>
        </x14:dataValidation>
        <x14:dataValidation type="list" xr:uid="{31F6129E-1243-4FB8-B026-4075A49036AA}" error="Please choose feedback from drop down only." errorTitle="An invalid feedback was entered" showErrorMessage="1">
          <x14:formula1>
            <xm:f>Combiners!A:A</xm:f>
          </x14:formula1>
          <xm:sqref>O39</xm:sqref>
        </x14:dataValidation>
        <x14:dataValidation type="list" xr:uid="{CE24A602-FA50-49F8-95A5-F5996470B54F}" error="Please choose feedback from drop down only." errorTitle="An invalid feedback was entered" showErrorMessage="1">
          <x14:formula1>
            <xm:f>Combiners!A:A</xm:f>
          </x14:formula1>
          <xm:sqref>P39</xm:sqref>
        </x14:dataValidation>
        <x14:dataValidation type="list" xr:uid="{D19B26DE-D661-45A6-8595-38883945A4AB}" error="Please choose feedback from drop down only." errorTitle="An invalid feedback was entered" showErrorMessage="1">
          <x14:formula1>
            <xm:f>Combiners!A:A</xm:f>
          </x14:formula1>
          <xm:sqref>Q39</xm:sqref>
        </x14:dataValidation>
        <x14:dataValidation type="list" xr:uid="{8DFD8287-CCC8-40D5-A1E8-2C8BA4E297F2}" error="Please choose feedback from drop down only." errorTitle="An invalid feedback was entered" showErrorMessage="0">
          <x14:formula1>
            <xm:f>RRUs!A:A</xm:f>
          </x14:formula1>
          <xm:sqref>C35</xm:sqref>
        </x14:dataValidation>
        <x14:dataValidation type="list" xr:uid="{163CBCFA-6F38-47C5-848A-8BD98E5FCEBD}" error="Please choose feedback from drop down only." errorTitle="An invalid feedback was entered" showErrorMessage="0">
          <x14:formula1>
            <xm:f>RRUs!A:A</xm:f>
          </x14:formula1>
          <xm:sqref>D35</xm:sqref>
        </x14:dataValidation>
        <x14:dataValidation type="list" xr:uid="{CBA69EB6-FB45-400E-ACCC-D2A772C658B3}" error="Please choose feedback from drop down only." errorTitle="An invalid feedback was entered" showErrorMessage="0">
          <x14:formula1>
            <xm:f>RRUs!A:A</xm:f>
          </x14:formula1>
          <xm:sqref>E35</xm:sqref>
        </x14:dataValidation>
        <x14:dataValidation type="list" xr:uid="{84F263EC-00B2-40D0-A94F-30E14E814F46}" error="Please choose feedback from drop down only." errorTitle="An invalid feedback was entered" showErrorMessage="0">
          <x14:formula1>
            <xm:f>RRUs!A:A</xm:f>
          </x14:formula1>
          <xm:sqref>F35</xm:sqref>
        </x14:dataValidation>
        <x14:dataValidation type="list" xr:uid="{83A84B1C-F513-4EE1-BEF5-A6F9781A398F}" error="Please choose feedback from drop down only." errorTitle="An invalid feedback was entered" showErrorMessage="0">
          <x14:formula1>
            <xm:f>RRUs!A:A</xm:f>
          </x14:formula1>
          <xm:sqref>G35</xm:sqref>
        </x14:dataValidation>
        <x14:dataValidation type="list" xr:uid="{C1C43AEE-86F0-46A2-9DAE-BA7D3EA845F1}" error="Please choose feedback from drop down only." errorTitle="An invalid feedback was entered" showErrorMessage="0">
          <x14:formula1>
            <xm:f>RRUs!A:A</xm:f>
          </x14:formula1>
          <xm:sqref>H35</xm:sqref>
        </x14:dataValidation>
        <x14:dataValidation type="list" xr:uid="{557B1195-C74E-4721-9E9C-D54E6F9C83D3}" error="Please choose feedback from drop down only." errorTitle="An invalid feedback was entered" showErrorMessage="0">
          <x14:formula1>
            <xm:f>RRUs!A:A</xm:f>
          </x14:formula1>
          <xm:sqref>I35</xm:sqref>
        </x14:dataValidation>
        <x14:dataValidation type="list" xr:uid="{AA7F27FC-22AE-4620-8948-72E9807E3DF5}" error="Please choose feedback from drop down only." errorTitle="An invalid feedback was entered" showErrorMessage="0">
          <x14:formula1>
            <xm:f>RRUs!A:A</xm:f>
          </x14:formula1>
          <xm:sqref>J35</xm:sqref>
        </x14:dataValidation>
        <x14:dataValidation type="list" xr:uid="{58652276-DF87-46A8-9E1A-13B358484B60}" error="Please choose feedback from drop down only." errorTitle="An invalid feedback was entered" showErrorMessage="0">
          <x14:formula1>
            <xm:f>RRUs!A:A</xm:f>
          </x14:formula1>
          <xm:sqref>K35</xm:sqref>
        </x14:dataValidation>
        <x14:dataValidation type="list" xr:uid="{E6D06633-0D2A-406A-8BF0-C239236F23AE}" error="Please choose feedback from drop down only." errorTitle="An invalid feedback was entered" showErrorMessage="0">
          <x14:formula1>
            <xm:f>RRUs!A:A</xm:f>
          </x14:formula1>
          <xm:sqref>L35</xm:sqref>
        </x14:dataValidation>
        <x14:dataValidation type="list" xr:uid="{CB732F7F-FC2D-48FD-BB16-57C4594531DB}" error="Please choose feedback from drop down only." errorTitle="An invalid feedback was entered" showErrorMessage="0">
          <x14:formula1>
            <xm:f>RRUs!A:A</xm:f>
          </x14:formula1>
          <xm:sqref>M35</xm:sqref>
        </x14:dataValidation>
        <x14:dataValidation type="list" xr:uid="{1DE0B381-1D3D-4C1F-895B-B237FFA052ED}" error="Please choose feedback from drop down only." errorTitle="An invalid feedback was entered" showErrorMessage="0">
          <x14:formula1>
            <xm:f>RRUs!A:A</xm:f>
          </x14:formula1>
          <xm:sqref>N35</xm:sqref>
        </x14:dataValidation>
        <x14:dataValidation type="list" xr:uid="{9766C5D3-5B94-48D8-9F36-2FDF9D21BDDE}" error="Please choose feedback from drop down only." errorTitle="An invalid feedback was entered" showErrorMessage="0">
          <x14:formula1>
            <xm:f>RRUs!A:A</xm:f>
          </x14:formula1>
          <xm:sqref>O35</xm:sqref>
        </x14:dataValidation>
        <x14:dataValidation type="list" xr:uid="{A1F230FF-1963-48CE-8FB5-C93FC3BA4987}" error="Please choose feedback from drop down only." errorTitle="An invalid feedback was entered" showErrorMessage="0">
          <x14:formula1>
            <xm:f>RRUs!A:A</xm:f>
          </x14:formula1>
          <xm:sqref>P35</xm:sqref>
        </x14:dataValidation>
        <x14:dataValidation type="list" xr:uid="{E812CCDF-9141-4A26-8615-BB3D7A657CFC}" error="Please choose feedback from drop down only." errorTitle="An invalid feedback was entered" showErrorMessage="0">
          <x14:formula1>
            <xm:f>RRUs!A:A</xm:f>
          </x14:formula1>
          <xm:sqref>Q35</xm:sqref>
        </x14:dataValidation>
        <x14:dataValidation type="list" xr:uid="{16A5BDAC-9F5C-4E59-8EC2-1F3749E8E3A4}" error="Please choose feedback from drop down only." errorTitle="An invalid feedback was entered" showErrorMessage="1">
          <x14:formula1>
            <xm:f>Combiners!A:A</xm:f>
          </x14:formula1>
          <xm:sqref>C41</xm:sqref>
        </x14:dataValidation>
        <x14:dataValidation type="list" xr:uid="{24C8C47B-9008-4878-B0EC-5C26CB340096}" error="Please choose feedback from drop down only." errorTitle="An invalid feedback was entered" showErrorMessage="1">
          <x14:formula1>
            <xm:f>Combiners!A:A</xm:f>
          </x14:formula1>
          <xm:sqref>D41</xm:sqref>
        </x14:dataValidation>
        <x14:dataValidation type="list" xr:uid="{86870C5E-06D9-410E-88F6-9677C139EB31}" error="Please choose feedback from drop down only." errorTitle="An invalid feedback was entered" showErrorMessage="1">
          <x14:formula1>
            <xm:f>Combiners!A:A</xm:f>
          </x14:formula1>
          <xm:sqref>E41</xm:sqref>
        </x14:dataValidation>
        <x14:dataValidation type="list" xr:uid="{01111E96-102D-4B6D-B086-B1087315C6A7}" error="Please choose feedback from drop down only." errorTitle="An invalid feedback was entered" showErrorMessage="1">
          <x14:formula1>
            <xm:f>Combiners!A:A</xm:f>
          </x14:formula1>
          <xm:sqref>F41</xm:sqref>
        </x14:dataValidation>
        <x14:dataValidation type="list" xr:uid="{3E91CCD7-F934-4643-BE5E-1B9F41EEA2CB}" error="Please choose feedback from drop down only." errorTitle="An invalid feedback was entered" showErrorMessage="1">
          <x14:formula1>
            <xm:f>Combiners!A:A</xm:f>
          </x14:formula1>
          <xm:sqref>G41</xm:sqref>
        </x14:dataValidation>
        <x14:dataValidation type="list" xr:uid="{D1D0CAB5-778F-4EF9-AB0B-B9E4EDD7CF53}" error="Please choose feedback from drop down only." errorTitle="An invalid feedback was entered" showErrorMessage="1">
          <x14:formula1>
            <xm:f>Combiners!A:A</xm:f>
          </x14:formula1>
          <xm:sqref>H41</xm:sqref>
        </x14:dataValidation>
        <x14:dataValidation type="list" xr:uid="{F5FEC072-9943-455A-9586-457CE16D9116}" error="Please choose feedback from drop down only." errorTitle="An invalid feedback was entered" showErrorMessage="1">
          <x14:formula1>
            <xm:f>Combiners!A:A</xm:f>
          </x14:formula1>
          <xm:sqref>I41</xm:sqref>
        </x14:dataValidation>
        <x14:dataValidation type="list" xr:uid="{8E1CF20A-FFA1-446C-9042-7D4F6C9082A2}" error="Please choose feedback from drop down only." errorTitle="An invalid feedback was entered" showErrorMessage="1">
          <x14:formula1>
            <xm:f>Combiners!A:A</xm:f>
          </x14:formula1>
          <xm:sqref>J41</xm:sqref>
        </x14:dataValidation>
        <x14:dataValidation type="list" xr:uid="{56F2A633-7E68-47AB-AC93-A95A2A6A0DED}" error="Please choose feedback from drop down only." errorTitle="An invalid feedback was entered" showErrorMessage="1">
          <x14:formula1>
            <xm:f>Combiners!A:A</xm:f>
          </x14:formula1>
          <xm:sqref>K41</xm:sqref>
        </x14:dataValidation>
        <x14:dataValidation type="list" xr:uid="{8CAFDCF4-FAD3-494C-86E5-6F0A5A63C735}" error="Please choose feedback from drop down only." errorTitle="An invalid feedback was entered" showErrorMessage="1">
          <x14:formula1>
            <xm:f>Combiners!A:A</xm:f>
          </x14:formula1>
          <xm:sqref>L41</xm:sqref>
        </x14:dataValidation>
        <x14:dataValidation type="list" xr:uid="{36C34458-B859-477E-ABCD-712965355E02}" error="Please choose feedback from drop down only." errorTitle="An invalid feedback was entered" showErrorMessage="1">
          <x14:formula1>
            <xm:f>Combiners!A:A</xm:f>
          </x14:formula1>
          <xm:sqref>M41</xm:sqref>
        </x14:dataValidation>
        <x14:dataValidation type="list" xr:uid="{6593EDFA-F387-4087-8829-6EBA791D4E7E}" error="Please choose feedback from drop down only." errorTitle="An invalid feedback was entered" showErrorMessage="1">
          <x14:formula1>
            <xm:f>Combiners!A:A</xm:f>
          </x14:formula1>
          <xm:sqref>N41</xm:sqref>
        </x14:dataValidation>
        <x14:dataValidation type="list" xr:uid="{70D6AFE0-9E50-47CF-8257-FE4F9D7D1C3B}" error="Please choose feedback from drop down only." errorTitle="An invalid feedback was entered" showErrorMessage="1">
          <x14:formula1>
            <xm:f>Combiners!A:A</xm:f>
          </x14:formula1>
          <xm:sqref>O41</xm:sqref>
        </x14:dataValidation>
        <x14:dataValidation type="list" xr:uid="{08310C8B-03E2-461E-AEC3-27E96A0BB25C}" error="Please choose feedback from drop down only." errorTitle="An invalid feedback was entered" showErrorMessage="1">
          <x14:formula1>
            <xm:f>Combiners!A:A</xm:f>
          </x14:formula1>
          <xm:sqref>P41</xm:sqref>
        </x14:dataValidation>
        <x14:dataValidation type="list" xr:uid="{9F399B11-805B-4E53-A3A7-811528989B88}" error="Please choose feedback from drop down only." errorTitle="An invalid feedback was entered" showErrorMessage="1">
          <x14:formula1>
            <xm:f>Combiners!A:A</xm:f>
          </x14:formula1>
          <xm:sqref>Q41</xm:sqref>
        </x14:dataValidation>
      </x14:dataValidations>
    </ext>
  </extLst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mc:Ignorable="x14ac xr">
  <sheetPr codeName="Sheet10"/>
  <dimension ref="A1:U45"/>
  <sheetViews>
    <sheetView zoomScale="90" zoomScaleNormal="90" workbookViewId="0">
      <selection activeCell="C8" sqref="C8:H8"/>
    </sheetView>
  </sheetViews>
  <sheetFormatPr defaultColWidth="9.1328125" defaultRowHeight="12.75"/>
  <cols>
    <col min="1" max="1" bestFit="1" width="10.265625" customWidth="1" style="6"/>
    <col min="2" max="2" bestFit="1" width="40.1328125" customWidth="1" style="7"/>
    <col min="3" max="7" width="9.1328125" customWidth="1" style="21"/>
    <col min="8" max="8" bestFit="1" width="9.3984375" customWidth="1" style="21"/>
    <col min="9" max="16384" width="9.1328125" customWidth="1" style="21"/>
  </cols>
  <sheetData>
    <row r="1" ht="25.15" customHeight="1">
      <c r="A1" s="197"/>
      <c r="B1" s="198"/>
      <c r="C1" s="258" t="s">
        <v>122</v>
      </c>
      <c r="D1" s="258"/>
      <c r="E1" s="258"/>
      <c r="F1" s="258"/>
      <c r="G1" s="258"/>
      <c r="H1" s="258"/>
      <c r="I1" s="258"/>
      <c r="J1" s="258"/>
      <c r="K1" s="258"/>
      <c r="L1" s="258"/>
      <c r="M1" s="258"/>
      <c r="N1" s="258"/>
      <c r="O1" s="258"/>
      <c r="P1" s="258"/>
    </row>
    <row r="2" ht="18">
      <c r="A2" s="33"/>
      <c r="B2" s="14" t="s">
        <v>1</v>
      </c>
      <c r="C2" s="217">
        <v>1</v>
      </c>
      <c r="D2" s="251"/>
      <c r="E2" s="251"/>
      <c r="F2" s="251"/>
      <c r="G2" s="251"/>
      <c r="H2" s="219"/>
      <c r="I2" s="252">
        <v>2</v>
      </c>
      <c r="J2" s="253"/>
      <c r="K2" s="253"/>
      <c r="L2" s="254"/>
      <c r="M2" s="252">
        <v>3</v>
      </c>
      <c r="N2" s="253"/>
      <c r="O2" s="255"/>
      <c r="P2" s="72">
        <v>4</v>
      </c>
    </row>
    <row r="3" ht="17.25">
      <c r="A3" s="241"/>
      <c r="B3" s="12" t="s">
        <v>2</v>
      </c>
      <c r="C3" s="211"/>
      <c r="D3" s="212"/>
      <c r="E3" s="212"/>
      <c r="F3" s="212"/>
      <c r="G3" s="212"/>
      <c r="H3" s="212"/>
      <c r="I3" s="212"/>
      <c r="J3" s="212"/>
      <c r="K3" s="212"/>
      <c r="L3" s="212"/>
      <c r="M3" s="212"/>
      <c r="N3" s="212"/>
      <c r="O3" s="212"/>
      <c r="P3" s="213"/>
    </row>
    <row r="4" ht="25.15" s="22" customFormat="1">
      <c r="A4" s="241"/>
      <c r="B4" s="9" t="s">
        <v>3</v>
      </c>
      <c r="C4" s="270"/>
      <c r="D4" s="271"/>
      <c r="E4" s="271"/>
      <c r="F4" s="271"/>
      <c r="G4" s="271"/>
      <c r="H4" s="271"/>
      <c r="I4" s="271"/>
      <c r="J4" s="271"/>
      <c r="K4" s="271"/>
      <c r="L4" s="271"/>
      <c r="M4" s="271"/>
      <c r="N4" s="271"/>
      <c r="O4" s="271"/>
      <c r="P4" s="272"/>
    </row>
    <row r="5" ht="24.75">
      <c r="A5" s="241"/>
      <c r="B5" s="13" t="s">
        <v>4</v>
      </c>
      <c r="C5" s="245"/>
      <c r="D5" s="246"/>
      <c r="E5" s="246"/>
      <c r="F5" s="246"/>
      <c r="G5" s="246"/>
      <c r="H5" s="246"/>
      <c r="I5" s="246"/>
      <c r="J5" s="246"/>
      <c r="K5" s="246"/>
      <c r="L5" s="246"/>
      <c r="M5" s="246"/>
      <c r="N5" s="246"/>
      <c r="O5" s="246"/>
      <c r="P5" s="247"/>
    </row>
    <row r="6" ht="25.15" s="22" customFormat="1">
      <c r="A6" s="241"/>
      <c r="B6" s="32" t="s">
        <v>5</v>
      </c>
      <c r="C6" s="248"/>
      <c r="D6" s="249"/>
      <c r="E6" s="249"/>
      <c r="F6" s="249"/>
      <c r="G6" s="249"/>
      <c r="H6" s="249"/>
      <c r="I6" s="249"/>
      <c r="J6" s="249"/>
      <c r="K6" s="249"/>
      <c r="L6" s="249"/>
      <c r="M6" s="249"/>
      <c r="N6" s="249"/>
      <c r="O6" s="249"/>
      <c r="P6" s="250"/>
    </row>
    <row r="7" ht="17.25">
      <c r="A7" s="241"/>
      <c r="B7" s="8" t="s">
        <v>6</v>
      </c>
      <c r="C7" s="226"/>
      <c r="D7" s="227"/>
      <c r="E7" s="227"/>
      <c r="F7" s="227"/>
      <c r="G7" s="227"/>
      <c r="H7" s="228"/>
      <c r="I7" s="227"/>
      <c r="J7" s="227"/>
      <c r="K7" s="227"/>
      <c r="L7" s="228"/>
      <c r="M7" s="227"/>
      <c r="N7" s="227"/>
      <c r="O7" s="228"/>
      <c r="P7" s="94"/>
    </row>
    <row r="8" ht="17.65" s="22" customFormat="1">
      <c r="A8" s="241"/>
      <c r="B8" s="9" t="s">
        <v>8</v>
      </c>
      <c r="C8" s="229"/>
      <c r="D8" s="230"/>
      <c r="E8" s="230"/>
      <c r="F8" s="230"/>
      <c r="G8" s="230"/>
      <c r="H8" s="231"/>
      <c r="I8" s="229"/>
      <c r="J8" s="230"/>
      <c r="K8" s="230"/>
      <c r="L8" s="231"/>
      <c r="M8" s="229"/>
      <c r="N8" s="230"/>
      <c r="O8" s="231"/>
      <c r="P8" s="95"/>
    </row>
    <row r="9" ht="17.25">
      <c r="A9" s="241"/>
      <c r="B9" s="8" t="s">
        <v>9</v>
      </c>
      <c r="C9" s="211"/>
      <c r="D9" s="212"/>
      <c r="E9" s="212"/>
      <c r="F9" s="212"/>
      <c r="G9" s="212"/>
      <c r="H9" s="213"/>
      <c r="I9" s="212"/>
      <c r="J9" s="212"/>
      <c r="K9" s="212"/>
      <c r="L9" s="213"/>
      <c r="M9" s="212"/>
      <c r="N9" s="212"/>
      <c r="O9" s="213"/>
      <c r="P9" s="94"/>
    </row>
    <row r="10" ht="17.65" s="22" customFormat="1">
      <c r="A10" s="241"/>
      <c r="B10" s="10" t="s">
        <v>11</v>
      </c>
      <c r="C10" s="229"/>
      <c r="D10" s="230"/>
      <c r="E10" s="230"/>
      <c r="F10" s="230"/>
      <c r="G10" s="230"/>
      <c r="H10" s="231"/>
      <c r="I10" s="229"/>
      <c r="J10" s="230"/>
      <c r="K10" s="230"/>
      <c r="L10" s="231"/>
      <c r="M10" s="229"/>
      <c r="N10" s="230"/>
      <c r="O10" s="231"/>
      <c r="P10" s="95"/>
    </row>
    <row r="11" ht="17.25">
      <c r="A11" s="241"/>
      <c r="B11" s="8" t="s">
        <v>12</v>
      </c>
      <c r="C11" s="211"/>
      <c r="D11" s="212"/>
      <c r="E11" s="212"/>
      <c r="F11" s="212"/>
      <c r="G11" s="212"/>
      <c r="H11" s="213"/>
      <c r="I11" s="212"/>
      <c r="J11" s="212"/>
      <c r="K11" s="212"/>
      <c r="L11" s="213"/>
      <c r="M11" s="212"/>
      <c r="N11" s="212"/>
      <c r="O11" s="213"/>
      <c r="P11" s="94"/>
    </row>
    <row r="12" ht="17.65" s="22" customFormat="1">
      <c r="A12" s="241"/>
      <c r="B12" s="10" t="s">
        <v>13</v>
      </c>
      <c r="C12" s="214"/>
      <c r="D12" s="215"/>
      <c r="E12" s="215"/>
      <c r="F12" s="215"/>
      <c r="G12" s="215"/>
      <c r="H12" s="216"/>
      <c r="I12" s="214"/>
      <c r="J12" s="215"/>
      <c r="K12" s="215"/>
      <c r="L12" s="216"/>
      <c r="M12" s="214"/>
      <c r="N12" s="215"/>
      <c r="O12" s="216"/>
      <c r="P12" s="95"/>
    </row>
    <row r="13" ht="17.25">
      <c r="A13" s="241"/>
      <c r="B13" s="8" t="s">
        <v>14</v>
      </c>
      <c r="C13" s="211"/>
      <c r="D13" s="212"/>
      <c r="E13" s="212"/>
      <c r="F13" s="212"/>
      <c r="G13" s="212"/>
      <c r="H13" s="213"/>
      <c r="I13" s="212"/>
      <c r="J13" s="212"/>
      <c r="K13" s="212"/>
      <c r="L13" s="213"/>
      <c r="M13" s="212"/>
      <c r="N13" s="212"/>
      <c r="O13" s="213"/>
      <c r="P13" s="94"/>
    </row>
    <row r="14" ht="17.65" s="22" customFormat="1">
      <c r="A14" s="241"/>
      <c r="B14" s="10" t="s">
        <v>15</v>
      </c>
      <c r="C14" s="208"/>
      <c r="D14" s="209"/>
      <c r="E14" s="209"/>
      <c r="F14" s="209"/>
      <c r="G14" s="209"/>
      <c r="H14" s="210"/>
      <c r="I14" s="208"/>
      <c r="J14" s="209"/>
      <c r="K14" s="209"/>
      <c r="L14" s="210"/>
      <c r="M14" s="208"/>
      <c r="N14" s="209"/>
      <c r="O14" s="210"/>
      <c r="P14" s="96"/>
    </row>
    <row r="15" ht="17.25">
      <c r="A15" s="241"/>
      <c r="B15" s="8" t="s">
        <v>16</v>
      </c>
      <c r="C15" s="211"/>
      <c r="D15" s="212"/>
      <c r="E15" s="212"/>
      <c r="F15" s="212"/>
      <c r="G15" s="212"/>
      <c r="H15" s="213"/>
      <c r="I15" s="212"/>
      <c r="J15" s="212"/>
      <c r="K15" s="212"/>
      <c r="L15" s="213"/>
      <c r="M15" s="212"/>
      <c r="N15" s="212"/>
      <c r="O15" s="213"/>
      <c r="P15" s="97"/>
    </row>
    <row r="16" ht="17.25" s="22" customFormat="1">
      <c r="A16" s="241"/>
      <c r="B16" s="68" t="s">
        <v>17</v>
      </c>
      <c r="C16" s="199"/>
      <c r="D16" s="273"/>
      <c r="E16" s="273"/>
      <c r="F16" s="273"/>
      <c r="G16" s="273"/>
      <c r="H16" s="274"/>
      <c r="I16" s="205"/>
      <c r="J16" s="206"/>
      <c r="K16" s="206"/>
      <c r="L16" s="207"/>
      <c r="M16" s="205"/>
      <c r="N16" s="206"/>
      <c r="O16" s="207"/>
      <c r="P16" s="98"/>
    </row>
    <row r="17" ht="17.25">
      <c r="A17" s="256"/>
      <c r="B17" s="70" t="s">
        <v>18</v>
      </c>
      <c r="C17" s="63" t="s">
        <v>19</v>
      </c>
      <c r="D17" s="64" t="s">
        <v>20</v>
      </c>
      <c r="E17" s="64" t="s">
        <v>21</v>
      </c>
      <c r="F17" s="64" t="s">
        <v>22</v>
      </c>
      <c r="G17" s="64" t="s">
        <v>23</v>
      </c>
      <c r="H17" s="65" t="s">
        <v>24</v>
      </c>
      <c r="I17" s="63" t="s">
        <v>19</v>
      </c>
      <c r="J17" s="64" t="s">
        <v>20</v>
      </c>
      <c r="K17" s="64" t="s">
        <v>21</v>
      </c>
      <c r="L17" s="65" t="s">
        <v>22</v>
      </c>
      <c r="M17" s="63" t="s">
        <v>19</v>
      </c>
      <c r="N17" s="64" t="s">
        <v>20</v>
      </c>
      <c r="O17" s="65" t="s">
        <v>21</v>
      </c>
      <c r="P17" s="76" t="s">
        <v>19</v>
      </c>
    </row>
    <row r="18" ht="17.25">
      <c r="A18" s="256"/>
      <c r="B18" s="70" t="s">
        <v>25</v>
      </c>
      <c r="C18" s="63"/>
      <c r="D18" s="64"/>
      <c r="E18" s="64"/>
      <c r="F18" s="64"/>
      <c r="G18" s="64"/>
      <c r="H18" s="65"/>
      <c r="I18" s="63"/>
      <c r="J18" s="64"/>
      <c r="K18" s="64"/>
      <c r="L18" s="65"/>
      <c r="M18" s="63"/>
      <c r="N18" s="64"/>
      <c r="O18" s="65"/>
      <c r="P18" s="77"/>
    </row>
    <row r="19" ht="17.25">
      <c r="A19" s="256"/>
      <c r="B19" s="71" t="s">
        <v>32</v>
      </c>
      <c r="C19" s="105">
        <f>VLOOKUP(C8,AntennasPortName!A:H,2,FALSE)</f>
      </c>
      <c r="D19" s="105">
        <f>VLOOKUP(C8,AntennasPortName!A:H,3,FALSE)</f>
      </c>
      <c r="E19" s="105">
        <f>VLOOKUP(C8,AntennasPortName!A:H,4,FALSE)</f>
      </c>
      <c r="F19" s="105">
        <f>VLOOKUP(C8,AntennasPortName!A:H,5,FALSE)</f>
      </c>
      <c r="G19" s="105">
        <f>VLOOKUP(C8,AntennasPortName!A:H,6,FALSE)</f>
      </c>
      <c r="H19" s="105">
        <f>VLOOKUP(C8,AntennasPortName!A:H,7,FALSE)</f>
      </c>
      <c r="I19" s="105">
        <f>VLOOKUP(I8,AntennasPortName!A:H,2,FALSE)</f>
      </c>
      <c r="J19" s="105">
        <f>VLOOKUP(I8,AntennasPortName!A:H,3,FALSE)</f>
      </c>
      <c r="K19" s="105">
        <f>VLOOKUP(I8,AntennasPortName!A:H,4,FALSE)</f>
      </c>
      <c r="L19" s="105">
        <f>VLOOKUP(I8,AntennasPortName!A:H,5,FALSE)</f>
      </c>
      <c r="M19" s="105">
        <f>VLOOKUP(M8,AntennasPortName!A:H,2,FALSE)</f>
      </c>
      <c r="N19" s="105">
        <f>VLOOKUP(M8,AntennasPortName!A:H,3,FALSE)</f>
      </c>
      <c r="O19" s="105">
        <f>VLOOKUP(M8,AntennasPortName!A:H,4,FALSE)</f>
      </c>
      <c r="P19" s="105">
        <f>VLOOKUP(P8,AntennasPortName!A:H,2,FALSE)</f>
      </c>
      <c r="Q19" s="106"/>
    </row>
    <row r="20" ht="17.25">
      <c r="A20" s="241"/>
      <c r="B20" s="69" t="s">
        <v>33</v>
      </c>
      <c r="C20" s="61"/>
      <c r="D20" s="62"/>
      <c r="E20" s="62"/>
      <c r="F20" s="62"/>
      <c r="G20" s="62"/>
      <c r="H20" s="62"/>
      <c r="I20" s="61"/>
      <c r="J20" s="62"/>
      <c r="K20" s="62"/>
      <c r="L20" s="66"/>
      <c r="M20" s="67"/>
      <c r="N20" s="62"/>
      <c r="O20" s="66"/>
      <c r="P20" s="66"/>
    </row>
    <row r="21" ht="17.65">
      <c r="A21" s="241"/>
      <c r="B21" s="18" t="s">
        <v>36</v>
      </c>
      <c r="C21" s="42">
        <f>VLOOKUP(C8,Antennas!A:H,2,FALSE)</f>
      </c>
      <c r="D21" s="43">
        <f>VLOOKUP(C8,Antennas!A:H,3,FALSE)</f>
      </c>
      <c r="E21" s="43">
        <f>VLOOKUP(C8,Antennas!A:H,4,FALSE)</f>
      </c>
      <c r="F21" s="43">
        <f>VLOOKUP(C8,Antennas!A:H,5,FALSE)</f>
      </c>
      <c r="G21" s="43">
        <f>VLOOKUP(C8,Antennas!A:H,6,FALSE)</f>
      </c>
      <c r="H21" s="43">
        <f>VLOOKUP(C8,Antennas!A:H,7,FALSE)</f>
      </c>
      <c r="I21" s="43">
        <f>VLOOKUP(I8,Antennas!A:H,2,FALSE)</f>
      </c>
      <c r="J21" s="43">
        <f>VLOOKUP(I8,Antennas!A:H,3,FALSE)</f>
      </c>
      <c r="K21" s="43">
        <f>VLOOKUP(I8,Antennas!A:H,4,FALSE)</f>
      </c>
      <c r="L21" s="44">
        <f>VLOOKUP(I8,Antennas!A:H,5,FALSE)</f>
      </c>
      <c r="M21" s="45">
        <f>VLOOKUP(M8,Antennas!A:H,2,FALSE)</f>
      </c>
      <c r="N21" s="43">
        <f>VLOOKUP(M8,Antennas!A:H,3,FALSE)</f>
      </c>
      <c r="O21" s="42">
        <f>VLOOKUP(M8,Antennas!A:H,4,FALSE)</f>
      </c>
      <c r="P21" s="42">
        <f>VLOOKUP(P8,Antennas!A:H,2,FALSE)</f>
      </c>
      <c r="R21" s="17"/>
    </row>
    <row r="22" ht="17.65" s="22" customFormat="1">
      <c r="A22" s="241"/>
      <c r="B22" s="28" t="s">
        <v>37</v>
      </c>
      <c r="C22" s="46"/>
      <c r="D22" s="47"/>
      <c r="E22" s="47"/>
      <c r="F22" s="47"/>
      <c r="G22" s="47"/>
      <c r="H22" s="47"/>
      <c r="I22" s="47"/>
      <c r="J22" s="47"/>
      <c r="K22" s="47"/>
      <c r="L22" s="48"/>
      <c r="M22" s="49"/>
      <c r="N22" s="47"/>
      <c r="O22" s="50"/>
      <c r="P22" s="50"/>
    </row>
    <row r="23" ht="17.65" s="22" customFormat="1">
      <c r="A23" s="241"/>
      <c r="B23" s="28" t="s">
        <v>38</v>
      </c>
      <c r="C23" s="46"/>
      <c r="D23" s="46"/>
      <c r="E23" s="46"/>
      <c r="F23" s="46"/>
      <c r="G23" s="46"/>
      <c r="H23" s="46"/>
      <c r="I23" s="46"/>
      <c r="J23" s="46"/>
      <c r="K23" s="46"/>
      <c r="L23" s="46"/>
      <c r="M23" s="46"/>
      <c r="N23" s="46"/>
      <c r="O23" s="46"/>
      <c r="P23" s="46"/>
    </row>
    <row r="24" ht="17.25">
      <c r="A24" s="241"/>
      <c r="B24" s="11" t="s">
        <v>39</v>
      </c>
      <c r="C24" s="25"/>
      <c r="D24" s="25"/>
      <c r="E24" s="25"/>
      <c r="F24" s="25"/>
      <c r="G24" s="25"/>
      <c r="H24" s="25"/>
      <c r="I24" s="25"/>
      <c r="J24" s="25"/>
      <c r="K24" s="25"/>
      <c r="L24" s="25"/>
      <c r="M24" s="25"/>
      <c r="N24" s="25"/>
      <c r="O24" s="25"/>
      <c r="P24" s="25"/>
    </row>
    <row r="25" ht="17.65" s="22" customFormat="1">
      <c r="A25" s="241"/>
      <c r="B25" s="29" t="s">
        <v>43</v>
      </c>
      <c r="C25" s="51"/>
      <c r="D25" s="51"/>
      <c r="E25" s="51"/>
      <c r="F25" s="51"/>
      <c r="G25" s="51"/>
      <c r="H25" s="51"/>
      <c r="I25" s="51"/>
      <c r="J25" s="51"/>
      <c r="K25" s="51"/>
      <c r="L25" s="51"/>
      <c r="M25" s="51"/>
      <c r="N25" s="51"/>
      <c r="O25" s="51"/>
      <c r="P25" s="78"/>
    </row>
    <row r="26" ht="17.25">
      <c r="A26" s="241"/>
      <c r="B26" s="27" t="s">
        <v>44</v>
      </c>
      <c r="C26" s="24"/>
      <c r="D26" s="24"/>
      <c r="E26" s="24"/>
      <c r="F26" s="24"/>
      <c r="G26" s="24"/>
      <c r="H26" s="24"/>
      <c r="I26" s="24"/>
      <c r="J26" s="24"/>
      <c r="K26" s="24"/>
      <c r="L26" s="24"/>
      <c r="M26" s="24"/>
      <c r="N26" s="24"/>
      <c r="O26" s="24"/>
      <c r="P26" s="24"/>
    </row>
    <row r="27" ht="17.65" s="22" customFormat="1">
      <c r="A27" s="241"/>
      <c r="B27" s="30" t="s">
        <v>45</v>
      </c>
      <c r="C27" s="52"/>
      <c r="D27" s="52"/>
      <c r="E27" s="52"/>
      <c r="F27" s="52"/>
      <c r="G27" s="52"/>
      <c r="H27" s="52"/>
      <c r="I27" s="52"/>
      <c r="J27" s="52"/>
      <c r="K27" s="52"/>
      <c r="L27" s="52"/>
      <c r="M27" s="52"/>
      <c r="N27" s="52"/>
      <c r="O27" s="52"/>
      <c r="P27" s="52"/>
    </row>
    <row r="28" ht="17.25">
      <c r="A28" s="241"/>
      <c r="B28" s="11" t="s">
        <v>46</v>
      </c>
      <c r="C28" s="24"/>
      <c r="D28" s="24"/>
      <c r="E28" s="24"/>
      <c r="F28" s="24"/>
      <c r="G28" s="24"/>
      <c r="H28" s="24"/>
      <c r="I28" s="24"/>
      <c r="J28" s="24"/>
      <c r="K28" s="24"/>
      <c r="L28" s="24"/>
      <c r="M28" s="24"/>
      <c r="N28" s="24"/>
      <c r="O28" s="24"/>
      <c r="P28" s="24"/>
    </row>
    <row r="29" ht="17.65" s="22" customFormat="1">
      <c r="A29" s="241"/>
      <c r="B29" s="31" t="s">
        <v>47</v>
      </c>
      <c r="C29" s="51"/>
      <c r="D29" s="51"/>
      <c r="E29" s="51"/>
      <c r="F29" s="51"/>
      <c r="G29" s="51"/>
      <c r="H29" s="51"/>
      <c r="I29" s="51"/>
      <c r="J29" s="51"/>
      <c r="K29" s="51"/>
      <c r="L29" s="51"/>
      <c r="M29" s="51"/>
      <c r="N29" s="51"/>
      <c r="O29" s="51"/>
      <c r="P29" s="78"/>
    </row>
    <row r="30" ht="17.25">
      <c r="A30" s="241"/>
      <c r="B30" s="27" t="s">
        <v>48</v>
      </c>
      <c r="C30" s="24"/>
      <c r="D30" s="24"/>
      <c r="E30" s="24"/>
      <c r="F30" s="24"/>
      <c r="G30" s="24"/>
      <c r="H30" s="24"/>
      <c r="I30" s="24"/>
      <c r="J30" s="24"/>
      <c r="K30" s="24"/>
      <c r="L30" s="24"/>
      <c r="M30" s="24"/>
      <c r="N30" s="24"/>
      <c r="O30" s="24"/>
      <c r="P30" s="24"/>
    </row>
    <row r="31" ht="17.65" s="22" customFormat="1">
      <c r="A31" s="241"/>
      <c r="B31" s="30" t="s">
        <v>50</v>
      </c>
      <c r="C31" s="53"/>
      <c r="D31" s="53"/>
      <c r="E31" s="53"/>
      <c r="F31" s="53"/>
      <c r="G31" s="53"/>
      <c r="H31" s="53"/>
      <c r="I31" s="53"/>
      <c r="J31" s="53"/>
      <c r="K31" s="53"/>
      <c r="L31" s="53"/>
      <c r="M31" s="53"/>
      <c r="N31" s="53"/>
      <c r="O31" s="53"/>
      <c r="P31" s="79"/>
    </row>
    <row r="32" ht="17.25">
      <c r="A32" s="241"/>
      <c r="B32" s="11" t="s">
        <v>51</v>
      </c>
      <c r="C32" s="25"/>
      <c r="D32" s="25"/>
      <c r="E32" s="25"/>
      <c r="F32" s="25"/>
      <c r="G32" s="25"/>
      <c r="H32" s="25"/>
      <c r="I32" s="25"/>
      <c r="J32" s="25"/>
      <c r="K32" s="25"/>
      <c r="L32" s="25"/>
      <c r="M32" s="25"/>
      <c r="N32" s="25"/>
      <c r="O32" s="25"/>
      <c r="P32" s="25"/>
    </row>
    <row r="33" ht="17.65" s="22" customFormat="1">
      <c r="A33" s="241"/>
      <c r="B33" s="30" t="s">
        <v>52</v>
      </c>
      <c r="C33" s="51"/>
      <c r="D33" s="51"/>
      <c r="E33" s="51"/>
      <c r="F33" s="51"/>
      <c r="G33" s="51"/>
      <c r="H33" s="51"/>
      <c r="I33" s="51"/>
      <c r="J33" s="51"/>
      <c r="K33" s="51"/>
      <c r="L33" s="51"/>
      <c r="M33" s="51"/>
      <c r="N33" s="51"/>
      <c r="O33" s="51"/>
      <c r="P33" s="78"/>
    </row>
    <row r="34" ht="17.25">
      <c r="A34" s="241"/>
      <c r="B34" s="27" t="s">
        <v>53</v>
      </c>
      <c r="C34" s="24"/>
      <c r="D34" s="24"/>
      <c r="E34" s="24"/>
      <c r="F34" s="24"/>
      <c r="G34" s="24"/>
      <c r="H34" s="24"/>
      <c r="I34" s="24"/>
      <c r="J34" s="24"/>
      <c r="K34" s="24"/>
      <c r="L34" s="24"/>
      <c r="M34" s="24"/>
      <c r="N34" s="24"/>
      <c r="O34" s="24"/>
      <c r="P34" s="24"/>
      <c r="U34" s="22"/>
    </row>
    <row r="35" ht="17.65" s="22" customFormat="1">
      <c r="A35" s="241"/>
      <c r="B35" s="28" t="s">
        <v>56</v>
      </c>
      <c r="C35" s="51"/>
      <c r="D35" s="51"/>
      <c r="E35" s="51"/>
      <c r="F35" s="51"/>
      <c r="G35" s="51"/>
      <c r="H35" s="51"/>
      <c r="I35" s="51"/>
      <c r="J35" s="51"/>
      <c r="K35" s="51"/>
      <c r="L35" s="51"/>
      <c r="M35" s="51"/>
      <c r="N35" s="51"/>
      <c r="O35" s="51"/>
      <c r="P35" s="78"/>
      <c r="U35" s="21"/>
    </row>
    <row r="36" ht="17.25">
      <c r="A36" s="241"/>
      <c r="B36" s="11" t="s">
        <v>57</v>
      </c>
      <c r="C36" s="25"/>
      <c r="D36" s="25"/>
      <c r="E36" s="25"/>
      <c r="F36" s="25"/>
      <c r="G36" s="25"/>
      <c r="H36" s="25"/>
      <c r="I36" s="25"/>
      <c r="J36" s="25"/>
      <c r="K36" s="25"/>
      <c r="L36" s="25"/>
      <c r="M36" s="25"/>
      <c r="N36" s="25"/>
      <c r="O36" s="25"/>
      <c r="P36" s="25"/>
    </row>
    <row r="37" ht="17.65" s="22" customFormat="1">
      <c r="A37" s="241"/>
      <c r="B37" s="28" t="s">
        <v>60</v>
      </c>
      <c r="C37" s="51"/>
      <c r="D37" s="51"/>
      <c r="E37" s="51"/>
      <c r="F37" s="51"/>
      <c r="G37" s="51"/>
      <c r="H37" s="51"/>
      <c r="I37" s="51"/>
      <c r="J37" s="51"/>
      <c r="K37" s="51"/>
      <c r="L37" s="51"/>
      <c r="M37" s="51"/>
      <c r="N37" s="51"/>
      <c r="O37" s="51"/>
      <c r="P37" s="78"/>
    </row>
    <row r="38" ht="17.25">
      <c r="A38" s="241"/>
      <c r="B38" s="11" t="s">
        <v>61</v>
      </c>
      <c r="C38" s="25"/>
      <c r="D38" s="25"/>
      <c r="E38" s="25"/>
      <c r="F38" s="25"/>
      <c r="G38" s="25"/>
      <c r="H38" s="25"/>
      <c r="I38" s="25"/>
      <c r="J38" s="25"/>
      <c r="K38" s="25"/>
      <c r="L38" s="25"/>
      <c r="M38" s="25"/>
      <c r="N38" s="25"/>
      <c r="O38" s="25"/>
      <c r="P38" s="25"/>
    </row>
    <row r="39" ht="17.65" s="22" customFormat="1">
      <c r="A39" s="241"/>
      <c r="B39" s="28" t="s">
        <v>64</v>
      </c>
      <c r="C39" s="51"/>
      <c r="D39" s="51"/>
      <c r="E39" s="51"/>
      <c r="F39" s="51"/>
      <c r="G39" s="51"/>
      <c r="H39" s="51"/>
      <c r="I39" s="51"/>
      <c r="J39" s="51"/>
      <c r="K39" s="51"/>
      <c r="L39" s="51"/>
      <c r="M39" s="51"/>
      <c r="N39" s="51"/>
      <c r="O39" s="51"/>
      <c r="P39" s="78"/>
    </row>
    <row r="40" ht="17.25">
      <c r="A40" s="241"/>
      <c r="B40" s="11" t="s">
        <v>65</v>
      </c>
      <c r="C40" s="26"/>
      <c r="D40" s="26"/>
      <c r="E40" s="26"/>
      <c r="F40" s="26"/>
      <c r="G40" s="26"/>
      <c r="H40" s="26"/>
      <c r="I40" s="26"/>
      <c r="J40" s="26"/>
      <c r="K40" s="26"/>
      <c r="L40" s="26"/>
      <c r="M40" s="26"/>
      <c r="N40" s="26"/>
      <c r="O40" s="26"/>
      <c r="P40" s="26"/>
    </row>
    <row r="41" ht="17.65" s="22" customFormat="1">
      <c r="A41" s="241"/>
      <c r="B41" s="29" t="s">
        <v>66</v>
      </c>
      <c r="C41" s="51"/>
      <c r="D41" s="51"/>
      <c r="E41" s="51"/>
      <c r="F41" s="51"/>
      <c r="G41" s="51"/>
      <c r="H41" s="51"/>
      <c r="I41" s="51"/>
      <c r="J41" s="51"/>
      <c r="K41" s="51"/>
      <c r="L41" s="51"/>
      <c r="M41" s="51"/>
      <c r="N41" s="51"/>
      <c r="O41" s="51"/>
      <c r="P41" s="78"/>
    </row>
    <row r="42" ht="12.75" customHeight="1">
      <c r="A42" s="223" t="s">
        <v>67</v>
      </c>
      <c r="B42" s="232"/>
      <c r="C42" s="233"/>
      <c r="D42" s="233"/>
      <c r="E42" s="233"/>
      <c r="F42" s="233"/>
      <c r="G42" s="233"/>
      <c r="H42" s="233"/>
      <c r="I42" s="233"/>
      <c r="J42" s="233"/>
      <c r="K42" s="233"/>
      <c r="L42" s="233"/>
      <c r="M42" s="233"/>
      <c r="N42" s="233"/>
      <c r="O42" s="233"/>
      <c r="P42" s="234"/>
      <c r="Q42" s="22"/>
      <c r="R42" s="22"/>
      <c r="S42" s="22"/>
    </row>
    <row r="43" ht="13.15" customHeight="1">
      <c r="A43" s="224"/>
      <c r="B43" s="235"/>
      <c r="C43" s="236"/>
      <c r="D43" s="236"/>
      <c r="E43" s="236"/>
      <c r="F43" s="236"/>
      <c r="G43" s="236"/>
      <c r="H43" s="236"/>
      <c r="I43" s="236"/>
      <c r="J43" s="236"/>
      <c r="K43" s="236"/>
      <c r="L43" s="236"/>
      <c r="M43" s="236"/>
      <c r="N43" s="236"/>
      <c r="O43" s="236"/>
      <c r="P43" s="237"/>
      <c r="Q43" s="22"/>
      <c r="R43" s="22"/>
      <c r="S43" s="22"/>
    </row>
    <row r="44" ht="13.15" customHeight="1">
      <c r="A44" s="224"/>
      <c r="B44" s="235"/>
      <c r="C44" s="236"/>
      <c r="D44" s="236"/>
      <c r="E44" s="236"/>
      <c r="F44" s="236"/>
      <c r="G44" s="236"/>
      <c r="H44" s="236"/>
      <c r="I44" s="236"/>
      <c r="J44" s="236"/>
      <c r="K44" s="236"/>
      <c r="L44" s="236"/>
      <c r="M44" s="236"/>
      <c r="N44" s="236"/>
      <c r="O44" s="236"/>
      <c r="P44" s="237"/>
      <c r="Q44" s="22"/>
      <c r="R44" s="22"/>
      <c r="S44" s="22"/>
    </row>
    <row r="45" ht="13.9" customHeight="1">
      <c r="A45" s="225"/>
      <c r="B45" s="238"/>
      <c r="C45" s="239"/>
      <c r="D45" s="239"/>
      <c r="E45" s="239"/>
      <c r="F45" s="239"/>
      <c r="G45" s="239"/>
      <c r="H45" s="239"/>
      <c r="I45" s="239"/>
      <c r="J45" s="239"/>
      <c r="K45" s="239"/>
      <c r="L45" s="239"/>
      <c r="M45" s="239"/>
      <c r="N45" s="239"/>
      <c r="O45" s="239"/>
      <c r="P45" s="240"/>
      <c r="Q45" s="22"/>
      <c r="R45" s="22"/>
      <c r="S45" s="22"/>
    </row>
  </sheetData>
  <mergeCells>
    <mergeCell ref="C3:P3"/>
    <mergeCell ref="C4:P4"/>
    <mergeCell ref="C5:P5"/>
    <mergeCell ref="C6:P6"/>
    <mergeCell ref="B42:P45"/>
    <mergeCell ref="M15:O15"/>
    <mergeCell ref="M16:O16"/>
    <mergeCell ref="M13:O13"/>
    <mergeCell ref="M14:O14"/>
    <mergeCell ref="M11:O11"/>
    <mergeCell ref="M12:O12"/>
    <mergeCell ref="C9:H9"/>
    <mergeCell ref="I9:L9"/>
    <mergeCell ref="M9:O9"/>
    <mergeCell ref="C10:H10"/>
    <mergeCell ref="I10:L10"/>
    <mergeCell ref="A34:A35"/>
    <mergeCell ref="A36:A41"/>
    <mergeCell ref="A42:A45"/>
    <mergeCell ref="C15:H15"/>
    <mergeCell ref="I15:L15"/>
    <mergeCell ref="C16:H16"/>
    <mergeCell ref="I16:L16"/>
    <mergeCell ref="A3:A33"/>
    <mergeCell ref="C13:H13"/>
    <mergeCell ref="I13:L13"/>
    <mergeCell ref="C14:H14"/>
    <mergeCell ref="I14:L14"/>
    <mergeCell ref="C11:H11"/>
    <mergeCell ref="I11:L11"/>
    <mergeCell ref="C12:H12"/>
    <mergeCell ref="I12:L12"/>
    <mergeCell ref="M10:O10"/>
    <mergeCell ref="C7:H7"/>
    <mergeCell ref="I7:L7"/>
    <mergeCell ref="M7:O7"/>
    <mergeCell ref="C8:H8"/>
    <mergeCell ref="I8:L8"/>
    <mergeCell ref="M8:O8"/>
    <mergeCell ref="A1:B1"/>
    <mergeCell ref="C2:H2"/>
    <mergeCell ref="I2:L2"/>
    <mergeCell ref="M2:O2"/>
    <mergeCell ref="C1:P1"/>
  </mergeCells>
  <conditionalFormatting sqref="C22:E22 C4 H22:O22">
    <cfRule type="cellIs" dxfId="0" priority="49" operator="greaterThan">
      <formula>0</formula>
    </cfRule>
  </conditionalFormatting>
  <conditionalFormatting sqref="C21:E21 H21:O21">
    <cfRule type="expression" dxfId="1" priority="48">
      <formula>ISERROR(C21)</formula>
    </cfRule>
  </conditionalFormatting>
  <conditionalFormatting sqref="C21:E21 H21:O21">
    <cfRule type="cellIs" dxfId="1" priority="47" operator="equal">
      <formula>0</formula>
    </cfRule>
  </conditionalFormatting>
  <conditionalFormatting sqref="C21:E21 H21:O21">
    <cfRule type="cellIs" dxfId="3" priority="46" operator="greaterThan">
      <formula>0</formula>
    </cfRule>
  </conditionalFormatting>
  <conditionalFormatting sqref="C27:O27 D29:O29 D33:O33">
    <cfRule type="cellIs" dxfId="0" priority="45" operator="notEqual">
      <formula>VALUE(C26)</formula>
    </cfRule>
  </conditionalFormatting>
  <conditionalFormatting sqref="C8:O8 C10:O10 C12:O12 C14:O14 C16:O16 C27:O27 D29:O29 D31:O31 D33:O33 D35:O35 D37:O37 D25:O25 D39:O39 D41:O41">
    <cfRule type="expression" dxfId="10" priority="41">
      <formula>ISBLANK(C8)</formula>
    </cfRule>
  </conditionalFormatting>
  <conditionalFormatting sqref="C29">
    <cfRule type="cellIs" dxfId="0" priority="43" operator="notEqual">
      <formula>VALUE(C28)</formula>
    </cfRule>
  </conditionalFormatting>
  <conditionalFormatting sqref="C29">
    <cfRule type="expression" dxfId="10" priority="42">
      <formula>ISBLANK(C29)</formula>
    </cfRule>
  </conditionalFormatting>
  <conditionalFormatting sqref="C8:O8 C10:O10 C12:O12 C14:O14 C16:O16 C31:O31 D35:O35 D37:O37 D25:O25 D39:O39 D41:O41">
    <cfRule type="cellIs" dxfId="0" priority="44" operator="notEqual">
      <formula>C7</formula>
    </cfRule>
  </conditionalFormatting>
  <conditionalFormatting sqref="C31">
    <cfRule type="expression" dxfId="10" priority="40">
      <formula>ISBLANK(C31)</formula>
    </cfRule>
  </conditionalFormatting>
  <conditionalFormatting sqref="C33">
    <cfRule type="cellIs" dxfId="0" priority="39" operator="notEqual">
      <formula>VALUE(C32)</formula>
    </cfRule>
  </conditionalFormatting>
  <conditionalFormatting sqref="C33">
    <cfRule type="expression" dxfId="10" priority="38">
      <formula>ISBLANK(C33)</formula>
    </cfRule>
  </conditionalFormatting>
  <conditionalFormatting sqref="C35">
    <cfRule type="cellIs" dxfId="0" priority="37" operator="notEqual">
      <formula>C34</formula>
    </cfRule>
  </conditionalFormatting>
  <conditionalFormatting sqref="C35">
    <cfRule type="expression" dxfId="10" priority="36">
      <formula>ISBLANK(C35)</formula>
    </cfRule>
  </conditionalFormatting>
  <conditionalFormatting sqref="C37">
    <cfRule type="cellIs" dxfId="0" priority="35" operator="notEqual">
      <formula>C36</formula>
    </cfRule>
  </conditionalFormatting>
  <conditionalFormatting sqref="C37">
    <cfRule type="expression" dxfId="10" priority="34">
      <formula>ISBLANK(C37)</formula>
    </cfRule>
  </conditionalFormatting>
  <conditionalFormatting sqref="C6">
    <cfRule type="expression" dxfId="10" priority="32">
      <formula>ISBLANK(C6)</formula>
    </cfRule>
    <cfRule type="cellIs" dxfId="0" priority="33" operator="notEqual">
      <formula>C5</formula>
    </cfRule>
  </conditionalFormatting>
  <conditionalFormatting sqref="C25">
    <cfRule type="cellIs" dxfId="0" priority="31" operator="notEqual">
      <formula>C24</formula>
    </cfRule>
  </conditionalFormatting>
  <conditionalFormatting sqref="C25">
    <cfRule type="expression" dxfId="10" priority="30">
      <formula>ISBLANK(C25)</formula>
    </cfRule>
  </conditionalFormatting>
  <conditionalFormatting sqref="C39">
    <cfRule type="cellIs" dxfId="0" priority="29" operator="notEqual">
      <formula>C38</formula>
    </cfRule>
  </conditionalFormatting>
  <conditionalFormatting sqref="C39">
    <cfRule type="expression" dxfId="10" priority="28">
      <formula>ISBLANK(C39)</formula>
    </cfRule>
  </conditionalFormatting>
  <conditionalFormatting sqref="C41">
    <cfRule type="cellIs" dxfId="0" priority="27" operator="notEqual">
      <formula>C40</formula>
    </cfRule>
  </conditionalFormatting>
  <conditionalFormatting sqref="C41">
    <cfRule type="expression" dxfId="10" priority="26">
      <formula>ISBLANK(C41)</formula>
    </cfRule>
  </conditionalFormatting>
  <conditionalFormatting sqref="C24:O41">
    <cfRule type="expression" dxfId="1" priority="25" stopIfTrue="1">
      <formula>OR(C$22="Free",C$22="Telenor",C$22="Mtel",C$22="Telenor&amp;Mtel")</formula>
    </cfRule>
  </conditionalFormatting>
  <conditionalFormatting sqref="F22:G22">
    <cfRule type="cellIs" dxfId="0" priority="24" operator="greaterThan">
      <formula>0</formula>
    </cfRule>
  </conditionalFormatting>
  <conditionalFormatting sqref="F21:G21">
    <cfRule type="expression" dxfId="1" priority="23">
      <formula>ISERROR(F21)</formula>
    </cfRule>
  </conditionalFormatting>
  <conditionalFormatting sqref="F21:G21">
    <cfRule type="cellIs" dxfId="1" priority="22" operator="equal">
      <formula>0</formula>
    </cfRule>
  </conditionalFormatting>
  <conditionalFormatting sqref="F21:G21">
    <cfRule type="cellIs" dxfId="3" priority="21" operator="greaterThan">
      <formula>0</formula>
    </cfRule>
  </conditionalFormatting>
  <conditionalFormatting sqref="P22">
    <cfRule type="cellIs" dxfId="0" priority="20" operator="greaterThan">
      <formula>0</formula>
    </cfRule>
  </conditionalFormatting>
  <conditionalFormatting sqref="P27 P29 P33">
    <cfRule type="cellIs" dxfId="0" priority="16" operator="notEqual">
      <formula>VALUE(P26)</formula>
    </cfRule>
  </conditionalFormatting>
  <conditionalFormatting sqref="P8 P10 P12 P14 P16 P27 P29 P31 P33 P35 P37 P25 P39 P41">
    <cfRule type="expression" dxfId="10" priority="14">
      <formula>ISBLANK(P8)</formula>
    </cfRule>
  </conditionalFormatting>
  <conditionalFormatting sqref="P8 P10 P12 P14 P16 P31 P35 P37 P25 P39 P41">
    <cfRule type="cellIs" dxfId="0" priority="15" operator="notEqual">
      <formula>P7</formula>
    </cfRule>
  </conditionalFormatting>
  <conditionalFormatting sqref="P24:P41">
    <cfRule type="expression" dxfId="1" priority="13" stopIfTrue="1">
      <formula>OR(P$22="Free",P$22="Telenor",P$22="Mtel",P$22="Telenor&amp;Mtel")</formula>
    </cfRule>
  </conditionalFormatting>
  <conditionalFormatting sqref="C19">
    <cfRule type="expression" dxfId="1" priority="9">
      <formula>ISERROR(C19)</formula>
    </cfRule>
    <cfRule type="cellIs" dxfId="1" priority="10" operator="equal">
      <formula>0</formula>
    </cfRule>
  </conditionalFormatting>
  <conditionalFormatting sqref="P21">
    <cfRule type="expression" dxfId="1" priority="6">
      <formula>ISERROR(P21)</formula>
    </cfRule>
  </conditionalFormatting>
  <conditionalFormatting sqref="P21">
    <cfRule type="cellIs" dxfId="1" priority="5" operator="equal">
      <formula>0</formula>
    </cfRule>
  </conditionalFormatting>
  <conditionalFormatting sqref="P21">
    <cfRule type="cellIs" dxfId="3" priority="4" operator="greaterThan">
      <formula>0</formula>
    </cfRule>
  </conditionalFormatting>
  <conditionalFormatting sqref="D19:P19">
    <cfRule type="expression" dxfId="1" priority="2">
      <formula>ISERROR(D19)</formula>
    </cfRule>
    <cfRule type="cellIs" dxfId="1" priority="3" operator="equal">
      <formula>0</formula>
    </cfRule>
  </conditionalFormatting>
  <conditionalFormatting sqref="C23:P23">
    <cfRule type="cellIs" dxfId="0" priority="1" operator="greaterThan">
      <formula>0</formula>
    </cfRule>
  </conditionalFormatting>
  <dataValidations count="165">
    <dataValidation type="list" xr:uid="{0CA4565E-C2A1-42C8-A16D-D8526D50405F}" sqref="C2" showErrorMessage="1" errorTitle="An invalid feedback was entered" error="Please choose feedback from drop down only.">
      <formula1>"1,2,3"</formula1>
    </dataValidation>
    <dataValidation type="list" xr:uid="{63BF47FD-1F21-4385-9C1A-59CCC371B460}" sqref="D2" showErrorMessage="1" errorTitle="An invalid feedback was entered" error="Please choose feedback from drop down only.">
      <formula1>"1,2,3"</formula1>
    </dataValidation>
    <dataValidation type="list" xr:uid="{AB294780-9D0F-4050-838A-B0DDBD55C7D1}" sqref="E2" showErrorMessage="1" errorTitle="An invalid feedback was entered" error="Please choose feedback from drop down only.">
      <formula1>"1,2,3"</formula1>
    </dataValidation>
    <dataValidation type="list" xr:uid="{6947886E-59F1-4911-A78D-C320033D5BBA}" sqref="F2" showErrorMessage="1" errorTitle="An invalid feedback was entered" error="Please choose feedback from drop down only.">
      <formula1>"1,2,3"</formula1>
    </dataValidation>
    <dataValidation type="list" xr:uid="{CE1B6562-932F-4AE5-8860-68FD31843AF5}" sqref="G2" showErrorMessage="1" errorTitle="An invalid feedback was entered" error="Please choose feedback from drop down only.">
      <formula1>"1,2,3"</formula1>
    </dataValidation>
    <dataValidation type="list" xr:uid="{C28D984F-9040-4D52-A89F-0C1476034934}" sqref="H2" showErrorMessage="1" errorTitle="An invalid feedback was entered" error="Please choose feedback from drop down only.">
      <formula1>"1,2,3"</formula1>
    </dataValidation>
    <dataValidation type="list" xr:uid="{401DACD2-F2AB-491C-AF28-5164230E60E8}" sqref="I2" showErrorMessage="1" errorTitle="An invalid feedback was entered" error="Please choose feedback from drop down only.">
      <formula1>"1,2,3"</formula1>
    </dataValidation>
    <dataValidation type="list" xr:uid="{388F4AD2-BD1F-4679-AA30-90A4008F2832}" sqref="J2" showErrorMessage="1" errorTitle="An invalid feedback was entered" error="Please choose feedback from drop down only.">
      <formula1>"1,2,3"</formula1>
    </dataValidation>
    <dataValidation type="list" xr:uid="{D33F5E6A-89C8-4F04-9C20-B277A0B90790}" sqref="K2" showErrorMessage="1" errorTitle="An invalid feedback was entered" error="Please choose feedback from drop down only.">
      <formula1>"1,2,3"</formula1>
    </dataValidation>
    <dataValidation type="list" xr:uid="{EA856FE5-DA61-4C13-B88F-F3555A838A2F}" sqref="L2" showErrorMessage="1" errorTitle="An invalid feedback was entered" error="Please choose feedback from drop down only.">
      <formula1>"1,2,3"</formula1>
    </dataValidation>
    <dataValidation type="list" xr:uid="{D15D32FB-124F-47A2-BD50-2DD9AEBD4ED1}" sqref="M2" showErrorMessage="1" errorTitle="An invalid feedback was entered" error="Please choose feedback from drop down only.">
      <formula1>"1,2,3"</formula1>
    </dataValidation>
    <dataValidation type="list" xr:uid="{612AEB63-68E7-418C-8F5D-70550950D017}" sqref="N2" showErrorMessage="1" errorTitle="An invalid feedback was entered" error="Please choose feedback from drop down only.">
      <formula1>"1,2,3"</formula1>
    </dataValidation>
    <dataValidation type="list" xr:uid="{F83FC514-1C98-450E-A3B6-31F1CA627B5D}" sqref="O2" showErrorMessage="1" errorTitle="An invalid feedback was entered" error="Please choose feedback from drop down only.">
      <formula1>"1,2,3"</formula1>
    </dataValidation>
    <dataValidation type="list" xr:uid="{32F4A94B-8715-4699-A93E-811E8E6A0CF1}" sqref="P2" showErrorMessage="1" errorTitle="An invalid feedback was entered" error="Please choose feedback from drop down only.">
      <formula1>"1,2,3"</formula1>
    </dataValidation>
    <dataValidation type="list" xr:uid="{3A5F703D-D33C-41E2-9078-2BBFDF219701}" sqref="Q2" showErrorMessage="1" errorTitle="An invalid feedback was entered" error="Please choose feedback from drop down only.">
      <formula1>"1,2,3"</formula1>
    </dataValidation>
    <dataValidation type="list" xr:uid="{6291BBA3-98FD-4C5D-804D-4CB979695994}" sqref="C17" showErrorMessage="1" errorTitle="An invalid feedback was entered" error="Please choose feedback from drop down only.">
      <formula1>"1-2,3-4,5-6,7-8,9-10,N/A"</formula1>
    </dataValidation>
    <dataValidation type="list" xr:uid="{3934249B-5D43-4F86-BA40-C738D30F4623}" sqref="D17" showErrorMessage="1" errorTitle="An invalid feedback was entered" error="Please choose feedback from drop down only.">
      <formula1>"1-2,3-4,5-6,7-8,9-10,N/A"</formula1>
    </dataValidation>
    <dataValidation type="list" xr:uid="{51617186-2364-4BC0-8330-C7EB50532A0F}" sqref="E17" showErrorMessage="1" errorTitle="An invalid feedback was entered" error="Please choose feedback from drop down only.">
      <formula1>"1-2,3-4,5-6,7-8,9-10,N/A"</formula1>
    </dataValidation>
    <dataValidation type="list" xr:uid="{37683336-59A2-453A-A635-EC0AF2825302}" sqref="F17" showErrorMessage="1" errorTitle="An invalid feedback was entered" error="Please choose feedback from drop down only.">
      <formula1>"1-2,3-4,5-6,7-8,9-10,N/A"</formula1>
    </dataValidation>
    <dataValidation type="list" xr:uid="{9EBDD4D2-5982-46C1-86DC-96E1F10EC4F8}" sqref="G17" showErrorMessage="1" errorTitle="An invalid feedback was entered" error="Please choose feedback from drop down only.">
      <formula1>"1-2,3-4,5-6,7-8,9-10,N/A"</formula1>
    </dataValidation>
    <dataValidation type="list" xr:uid="{455345D4-DDF7-4C2C-80D3-08A825661F74}" sqref="H17" showErrorMessage="1" errorTitle="An invalid feedback was entered" error="Please choose feedback from drop down only.">
      <formula1>"1-2,3-4,5-6,7-8,9-10,N/A"</formula1>
    </dataValidation>
    <dataValidation type="list" xr:uid="{9D0F7B76-240F-417E-AF4B-66669C349235}" sqref="I17" showErrorMessage="1" errorTitle="An invalid feedback was entered" error="Please choose feedback from drop down only.">
      <formula1>"1-2,3-4,5-6,7-8,9-10,N/A"</formula1>
    </dataValidation>
    <dataValidation type="list" xr:uid="{D959035B-9184-4277-BD53-4A819FC4CDB9}" sqref="J17" showErrorMessage="1" errorTitle="An invalid feedback was entered" error="Please choose feedback from drop down only.">
      <formula1>"1-2,3-4,5-6,7-8,9-10,N/A"</formula1>
    </dataValidation>
    <dataValidation type="list" xr:uid="{DFD1F4F1-73DE-4CFA-BCF4-236EC39041AB}" sqref="K17" showErrorMessage="1" errorTitle="An invalid feedback was entered" error="Please choose feedback from drop down only.">
      <formula1>"1-2,3-4,5-6,7-8,9-10,N/A"</formula1>
    </dataValidation>
    <dataValidation type="list" xr:uid="{45BDB25F-9C38-4522-A799-7B46D4BAAA90}" sqref="L17" showErrorMessage="1" errorTitle="An invalid feedback was entered" error="Please choose feedback from drop down only.">
      <formula1>"1-2,3-4,5-6,7-8,9-10,N/A"</formula1>
    </dataValidation>
    <dataValidation type="list" xr:uid="{8BAF5523-39DB-4DCC-B2F3-8AEFC1E92EFB}" sqref="M17" showErrorMessage="1" errorTitle="An invalid feedback was entered" error="Please choose feedback from drop down only.">
      <formula1>"1-2,3-4,5-6,7-8,9-10,N/A"</formula1>
    </dataValidation>
    <dataValidation type="list" xr:uid="{4D2426E6-B631-445E-9F6A-C7F916E42A27}" sqref="N17" showErrorMessage="1" errorTitle="An invalid feedback was entered" error="Please choose feedback from drop down only.">
      <formula1>"1-2,3-4,5-6,7-8,9-10,N/A"</formula1>
    </dataValidation>
    <dataValidation type="list" xr:uid="{0DFF06CE-738A-4044-87E0-E1E003D2FF46}" sqref="O17" showErrorMessage="1" errorTitle="An invalid feedback was entered" error="Please choose feedback from drop down only.">
      <formula1>"1-2,3-4,5-6,7-8,9-10,N/A"</formula1>
    </dataValidation>
    <dataValidation type="list" xr:uid="{58492D8E-4002-42E1-AB2B-98C36ABC84F4}" sqref="P17" showErrorMessage="1" errorTitle="An invalid feedback was entered" error="Please choose feedback from drop down only.">
      <formula1>"1-2,3-4,5-6,7-8,9-10,N/A"</formula1>
    </dataValidation>
    <dataValidation type="list" xr:uid="{5D3FD1B8-35AD-487A-BDDC-69E3C8F4F7BA}" sqref="Q17" showErrorMessage="1" errorTitle="An invalid feedback was entered" error="Please choose feedback from drop down only.">
      <formula1>"1-2,3-4,5-6,7-8,9-10,N/A"</formula1>
    </dataValidation>
    <dataValidation type="list" xr:uid="{7CDFA7EF-88CB-4D92-BA90-E5985626846D}" sqref="C10" showErrorMessage="1" errorTitle="An invalid feedback was entered" error="Please choose feedback from drop down only.">
      <formula1>"STK Top,STK Bottom,STKx2,DTK Top,DTK Bottom,DTKx2,None"</formula1>
    </dataValidation>
    <dataValidation type="list" xr:uid="{16B734BA-89B3-42E5-8EC9-4C7321872836}" sqref="D10" showErrorMessage="1" errorTitle="An invalid feedback was entered" error="Please choose feedback from drop down only.">
      <formula1>"STK Top,STK Bottom,STKx2,DTK Top,DTK Bottom,DTKx2,None"</formula1>
    </dataValidation>
    <dataValidation type="list" xr:uid="{7A487E87-3702-49A9-A8EB-B384D45FD913}" sqref="E10" showErrorMessage="1" errorTitle="An invalid feedback was entered" error="Please choose feedback from drop down only.">
      <formula1>"STK Top,STK Bottom,STKx2,DTK Top,DTK Bottom,DTKx2,None"</formula1>
    </dataValidation>
    <dataValidation type="list" xr:uid="{8B523B0A-B834-46F4-8079-958123A44D2B}" sqref="F10" showErrorMessage="1" errorTitle="An invalid feedback was entered" error="Please choose feedback from drop down only.">
      <formula1>"STK Top,STK Bottom,STKx2,DTK Top,DTK Bottom,DTKx2,None"</formula1>
    </dataValidation>
    <dataValidation type="list" xr:uid="{5B831200-7D15-4E14-A0E1-E7280D7D5107}" sqref="G10" showErrorMessage="1" errorTitle="An invalid feedback was entered" error="Please choose feedback from drop down only.">
      <formula1>"STK Top,STK Bottom,STKx2,DTK Top,DTK Bottom,DTKx2,None"</formula1>
    </dataValidation>
    <dataValidation type="list" xr:uid="{58A8A989-A962-4A72-A6EE-47CCFEAB5273}" sqref="H10" showErrorMessage="1" errorTitle="An invalid feedback was entered" error="Please choose feedback from drop down only.">
      <formula1>"STK Top,STK Bottom,STKx2,DTK Top,DTK Bottom,DTKx2,None"</formula1>
    </dataValidation>
    <dataValidation type="list" xr:uid="{DA3F32EF-81D8-4406-9C8D-6C7F2CC44DD6}" sqref="I10" showErrorMessage="1" errorTitle="An invalid feedback was entered" error="Please choose feedback from drop down only.">
      <formula1>"STK Top,STK Bottom,STKx2,DTK Top,DTK Bottom,DTKx2,None"</formula1>
    </dataValidation>
    <dataValidation type="list" xr:uid="{995BB92F-F47F-45F3-ADF1-64D0CBF333AA}" sqref="J10" showErrorMessage="1" errorTitle="An invalid feedback was entered" error="Please choose feedback from drop down only.">
      <formula1>"STK Top,STK Bottom,STKx2,DTK Top,DTK Bottom,DTKx2,None"</formula1>
    </dataValidation>
    <dataValidation type="list" xr:uid="{4DC150AC-796C-4FA0-9489-F6246B14115F}" sqref="K10" showErrorMessage="1" errorTitle="An invalid feedback was entered" error="Please choose feedback from drop down only.">
      <formula1>"STK Top,STK Bottom,STKx2,DTK Top,DTK Bottom,DTKx2,None"</formula1>
    </dataValidation>
    <dataValidation type="list" xr:uid="{127FCBEA-C835-43D9-A603-0FFCB97F9D2D}" sqref="L10" showErrorMessage="1" errorTitle="An invalid feedback was entered" error="Please choose feedback from drop down only.">
      <formula1>"STK Top,STK Bottom,STKx2,DTK Top,DTK Bottom,DTKx2,None"</formula1>
    </dataValidation>
    <dataValidation type="list" xr:uid="{C874FC57-B8C8-4F6F-9910-1EE9AE3DBEF8}" sqref="M10" showErrorMessage="1" errorTitle="An invalid feedback was entered" error="Please choose feedback from drop down only.">
      <formula1>"STK Top,STK Bottom,STKx2,DTK Top,DTK Bottom,DTKx2,None"</formula1>
    </dataValidation>
    <dataValidation type="list" xr:uid="{A0C25EA9-B985-412D-9624-DA4FEBFCD763}" sqref="N10" showErrorMessage="1" errorTitle="An invalid feedback was entered" error="Please choose feedback from drop down only.">
      <formula1>"STK Top,STK Bottom,STKx2,DTK Top,DTK Bottom,DTKx2,None"</formula1>
    </dataValidation>
    <dataValidation type="list" xr:uid="{1AABFFAA-C0D4-4F58-AB2C-278C68708B7A}" sqref="O10" showErrorMessage="1" errorTitle="An invalid feedback was entered" error="Please choose feedback from drop down only.">
      <formula1>"STK Top,STK Bottom,STKx2,DTK Top,DTK Bottom,DTKx2,None"</formula1>
    </dataValidation>
    <dataValidation type="list" xr:uid="{7969C56A-13B8-4956-A132-C83502FA5A7A}" sqref="P10" showErrorMessage="1" errorTitle="An invalid feedback was entered" error="Please choose feedback from drop down only.">
      <formula1>"STK Top,STK Bottom,STKx2,DTK Top,DTK Bottom,DTKx2,None"</formula1>
    </dataValidation>
    <dataValidation type="list" xr:uid="{6151A42F-F9D2-4F96-A356-9A7CABFCA53B}" sqref="Q10" showErrorMessage="1" errorTitle="An invalid feedback was entered" error="Please choose feedback from drop down only.">
      <formula1>"STK Top,STK Bottom,STKx2,DTK Top,DTK Bottom,DTKx2,None"</formula1>
    </dataValidation>
    <dataValidation type="list" xr:uid="{D98B821D-55BC-487B-81C6-6B4DDDEDD4DA}" sqref="C23" showErrorMessage="1" errorTitle="An invalid feedback was entered" error="Please choose feedback from drop down only.">
      <formula1>"Yetel,Bulsatcom,A1,Yetel&amp;A1,N/A"</formula1>
    </dataValidation>
    <dataValidation type="list" xr:uid="{50F1A401-8E05-4D7B-ADEE-C92091EA6073}" sqref="D23" showErrorMessage="1" errorTitle="An invalid feedback was entered" error="Please choose feedback from drop down only.">
      <formula1>"Yetel,Bulsatcom,A1,Yetel&amp;A1,N/A"</formula1>
    </dataValidation>
    <dataValidation type="list" xr:uid="{8AB2EF57-FBB2-4BB3-AF71-B17AFDF59CB1}" sqref="E23" showErrorMessage="1" errorTitle="An invalid feedback was entered" error="Please choose feedback from drop down only.">
      <formula1>"Yetel,Bulsatcom,A1,Yetel&amp;A1,N/A"</formula1>
    </dataValidation>
    <dataValidation type="list" xr:uid="{70EC7F04-5BF1-47AF-9041-7270FD8C1BDA}" sqref="F23" showErrorMessage="1" errorTitle="An invalid feedback was entered" error="Please choose feedback from drop down only.">
      <formula1>"Yetel,Bulsatcom,A1,Yetel&amp;A1,N/A"</formula1>
    </dataValidation>
    <dataValidation type="list" xr:uid="{E7D7064B-2852-41F5-AD15-0FB8EDBC631C}" sqref="G23" showErrorMessage="1" errorTitle="An invalid feedback was entered" error="Please choose feedback from drop down only.">
      <formula1>"Yetel,Bulsatcom,A1,Yetel&amp;A1,N/A"</formula1>
    </dataValidation>
    <dataValidation type="list" xr:uid="{BF3212C4-AB85-40B7-BAAE-7BACBD143A31}" sqref="H23" showErrorMessage="1" errorTitle="An invalid feedback was entered" error="Please choose feedback from drop down only.">
      <formula1>"Yetel,Bulsatcom,A1,Yetel&amp;A1,N/A"</formula1>
    </dataValidation>
    <dataValidation type="list" xr:uid="{4D4C63CE-4C0E-410D-A955-7CA8FACD2269}" sqref="I23" showErrorMessage="1" errorTitle="An invalid feedback was entered" error="Please choose feedback from drop down only.">
      <formula1>"Yetel,Bulsatcom,A1,Yetel&amp;A1,N/A"</formula1>
    </dataValidation>
    <dataValidation type="list" xr:uid="{9AF30005-1CAB-4548-90E3-DBFB922D7EEC}" sqref="J23" showErrorMessage="1" errorTitle="An invalid feedback was entered" error="Please choose feedback from drop down only.">
      <formula1>"Yetel,Bulsatcom,A1,Yetel&amp;A1,N/A"</formula1>
    </dataValidation>
    <dataValidation type="list" xr:uid="{B44AEA58-C1FB-46B8-9D74-F8D186FE112F}" sqref="K23" showErrorMessage="1" errorTitle="An invalid feedback was entered" error="Please choose feedback from drop down only.">
      <formula1>"Yetel,Bulsatcom,A1,Yetel&amp;A1,N/A"</formula1>
    </dataValidation>
    <dataValidation type="list" xr:uid="{89083E44-7A69-48E8-A24C-8D96CCA8428E}" sqref="L23" showErrorMessage="1" errorTitle="An invalid feedback was entered" error="Please choose feedback from drop down only.">
      <formula1>"Yetel,Bulsatcom,A1,Yetel&amp;A1,N/A"</formula1>
    </dataValidation>
    <dataValidation type="list" xr:uid="{3CE2360C-2D15-48BB-9BE3-1A20B8305B3E}" sqref="M23" showErrorMessage="1" errorTitle="An invalid feedback was entered" error="Please choose feedback from drop down only.">
      <formula1>"Yetel,Bulsatcom,A1,Yetel&amp;A1,N/A"</formula1>
    </dataValidation>
    <dataValidation type="list" xr:uid="{033891F3-9FB6-48EB-8A8F-F2CF34FA840D}" sqref="N23" showErrorMessage="1" errorTitle="An invalid feedback was entered" error="Please choose feedback from drop down only.">
      <formula1>"Yetel,Bulsatcom,A1,Yetel&amp;A1,N/A"</formula1>
    </dataValidation>
    <dataValidation type="list" xr:uid="{2C7C2F61-1BA1-4E17-ABDF-926BA68668FA}" sqref="O23" showErrorMessage="1" errorTitle="An invalid feedback was entered" error="Please choose feedback from drop down only.">
      <formula1>"Yetel,Bulsatcom,A1,Yetel&amp;A1,N/A"</formula1>
    </dataValidation>
    <dataValidation type="list" xr:uid="{07803830-B57E-45CB-9362-F5AE50781C67}" sqref="P23" showErrorMessage="1" errorTitle="An invalid feedback was entered" error="Please choose feedback from drop down only.">
      <formula1>"Yetel,Bulsatcom,A1,Yetel&amp;A1,N/A"</formula1>
    </dataValidation>
    <dataValidation type="list" xr:uid="{60E4276D-474A-4CF9-91C1-29005ECC8601}" sqref="Q23" showErrorMessage="1" errorTitle="An invalid feedback was entered" error="Please choose feedback from drop down only.">
      <formula1>"Yetel,Bulsatcom,A1,Yetel&amp;A1,N/A"</formula1>
    </dataValidation>
    <dataValidation type="list" xr:uid="{C0841EF2-B7F6-4A83-A8BF-F3F97C1B71B5}" sqref="C31" showErrorMessage="1" errorTitle="An invalid feedback was entered" error="Please choose feedback from drop down only.">
      <formula1>"1/2,5/4,7/8,RRU TOP JUMPER,N/A"</formula1>
    </dataValidation>
    <dataValidation type="list" xr:uid="{884F230F-EA9A-4B97-A016-B15A44C2DE1D}" sqref="D31" showErrorMessage="1" errorTitle="An invalid feedback was entered" error="Please choose feedback from drop down only.">
      <formula1>"1/2,5/4,7/8,RRU TOP JUMPER,N/A"</formula1>
    </dataValidation>
    <dataValidation type="list" xr:uid="{3B7D32AA-1DE6-4613-91AE-CCDA680D5EEC}" sqref="E31" showErrorMessage="1" errorTitle="An invalid feedback was entered" error="Please choose feedback from drop down only.">
      <formula1>"1/2,5/4,7/8,RRU TOP JUMPER,N/A"</formula1>
    </dataValidation>
    <dataValidation type="list" xr:uid="{9B260055-EBD9-4874-B777-0C4E3CEAFA92}" sqref="F31" showErrorMessage="1" errorTitle="An invalid feedback was entered" error="Please choose feedback from drop down only.">
      <formula1>"1/2,5/4,7/8,RRU TOP JUMPER,N/A"</formula1>
    </dataValidation>
    <dataValidation type="list" xr:uid="{9E14E37E-93F5-4070-9B06-8A2AA57D8EE4}" sqref="G31" showErrorMessage="1" errorTitle="An invalid feedback was entered" error="Please choose feedback from drop down only.">
      <formula1>"1/2,5/4,7/8,RRU TOP JUMPER,N/A"</formula1>
    </dataValidation>
    <dataValidation type="list" xr:uid="{8D558BD5-0ABF-404A-9A71-55D920441788}" sqref="H31" showErrorMessage="1" errorTitle="An invalid feedback was entered" error="Please choose feedback from drop down only.">
      <formula1>"1/2,5/4,7/8,RRU TOP JUMPER,N/A"</formula1>
    </dataValidation>
    <dataValidation type="list" xr:uid="{977A7D13-8067-4709-B8E1-076205462E5A}" sqref="I31" showErrorMessage="1" errorTitle="An invalid feedback was entered" error="Please choose feedback from drop down only.">
      <formula1>"1/2,5/4,7/8,RRU TOP JUMPER,N/A"</formula1>
    </dataValidation>
    <dataValidation type="list" xr:uid="{3ED2AAB4-664B-4FF4-93C2-B72FD161C946}" sqref="J31" showErrorMessage="1" errorTitle="An invalid feedback was entered" error="Please choose feedback from drop down only.">
      <formula1>"1/2,5/4,7/8,RRU TOP JUMPER,N/A"</formula1>
    </dataValidation>
    <dataValidation type="list" xr:uid="{954C154D-0239-49BC-9BDF-86B10F6F6BA6}" sqref="K31" showErrorMessage="1" errorTitle="An invalid feedback was entered" error="Please choose feedback from drop down only.">
      <formula1>"1/2,5/4,7/8,RRU TOP JUMPER,N/A"</formula1>
    </dataValidation>
    <dataValidation type="list" xr:uid="{4CE476CD-D1AA-4D5D-A916-F6D4FEB61D1B}" sqref="L31" showErrorMessage="1" errorTitle="An invalid feedback was entered" error="Please choose feedback from drop down only.">
      <formula1>"1/2,5/4,7/8,RRU TOP JUMPER,N/A"</formula1>
    </dataValidation>
    <dataValidation type="list" xr:uid="{9EF8F383-0BEA-4F59-8B15-571BB9BAB15F}" sqref="M31" showErrorMessage="1" errorTitle="An invalid feedback was entered" error="Please choose feedback from drop down only.">
      <formula1>"1/2,5/4,7/8,RRU TOP JUMPER,N/A"</formula1>
    </dataValidation>
    <dataValidation type="list" xr:uid="{343CB530-C60D-46FC-A487-FB585419E64D}" sqref="N31" showErrorMessage="1" errorTitle="An invalid feedback was entered" error="Please choose feedback from drop down only.">
      <formula1>"1/2,5/4,7/8,RRU TOP JUMPER,N/A"</formula1>
    </dataValidation>
    <dataValidation type="list" xr:uid="{77E634F2-A1FD-4014-9E99-F6582A06244B}" sqref="O31" showErrorMessage="1" errorTitle="An invalid feedback was entered" error="Please choose feedback from drop down only.">
      <formula1>"1/2,5/4,7/8,RRU TOP JUMPER,N/A"</formula1>
    </dataValidation>
    <dataValidation type="list" xr:uid="{5031747E-486D-4C98-B0C8-0B04CAB4AB60}" sqref="P31" showErrorMessage="1" errorTitle="An invalid feedback was entered" error="Please choose feedback from drop down only.">
      <formula1>"1/2,5/4,7/8,RRU TOP JUMPER,N/A"</formula1>
    </dataValidation>
    <dataValidation type="list" xr:uid="{04AE18A9-047A-4280-A5E9-373469C55CAF}" sqref="Q31" showErrorMessage="1" errorTitle="An invalid feedback was entered" error="Please choose feedback from drop down only.">
      <formula1>"1/2,5/4,7/8,RRU TOP JUMPER,N/A"</formula1>
    </dataValidation>
    <dataValidation type="list" xr:uid="{CA0CE906-6E65-4C3C-9729-70C4EA87C84C}" sqref="C4" showErrorMessage="1" errorTitle="An invalid feedback was entered" error="Please choose feedback from drop down only.">
      <formula1>"1,2,3,4,5,6,N/A"</formula1>
    </dataValidation>
    <dataValidation type="list" xr:uid="{19B14F9C-5530-4975-9F82-2EE76105D27E}" sqref="D4" showErrorMessage="1" errorTitle="An invalid feedback was entered" error="Please choose feedback from drop down only.">
      <formula1>"1,2,3,4,5,6,N/A"</formula1>
    </dataValidation>
    <dataValidation type="list" xr:uid="{AA354EE3-79A8-497A-99CC-C89592455254}" sqref="E4" showErrorMessage="1" errorTitle="An invalid feedback was entered" error="Please choose feedback from drop down only.">
      <formula1>"1,2,3,4,5,6,N/A"</formula1>
    </dataValidation>
    <dataValidation type="list" xr:uid="{02B62D2B-FC2B-4991-9A94-A4DB13692DD0}" sqref="F4" showErrorMessage="1" errorTitle="An invalid feedback was entered" error="Please choose feedback from drop down only.">
      <formula1>"1,2,3,4,5,6,N/A"</formula1>
    </dataValidation>
    <dataValidation type="list" xr:uid="{56C91651-3961-4184-A04E-16C529727407}" sqref="G4" showErrorMessage="1" errorTitle="An invalid feedback was entered" error="Please choose feedback from drop down only.">
      <formula1>"1,2,3,4,5,6,N/A"</formula1>
    </dataValidation>
    <dataValidation type="list" xr:uid="{781C6651-EFE2-4196-B8AB-E9443BBA51D1}" sqref="H4" showErrorMessage="1" errorTitle="An invalid feedback was entered" error="Please choose feedback from drop down only.">
      <formula1>"1,2,3,4,5,6,N/A"</formula1>
    </dataValidation>
    <dataValidation type="list" xr:uid="{61DD266E-E5AF-46CE-ADBB-4DEB0D7D9922}" sqref="I4" showErrorMessage="1" errorTitle="An invalid feedback was entered" error="Please choose feedback from drop down only.">
      <formula1>"1,2,3,4,5,6,N/A"</formula1>
    </dataValidation>
    <dataValidation type="list" xr:uid="{AC896008-E55A-4309-894C-0F18290FF601}" sqref="J4" showErrorMessage="1" errorTitle="An invalid feedback was entered" error="Please choose feedback from drop down only.">
      <formula1>"1,2,3,4,5,6,N/A"</formula1>
    </dataValidation>
    <dataValidation type="list" xr:uid="{31F8D605-2C57-4994-95A7-2B1B2A54DFB7}" sqref="K4" showErrorMessage="1" errorTitle="An invalid feedback was entered" error="Please choose feedback from drop down only.">
      <formula1>"1,2,3,4,5,6,N/A"</formula1>
    </dataValidation>
    <dataValidation type="list" xr:uid="{3AA0691C-856F-4605-8679-DC28096CFABF}" sqref="L4" showErrorMessage="1" errorTitle="An invalid feedback was entered" error="Please choose feedback from drop down only.">
      <formula1>"1,2,3,4,5,6,N/A"</formula1>
    </dataValidation>
    <dataValidation type="list" xr:uid="{C0AEA411-05E8-4356-906D-C48C8CCD9C62}" sqref="M4" showErrorMessage="1" errorTitle="An invalid feedback was entered" error="Please choose feedback from drop down only.">
      <formula1>"1,2,3,4,5,6,N/A"</formula1>
    </dataValidation>
    <dataValidation type="list" xr:uid="{CE329344-FDD4-4E6F-B6BD-476CD2F00632}" sqref="N4" showErrorMessage="1" errorTitle="An invalid feedback was entered" error="Please choose feedback from drop down only.">
      <formula1>"1,2,3,4,5,6,N/A"</formula1>
    </dataValidation>
    <dataValidation type="list" xr:uid="{3006F4F5-4373-4697-A36B-E6B0870973E1}" sqref="O4" showErrorMessage="1" errorTitle="An invalid feedback was entered" error="Please choose feedback from drop down only.">
      <formula1>"1,2,3,4,5,6,N/A"</formula1>
    </dataValidation>
    <dataValidation type="list" xr:uid="{D000E061-E684-4F1F-80DB-31B767C86D40}" sqref="P4" showErrorMessage="1" errorTitle="An invalid feedback was entered" error="Please choose feedback from drop down only.">
      <formula1>"1,2,3,4,5,6,N/A"</formula1>
    </dataValidation>
    <dataValidation type="list" xr:uid="{3C011315-E187-4594-9E05-60103D5F51C9}" sqref="Q4" showErrorMessage="1" errorTitle="An invalid feedback was entered" error="Please choose feedback from drop down only.">
      <formula1>"1,2,3,4,5,6,N/A"</formula1>
    </dataValidation>
    <dataValidation type="list" xr:uid="{39AF8F25-538F-47B0-BD66-A9074DD54F87}" sqref="C22" showErrorMessage="1" errorTitle="An invalid feedback was entered" error="Please choose feedback from drop down only.">
      <formula1>"700,800&amp;900,900,1800,2100,2600,3600,1800&amp;2100,1800&amp;2600,2100&amp;2600,18&amp;21&amp;26,Free,N/A,Yetel,A1,Yetel&amp;A1"</formula1>
    </dataValidation>
    <dataValidation type="list" xr:uid="{CE350397-0776-4B77-AB10-EB7C61CEE2FA}" sqref="D22" showErrorMessage="1" errorTitle="An invalid feedback was entered" error="Please choose feedback from drop down only.">
      <formula1>"700,800&amp;900,900,1800,2100,2600,3600,1800&amp;2100,1800&amp;2600,2100&amp;2600,18&amp;21&amp;26,Free,N/A,Yetel,A1,Yetel&amp;A1"</formula1>
    </dataValidation>
    <dataValidation type="list" xr:uid="{3CD93B80-F6A4-4939-A7E6-AAEA13415E6D}" sqref="E22" showErrorMessage="1" errorTitle="An invalid feedback was entered" error="Please choose feedback from drop down only.">
      <formula1>"700,800&amp;900,900,1800,2100,2600,3600,1800&amp;2100,1800&amp;2600,2100&amp;2600,18&amp;21&amp;26,Free,N/A,Yetel,A1,Yetel&amp;A1"</formula1>
    </dataValidation>
    <dataValidation type="list" xr:uid="{88272268-C1F1-4790-9F9F-224A6048970A}" sqref="F22" showErrorMessage="1" errorTitle="An invalid feedback was entered" error="Please choose feedback from drop down only.">
      <formula1>"700,800&amp;900,900,1800,2100,2600,3600,1800&amp;2100,1800&amp;2600,2100&amp;2600,18&amp;21&amp;26,Free,N/A,Yetel,A1,Yetel&amp;A1"</formula1>
    </dataValidation>
    <dataValidation type="list" xr:uid="{CF49E78C-236A-443D-9CFE-D07AB7701FEE}" sqref="G22" showErrorMessage="1" errorTitle="An invalid feedback was entered" error="Please choose feedback from drop down only.">
      <formula1>"700,800&amp;900,900,1800,2100,2600,3600,1800&amp;2100,1800&amp;2600,2100&amp;2600,18&amp;21&amp;26,Free,N/A,Yetel,A1,Yetel&amp;A1"</formula1>
    </dataValidation>
    <dataValidation type="list" xr:uid="{E79E58A8-18D8-455C-A808-50AEDDA2C865}" sqref="H22" showErrorMessage="1" errorTitle="An invalid feedback was entered" error="Please choose feedback from drop down only.">
      <formula1>"700,800&amp;900,900,1800,2100,2600,3600,1800&amp;2100,1800&amp;2600,2100&amp;2600,18&amp;21&amp;26,Free,N/A,Yetel,A1,Yetel&amp;A1"</formula1>
    </dataValidation>
    <dataValidation type="list" xr:uid="{26DBC45F-C8E5-4E2A-BB05-DB765A5D1DFD}" sqref="I22" showErrorMessage="1" errorTitle="An invalid feedback was entered" error="Please choose feedback from drop down only.">
      <formula1>"700,800&amp;900,900,1800,2100,2600,3600,1800&amp;2100,1800&amp;2600,2100&amp;2600,18&amp;21&amp;26,Free,N/A,Yetel,A1,Yetel&amp;A1"</formula1>
    </dataValidation>
    <dataValidation type="list" xr:uid="{6BB2DB69-5AB6-45F8-867F-F21B33796257}" sqref="J22" showErrorMessage="1" errorTitle="An invalid feedback was entered" error="Please choose feedback from drop down only.">
      <formula1>"700,800&amp;900,900,1800,2100,2600,3600,1800&amp;2100,1800&amp;2600,2100&amp;2600,18&amp;21&amp;26,Free,N/A,Yetel,A1,Yetel&amp;A1"</formula1>
    </dataValidation>
    <dataValidation type="list" xr:uid="{718A78D7-4E9C-4412-8CA1-6ABCC528A8E7}" sqref="K22" showErrorMessage="1" errorTitle="An invalid feedback was entered" error="Please choose feedback from drop down only.">
      <formula1>"700,800&amp;900,900,1800,2100,2600,3600,1800&amp;2100,1800&amp;2600,2100&amp;2600,18&amp;21&amp;26,Free,N/A,Yetel,A1,Yetel&amp;A1"</formula1>
    </dataValidation>
    <dataValidation type="list" xr:uid="{BD06633D-32BB-479D-BA7F-CFC7BA406B76}" sqref="L22" showErrorMessage="1" errorTitle="An invalid feedback was entered" error="Please choose feedback from drop down only.">
      <formula1>"700,800&amp;900,900,1800,2100,2600,3600,1800&amp;2100,1800&amp;2600,2100&amp;2600,18&amp;21&amp;26,Free,N/A,Yetel,A1,Yetel&amp;A1"</formula1>
    </dataValidation>
    <dataValidation type="list" xr:uid="{D8DCFB71-DD6A-45F1-8989-3C2F66C2D02D}" sqref="M22" showErrorMessage="1" errorTitle="An invalid feedback was entered" error="Please choose feedback from drop down only.">
      <formula1>"700,800&amp;900,900,1800,2100,2600,3600,1800&amp;2100,1800&amp;2600,2100&amp;2600,18&amp;21&amp;26,Free,N/A,Yetel,A1,Yetel&amp;A1"</formula1>
    </dataValidation>
    <dataValidation type="list" xr:uid="{3F40F325-B5A1-44A9-AE97-03981EE4714A}" sqref="N22" showErrorMessage="1" errorTitle="An invalid feedback was entered" error="Please choose feedback from drop down only.">
      <formula1>"700,800&amp;900,900,1800,2100,2600,3600,1800&amp;2100,1800&amp;2600,2100&amp;2600,18&amp;21&amp;26,Free,N/A,Yetel,A1,Yetel&amp;A1"</formula1>
    </dataValidation>
    <dataValidation type="list" xr:uid="{268B14E4-5C19-4896-A334-E3557AEE9959}" sqref="O22" showErrorMessage="1" errorTitle="An invalid feedback was entered" error="Please choose feedback from drop down only.">
      <formula1>"700,800&amp;900,900,1800,2100,2600,3600,1800&amp;2100,1800&amp;2600,2100&amp;2600,18&amp;21&amp;26,Free,N/A,Yetel,A1,Yetel&amp;A1"</formula1>
    </dataValidation>
    <dataValidation type="list" xr:uid="{41175AC4-09FE-4C08-85DC-802DC8ACDFCD}" sqref="P22" showErrorMessage="1" errorTitle="An invalid feedback was entered" error="Please choose feedback from drop down only.">
      <formula1>"700,800&amp;900,900,1800,2100,2600,3600,1800&amp;2100,1800&amp;2600,2100&amp;2600,18&amp;21&amp;26,Free,N/A,Yetel,A1,Yetel&amp;A1"</formula1>
    </dataValidation>
    <dataValidation type="list" xr:uid="{517956F4-957F-4AAB-897A-47A2A27C8DAD}" sqref="Q22" showErrorMessage="1" errorTitle="An invalid feedback was entered" error="Please choose feedback from drop down only.">
      <formula1>"700,800&amp;900,900,1800,2100,2600,3600,1800&amp;2100,1800&amp;2600,2100&amp;2600,18&amp;21&amp;26,Free,N/A,Yetel,A1,Yetel&amp;A1"</formula1>
    </dataValidation>
    <dataValidation type="list" xr:uid="{145F4CFC-8ABF-4F40-B252-AD654FA61216}" sqref="C28" showErrorMessage="1" errorTitle="An invalid feedback was entered" error="Please choose feedback from drop down only.">
      <formula1>"Yes,No,FlexRET"</formula1>
    </dataValidation>
    <dataValidation type="list" xr:uid="{E66334CA-AB38-4F4F-914B-A9EDAAAA7014}" sqref="D28" showErrorMessage="1" errorTitle="An invalid feedback was entered" error="Please choose feedback from drop down only.">
      <formula1>"Yes,No,FlexRET"</formula1>
    </dataValidation>
    <dataValidation type="list" xr:uid="{5311C3E5-5C02-40B7-9AC5-2D8C262EEB5E}" sqref="E28" showErrorMessage="1" errorTitle="An invalid feedback was entered" error="Please choose feedback from drop down only.">
      <formula1>"Yes,No,FlexRET"</formula1>
    </dataValidation>
    <dataValidation type="list" xr:uid="{B44B15AF-4F86-4E02-A49A-659CF5AF633B}" sqref="F28" showErrorMessage="1" errorTitle="An invalid feedback was entered" error="Please choose feedback from drop down only.">
      <formula1>"Yes,No,FlexRET"</formula1>
    </dataValidation>
    <dataValidation type="list" xr:uid="{6B02FC75-0285-4B41-9926-5AD55C40C48F}" sqref="G28" showErrorMessage="1" errorTitle="An invalid feedback was entered" error="Please choose feedback from drop down only.">
      <formula1>"Yes,No,FlexRET"</formula1>
    </dataValidation>
    <dataValidation type="list" xr:uid="{FB41B4BD-A735-4E65-AB99-EA864CC2231B}" sqref="H28" showErrorMessage="1" errorTitle="An invalid feedback was entered" error="Please choose feedback from drop down only.">
      <formula1>"Yes,No,FlexRET"</formula1>
    </dataValidation>
    <dataValidation type="list" xr:uid="{CB951D17-1F68-4CB1-9B16-BED910C6EF09}" sqref="I28" showErrorMessage="1" errorTitle="An invalid feedback was entered" error="Please choose feedback from drop down only.">
      <formula1>"Yes,No,FlexRET"</formula1>
    </dataValidation>
    <dataValidation type="list" xr:uid="{21BA0EC6-559A-4D10-964C-443592EC1C49}" sqref="J28" showErrorMessage="1" errorTitle="An invalid feedback was entered" error="Please choose feedback from drop down only.">
      <formula1>"Yes,No,FlexRET"</formula1>
    </dataValidation>
    <dataValidation type="list" xr:uid="{F400694E-45D0-4082-8B62-54CC79424D22}" sqref="K28" showErrorMessage="1" errorTitle="An invalid feedback was entered" error="Please choose feedback from drop down only.">
      <formula1>"Yes,No,FlexRET"</formula1>
    </dataValidation>
    <dataValidation type="list" xr:uid="{6FD4B992-5373-44AE-BF79-7FB2F5E77309}" sqref="L28" showErrorMessage="1" errorTitle="An invalid feedback was entered" error="Please choose feedback from drop down only.">
      <formula1>"Yes,No,FlexRET"</formula1>
    </dataValidation>
    <dataValidation type="list" xr:uid="{28C97A82-B40B-4980-AD6A-AAB4EA29C44B}" sqref="M28" showErrorMessage="1" errorTitle="An invalid feedback was entered" error="Please choose feedback from drop down only.">
      <formula1>"Yes,No,FlexRET"</formula1>
    </dataValidation>
    <dataValidation type="list" xr:uid="{12036F18-A057-40B8-9163-C8B80AEEC0C1}" sqref="N28" showErrorMessage="1" errorTitle="An invalid feedback was entered" error="Please choose feedback from drop down only.">
      <formula1>"Yes,No,FlexRET"</formula1>
    </dataValidation>
    <dataValidation type="list" xr:uid="{C374796E-5AA5-45E0-B6A2-08468C70B6C6}" sqref="O28" showErrorMessage="1" errorTitle="An invalid feedback was entered" error="Please choose feedback from drop down only.">
      <formula1>"Yes,No,FlexRET"</formula1>
    </dataValidation>
    <dataValidation type="list" xr:uid="{EB09232B-B1A4-4112-BE86-8CC5715A3AA7}" sqref="P28" showErrorMessage="1" errorTitle="An invalid feedback was entered" error="Please choose feedback from drop down only.">
      <formula1>"Yes,No,FlexRET"</formula1>
    </dataValidation>
    <dataValidation type="list" xr:uid="{2D97776B-B55C-4FF4-81A5-CB23C165AED6}" sqref="Q28" showErrorMessage="1" errorTitle="An invalid feedback was entered" error="Please choose feedback from drop down only.">
      <formula1>"Yes,No,FlexRET"</formula1>
    </dataValidation>
    <dataValidation type="list" xr:uid="{5752713E-EE55-45D0-B61B-C7E1D476BACC}" sqref="C29" showErrorMessage="1" errorTitle="An invalid feedback was entered" error="Please choose feedback from drop down only.">
      <formula1>"Yes,No,FlexRET"</formula1>
    </dataValidation>
    <dataValidation type="list" xr:uid="{E13C70B1-284F-42F8-A296-B41427C7210D}" sqref="D29" showErrorMessage="1" errorTitle="An invalid feedback was entered" error="Please choose feedback from drop down only.">
      <formula1>"Yes,No,FlexRET"</formula1>
    </dataValidation>
    <dataValidation type="list" xr:uid="{3BA90DBB-A941-414E-929E-EFF4744B3A24}" sqref="E29" showErrorMessage="1" errorTitle="An invalid feedback was entered" error="Please choose feedback from drop down only.">
      <formula1>"Yes,No,FlexRET"</formula1>
    </dataValidation>
    <dataValidation type="list" xr:uid="{E2E3B741-9197-4864-9257-87275785270E}" sqref="F29" showErrorMessage="1" errorTitle="An invalid feedback was entered" error="Please choose feedback from drop down only.">
      <formula1>"Yes,No,FlexRET"</formula1>
    </dataValidation>
    <dataValidation type="list" xr:uid="{000585C6-A762-4B30-9B25-C5E414F7028D}" sqref="G29" showErrorMessage="1" errorTitle="An invalid feedback was entered" error="Please choose feedback from drop down only.">
      <formula1>"Yes,No,FlexRET"</formula1>
    </dataValidation>
    <dataValidation type="list" xr:uid="{21EEB31E-2A84-42C0-B485-8237452B5E1D}" sqref="H29" showErrorMessage="1" errorTitle="An invalid feedback was entered" error="Please choose feedback from drop down only.">
      <formula1>"Yes,No,FlexRET"</formula1>
    </dataValidation>
    <dataValidation type="list" xr:uid="{2755E48A-309E-406D-A63B-1D66E08E4C7E}" sqref="I29" showErrorMessage="1" errorTitle="An invalid feedback was entered" error="Please choose feedback from drop down only.">
      <formula1>"Yes,No,FlexRET"</formula1>
    </dataValidation>
    <dataValidation type="list" xr:uid="{55AC9D70-7D09-4655-AD29-9E1B52D24BC0}" sqref="J29" showErrorMessage="1" errorTitle="An invalid feedback was entered" error="Please choose feedback from drop down only.">
      <formula1>"Yes,No,FlexRET"</formula1>
    </dataValidation>
    <dataValidation type="list" xr:uid="{622F4843-980F-4401-B139-26D7FEAC4212}" sqref="K29" showErrorMessage="1" errorTitle="An invalid feedback was entered" error="Please choose feedback from drop down only.">
      <formula1>"Yes,No,FlexRET"</formula1>
    </dataValidation>
    <dataValidation type="list" xr:uid="{7AE260A8-BBF4-496F-9DA4-B7D5F23441A0}" sqref="L29" showErrorMessage="1" errorTitle="An invalid feedback was entered" error="Please choose feedback from drop down only.">
      <formula1>"Yes,No,FlexRET"</formula1>
    </dataValidation>
    <dataValidation type="list" xr:uid="{3D0B79B6-9D98-49D9-BD0D-56B9A94C44B5}" sqref="M29" showErrorMessage="1" errorTitle="An invalid feedback was entered" error="Please choose feedback from drop down only.">
      <formula1>"Yes,No,FlexRET"</formula1>
    </dataValidation>
    <dataValidation type="list" xr:uid="{729E3CDF-ABBC-4450-B4AD-B13C028C7C9D}" sqref="N29" showErrorMessage="1" errorTitle="An invalid feedback was entered" error="Please choose feedback from drop down only.">
      <formula1>"Yes,No,FlexRET"</formula1>
    </dataValidation>
    <dataValidation type="list" xr:uid="{0A1C7E60-AF81-443A-AD5A-68EBB8463292}" sqref="O29" showErrorMessage="1" errorTitle="An invalid feedback was entered" error="Please choose feedback from drop down only.">
      <formula1>"Yes,No,FlexRET"</formula1>
    </dataValidation>
    <dataValidation type="list" xr:uid="{5B377B61-692A-42AD-9BD4-227059686AB7}" sqref="P29" showErrorMessage="1" errorTitle="An invalid feedback was entered" error="Please choose feedback from drop down only.">
      <formula1>"Yes,No,FlexRET"</formula1>
    </dataValidation>
    <dataValidation type="list" xr:uid="{4020279F-8819-4502-A6A3-62C6FB09EF2A}" sqref="Q29" showErrorMessage="1" errorTitle="An invalid feedback was entered" error="Please choose feedback from drop down only.">
      <formula1>"Yes,No,FlexRET"</formula1>
    </dataValidation>
    <dataValidation type="list" xr:uid="{5A8D43C5-CBEC-4784-904B-D87AB985DD49}" sqref="C25" showErrorMessage="1" errorTitle="An invalid feedback was entered" error="Please choose feedback from drop down only.">
      <formula1>"G,U,L,NR,GU,UL,GL,GUL,LNR,ULNR,None"</formula1>
    </dataValidation>
    <dataValidation type="list" xr:uid="{5B78ABC5-2445-40CE-A95B-B816C00DC43C}" sqref="D25" showErrorMessage="1" errorTitle="An invalid feedback was entered" error="Please choose feedback from drop down only.">
      <formula1>"G,U,L,NR,GU,UL,GL,GUL,LNR,ULNR,None"</formula1>
    </dataValidation>
    <dataValidation type="list" xr:uid="{5DA1BF64-B2BC-449A-BC43-290168A90003}" sqref="E25" showErrorMessage="1" errorTitle="An invalid feedback was entered" error="Please choose feedback from drop down only.">
      <formula1>"G,U,L,NR,GU,UL,GL,GUL,LNR,ULNR,None"</formula1>
    </dataValidation>
    <dataValidation type="list" xr:uid="{B5944311-F90F-48C4-80CE-A22A22DCF27E}" sqref="F25" showErrorMessage="1" errorTitle="An invalid feedback was entered" error="Please choose feedback from drop down only.">
      <formula1>"G,U,L,NR,GU,UL,GL,GUL,LNR,ULNR,None"</formula1>
    </dataValidation>
    <dataValidation type="list" xr:uid="{E3AA4910-4692-4677-A84F-E7668E680975}" sqref="G25" showErrorMessage="1" errorTitle="An invalid feedback was entered" error="Please choose feedback from drop down only.">
      <formula1>"G,U,L,NR,GU,UL,GL,GUL,LNR,ULNR,None"</formula1>
    </dataValidation>
    <dataValidation type="list" xr:uid="{9D5C0D4B-2260-4D81-AF32-7B38EC414430}" sqref="H25" showErrorMessage="1" errorTitle="An invalid feedback was entered" error="Please choose feedback from drop down only.">
      <formula1>"G,U,L,NR,GU,UL,GL,GUL,LNR,ULNR,None"</formula1>
    </dataValidation>
    <dataValidation type="list" xr:uid="{50AD8220-EF0F-4A39-962E-84A11DB54FDF}" sqref="I25" showErrorMessage="1" errorTitle="An invalid feedback was entered" error="Please choose feedback from drop down only.">
      <formula1>"G,U,L,NR,GU,UL,GL,GUL,LNR,ULNR,None"</formula1>
    </dataValidation>
    <dataValidation type="list" xr:uid="{4DE87BE0-4CBA-4617-AC0E-2B3AC724BA43}" sqref="J25" showErrorMessage="1" errorTitle="An invalid feedback was entered" error="Please choose feedback from drop down only.">
      <formula1>"G,U,L,NR,GU,UL,GL,GUL,LNR,ULNR,None"</formula1>
    </dataValidation>
    <dataValidation type="list" xr:uid="{0321F763-0CB8-4068-A9F4-0CB51E8D3D51}" sqref="K25" showErrorMessage="1" errorTitle="An invalid feedback was entered" error="Please choose feedback from drop down only.">
      <formula1>"G,U,L,NR,GU,UL,GL,GUL,LNR,ULNR,None"</formula1>
    </dataValidation>
    <dataValidation type="list" xr:uid="{EB2B1E73-04E0-4F05-B0B6-0CB521B8B17E}" sqref="L25" showErrorMessage="1" errorTitle="An invalid feedback was entered" error="Please choose feedback from drop down only.">
      <formula1>"G,U,L,NR,GU,UL,GL,GUL,LNR,ULNR,None"</formula1>
    </dataValidation>
    <dataValidation type="list" xr:uid="{0342598D-3181-454C-8937-9928A4E6957C}" sqref="M25" showErrorMessage="1" errorTitle="An invalid feedback was entered" error="Please choose feedback from drop down only.">
      <formula1>"G,U,L,NR,GU,UL,GL,GUL,LNR,ULNR,None"</formula1>
    </dataValidation>
    <dataValidation type="list" xr:uid="{ACA2FE52-0D0B-4F41-8966-9C154D397F2A}" sqref="N25" showErrorMessage="1" errorTitle="An invalid feedback was entered" error="Please choose feedback from drop down only.">
      <formula1>"G,U,L,NR,GU,UL,GL,GUL,LNR,ULNR,None"</formula1>
    </dataValidation>
    <dataValidation type="list" xr:uid="{D093246D-1568-4FE9-8943-90DF17395443}" sqref="O25" showErrorMessage="1" errorTitle="An invalid feedback was entered" error="Please choose feedback from drop down only.">
      <formula1>"G,U,L,NR,GU,UL,GL,GUL,LNR,ULNR,None"</formula1>
    </dataValidation>
    <dataValidation type="list" xr:uid="{94C2782B-9DCB-48DF-99C6-10EB96F0492A}" sqref="P25" showErrorMessage="1" errorTitle="An invalid feedback was entered" error="Please choose feedback from drop down only.">
      <formula1>"G,U,L,NR,GU,UL,GL,GUL,LNR,ULNR,None"</formula1>
    </dataValidation>
    <dataValidation type="list" xr:uid="{59F598ED-0BC5-4CC5-BF20-E01A4DCA9BCA}" sqref="Q25" showErrorMessage="1" errorTitle="An invalid feedback was entered" error="Please choose feedback from drop down only.">
      <formula1>"G,U,L,NR,GU,UL,GL,GUL,LNR,ULNR,None"</formula1>
    </dataValidation>
    <dataValidation type="list" xr:uid="{28AC9535-0787-4EA7-8365-38F86182AF23}" sqref="C37" showErrorMessage="1" errorTitle="An invalid feedback was entered" error="Please choose feedback from drop down only.">
      <formula1>"Yes,No,SASU,SASU/SASA,DCS/UMTS2100share,78210440,78211110,78210510,DTMA UMTS 12 ASIG,78211106,78210312,TMA 900 Tower amplifier,TMA900,MI-15832,MI-16331,MI-12731,MI-12031,N/A,Unknown,None"</formula1>
    </dataValidation>
    <dataValidation type="list" xr:uid="{AA869914-38C3-4ADA-A5FE-B5500EFADBC8}" sqref="D37" showErrorMessage="1" errorTitle="An invalid feedback was entered" error="Please choose feedback from drop down only.">
      <formula1>"Yes,No,SASU,SASU/SASA,DCS/UMTS2100share,78210440,78211110,78210510,DTMA UMTS 12 ASIG,78211106,78210312,TMA 900 Tower amplifier,TMA900,MI-15832,MI-16331,MI-12731,MI-12031,N/A,Unknown,None"</formula1>
    </dataValidation>
    <dataValidation type="list" xr:uid="{D4ABF023-F4FD-4C76-A1B3-15AE2DA0C78D}" sqref="E37" showErrorMessage="1" errorTitle="An invalid feedback was entered" error="Please choose feedback from drop down only.">
      <formula1>"Yes,No,SASU,SASU/SASA,DCS/UMTS2100share,78210440,78211110,78210510,DTMA UMTS 12 ASIG,78211106,78210312,TMA 900 Tower amplifier,TMA900,MI-15832,MI-16331,MI-12731,MI-12031,N/A,Unknown,None"</formula1>
    </dataValidation>
    <dataValidation type="list" xr:uid="{9736CD56-4905-44F5-AF17-3BF156946749}" sqref="F37" showErrorMessage="1" errorTitle="An invalid feedback was entered" error="Please choose feedback from drop down only.">
      <formula1>"Yes,No,SASU,SASU/SASA,DCS/UMTS2100share,78210440,78211110,78210510,DTMA UMTS 12 ASIG,78211106,78210312,TMA 900 Tower amplifier,TMA900,MI-15832,MI-16331,MI-12731,MI-12031,N/A,Unknown,None"</formula1>
    </dataValidation>
    <dataValidation type="list" xr:uid="{40608B2F-5AE3-40EE-BEB2-EDD333DF998E}" sqref="G37" showErrorMessage="1" errorTitle="An invalid feedback was entered" error="Please choose feedback from drop down only.">
      <formula1>"Yes,No,SASU,SASU/SASA,DCS/UMTS2100share,78210440,78211110,78210510,DTMA UMTS 12 ASIG,78211106,78210312,TMA 900 Tower amplifier,TMA900,MI-15832,MI-16331,MI-12731,MI-12031,N/A,Unknown,None"</formula1>
    </dataValidation>
    <dataValidation type="list" xr:uid="{4B244A99-B10A-44A6-AD1E-B088A4EA7F6C}" sqref="H37" showErrorMessage="1" errorTitle="An invalid feedback was entered" error="Please choose feedback from drop down only.">
      <formula1>"Yes,No,SASU,SASU/SASA,DCS/UMTS2100share,78210440,78211110,78210510,DTMA UMTS 12 ASIG,78211106,78210312,TMA 900 Tower amplifier,TMA900,MI-15832,MI-16331,MI-12731,MI-12031,N/A,Unknown,None"</formula1>
    </dataValidation>
    <dataValidation type="list" xr:uid="{4BFC22E6-2900-492E-9951-CF88C8CFD48A}" sqref="I37" showErrorMessage="1" errorTitle="An invalid feedback was entered" error="Please choose feedback from drop down only.">
      <formula1>"Yes,No,SASU,SASU/SASA,DCS/UMTS2100share,78210440,78211110,78210510,DTMA UMTS 12 ASIG,78211106,78210312,TMA 900 Tower amplifier,TMA900,MI-15832,MI-16331,MI-12731,MI-12031,N/A,Unknown,None"</formula1>
    </dataValidation>
    <dataValidation type="list" xr:uid="{B7F4FE9C-32FE-4E95-943A-EE0680F6B7C3}" sqref="J37" showErrorMessage="1" errorTitle="An invalid feedback was entered" error="Please choose feedback from drop down only.">
      <formula1>"Yes,No,SASU,SASU/SASA,DCS/UMTS2100share,78210440,78211110,78210510,DTMA UMTS 12 ASIG,78211106,78210312,TMA 900 Tower amplifier,TMA900,MI-15832,MI-16331,MI-12731,MI-12031,N/A,Unknown,None"</formula1>
    </dataValidation>
    <dataValidation type="list" xr:uid="{0E14347A-5E40-47CD-9C71-F8117F6B0E4F}" sqref="K37" showErrorMessage="1" errorTitle="An invalid feedback was entered" error="Please choose feedback from drop down only.">
      <formula1>"Yes,No,SASU,SASU/SASA,DCS/UMTS2100share,78210440,78211110,78210510,DTMA UMTS 12 ASIG,78211106,78210312,TMA 900 Tower amplifier,TMA900,MI-15832,MI-16331,MI-12731,MI-12031,N/A,Unknown,None"</formula1>
    </dataValidation>
    <dataValidation type="list" xr:uid="{DAB2BE5E-BC88-40AF-BAFC-37191017D612}" sqref="L37" showErrorMessage="1" errorTitle="An invalid feedback was entered" error="Please choose feedback from drop down only.">
      <formula1>"Yes,No,SASU,SASU/SASA,DCS/UMTS2100share,78210440,78211110,78210510,DTMA UMTS 12 ASIG,78211106,78210312,TMA 900 Tower amplifier,TMA900,MI-15832,MI-16331,MI-12731,MI-12031,N/A,Unknown,None"</formula1>
    </dataValidation>
    <dataValidation type="list" xr:uid="{EDEE4A66-912C-466A-8B0D-2B81423BD15D}" sqref="M37" showErrorMessage="1" errorTitle="An invalid feedback was entered" error="Please choose feedback from drop down only.">
      <formula1>"Yes,No,SASU,SASU/SASA,DCS/UMTS2100share,78210440,78211110,78210510,DTMA UMTS 12 ASIG,78211106,78210312,TMA 900 Tower amplifier,TMA900,MI-15832,MI-16331,MI-12731,MI-12031,N/A,Unknown,None"</formula1>
    </dataValidation>
    <dataValidation type="list" xr:uid="{94543D3F-B2F6-4D8B-82EB-E42243B52B8F}" sqref="N37" showErrorMessage="1" errorTitle="An invalid feedback was entered" error="Please choose feedback from drop down only.">
      <formula1>"Yes,No,SASU,SASU/SASA,DCS/UMTS2100share,78210440,78211110,78210510,DTMA UMTS 12 ASIG,78211106,78210312,TMA 900 Tower amplifier,TMA900,MI-15832,MI-16331,MI-12731,MI-12031,N/A,Unknown,None"</formula1>
    </dataValidation>
    <dataValidation type="list" xr:uid="{AD33C129-ECAC-4463-852B-9967437E426E}" sqref="O37" showErrorMessage="1" errorTitle="An invalid feedback was entered" error="Please choose feedback from drop down only.">
      <formula1>"Yes,No,SASU,SASU/SASA,DCS/UMTS2100share,78210440,78211110,78210510,DTMA UMTS 12 ASIG,78211106,78210312,TMA 900 Tower amplifier,TMA900,MI-15832,MI-16331,MI-12731,MI-12031,N/A,Unknown,None"</formula1>
    </dataValidation>
    <dataValidation type="list" xr:uid="{E0BCCEE6-72A9-4E57-95A9-D1108B8823FC}" sqref="P37" showErrorMessage="1" errorTitle="An invalid feedback was entered" error="Please choose feedback from drop down only.">
      <formula1>"Yes,No,SASU,SASU/SASA,DCS/UMTS2100share,78210440,78211110,78210510,DTMA UMTS 12 ASIG,78211106,78210312,TMA 900 Tower amplifier,TMA900,MI-15832,MI-16331,MI-12731,MI-12031,N/A,Unknown,None"</formula1>
    </dataValidation>
    <dataValidation type="list" xr:uid="{FB5C0327-60A7-4B06-A89E-39616CF9F3DF}" sqref="Q37" showErrorMessage="1" errorTitle="An invalid feedback was entered" error="Please choose feedback from drop down only.">
      <formula1>"Yes,No,SASU,SASU/SASA,DCS/UMTS2100share,78210440,78211110,78210510,DTMA UMTS 12 ASIG,78211106,78210312,TMA 900 Tower amplifier,TMA900,MI-15832,MI-16331,MI-12731,MI-12031,N/A,Unknown,None"</formula1>
    </dataValidation>
  </dataValidations>
  <pageMargins left="0.7" right="0.7" top="0.75" bottom="0.75" header="0.3" footer="0.3"/>
  <pageSetup orientation="portrait"/>
  <headerFooter/>
  <extLst>
    <ext xmlns:x14="http://schemas.microsoft.com/office/spreadsheetml/2009/9/main" uri="{CCE6A557-97BC-4b89-ADB6-D9C93CAAB3DF}">
      <x14:dataValidations xmlns:xm="http://schemas.microsoft.com/office/excel/2006/main" count="60">
        <x14:dataValidation type="list" xr:uid="{A762CBE3-A348-4841-8276-02525F908FBD}" error="Please choose feedback from drop down only." errorTitle="An invalid feedback was entered" showErrorMessage="1">
          <x14:formula1>
            <xm:f>Antennas!A:A</xm:f>
          </x14:formula1>
          <xm:sqref>C8</xm:sqref>
        </x14:dataValidation>
        <x14:dataValidation type="list" xr:uid="{F185C98A-F109-415C-AE5B-0CD0078C96F1}" error="Please choose feedback from drop down only." errorTitle="An invalid feedback was entered" showErrorMessage="1">
          <x14:formula1>
            <xm:f>Antennas!A:A</xm:f>
          </x14:formula1>
          <xm:sqref>D8</xm:sqref>
        </x14:dataValidation>
        <x14:dataValidation type="list" xr:uid="{4DDC3C2C-527B-4804-9F27-06BE4B38F602}" error="Please choose feedback from drop down only." errorTitle="An invalid feedback was entered" showErrorMessage="1">
          <x14:formula1>
            <xm:f>Antennas!A:A</xm:f>
          </x14:formula1>
          <xm:sqref>E8</xm:sqref>
        </x14:dataValidation>
        <x14:dataValidation type="list" xr:uid="{0D0ADE6F-C9AE-458F-A570-6AC9DF7261CE}" error="Please choose feedback from drop down only." errorTitle="An invalid feedback was entered" showErrorMessage="1">
          <x14:formula1>
            <xm:f>Antennas!A:A</xm:f>
          </x14:formula1>
          <xm:sqref>F8</xm:sqref>
        </x14:dataValidation>
        <x14:dataValidation type="list" xr:uid="{C6FBBECD-F1BE-46B8-B1B4-BFD050044304}" error="Please choose feedback from drop down only." errorTitle="An invalid feedback was entered" showErrorMessage="1">
          <x14:formula1>
            <xm:f>Antennas!A:A</xm:f>
          </x14:formula1>
          <xm:sqref>G8</xm:sqref>
        </x14:dataValidation>
        <x14:dataValidation type="list" xr:uid="{252713CE-23EB-4523-BF94-E3C88FA6B008}" error="Please choose feedback from drop down only." errorTitle="An invalid feedback was entered" showErrorMessage="1">
          <x14:formula1>
            <xm:f>Antennas!A:A</xm:f>
          </x14:formula1>
          <xm:sqref>H8</xm:sqref>
        </x14:dataValidation>
        <x14:dataValidation type="list" xr:uid="{ACEEBADD-A988-4D86-B3C8-C21D85A92828}" error="Please choose feedback from drop down only." errorTitle="An invalid feedback was entered" showErrorMessage="1">
          <x14:formula1>
            <xm:f>Antennas!A:A</xm:f>
          </x14:formula1>
          <xm:sqref>I8</xm:sqref>
        </x14:dataValidation>
        <x14:dataValidation type="list" xr:uid="{0C769F71-DE7E-4754-961D-302870E45453}" error="Please choose feedback from drop down only." errorTitle="An invalid feedback was entered" showErrorMessage="1">
          <x14:formula1>
            <xm:f>Antennas!A:A</xm:f>
          </x14:formula1>
          <xm:sqref>J8</xm:sqref>
        </x14:dataValidation>
        <x14:dataValidation type="list" xr:uid="{55330872-3584-4729-BF01-1BA90ADD4E40}" error="Please choose feedback from drop down only." errorTitle="An invalid feedback was entered" showErrorMessage="1">
          <x14:formula1>
            <xm:f>Antennas!A:A</xm:f>
          </x14:formula1>
          <xm:sqref>K8</xm:sqref>
        </x14:dataValidation>
        <x14:dataValidation type="list" xr:uid="{176CA9FF-A7C7-4ABD-A66E-C1C0391A57EB}" error="Please choose feedback from drop down only." errorTitle="An invalid feedback was entered" showErrorMessage="1">
          <x14:formula1>
            <xm:f>Antennas!A:A</xm:f>
          </x14:formula1>
          <xm:sqref>L8</xm:sqref>
        </x14:dataValidation>
        <x14:dataValidation type="list" xr:uid="{B0369F01-2BFB-4E8C-A570-D304A31453CB}" error="Please choose feedback from drop down only." errorTitle="An invalid feedback was entered" showErrorMessage="1">
          <x14:formula1>
            <xm:f>Antennas!A:A</xm:f>
          </x14:formula1>
          <xm:sqref>M8</xm:sqref>
        </x14:dataValidation>
        <x14:dataValidation type="list" xr:uid="{5555A331-08B0-4476-A82A-AA72646C2CAC}" error="Please choose feedback from drop down only." errorTitle="An invalid feedback was entered" showErrorMessage="1">
          <x14:formula1>
            <xm:f>Antennas!A:A</xm:f>
          </x14:formula1>
          <xm:sqref>N8</xm:sqref>
        </x14:dataValidation>
        <x14:dataValidation type="list" xr:uid="{8487C141-D374-4049-BE46-4D5C78B4E77F}" error="Please choose feedback from drop down only." errorTitle="An invalid feedback was entered" showErrorMessage="1">
          <x14:formula1>
            <xm:f>Antennas!A:A</xm:f>
          </x14:formula1>
          <xm:sqref>O8</xm:sqref>
        </x14:dataValidation>
        <x14:dataValidation type="list" xr:uid="{419F4F72-5FDE-49F8-95B8-D12501DB6965}" error="Please choose feedback from drop down only." errorTitle="An invalid feedback was entered" showErrorMessage="1">
          <x14:formula1>
            <xm:f>Antennas!A:A</xm:f>
          </x14:formula1>
          <xm:sqref>P8</xm:sqref>
        </x14:dataValidation>
        <x14:dataValidation type="list" xr:uid="{30BE1B0F-878B-46B5-A288-AB55E0FDD4D1}" error="Please choose feedback from drop down only." errorTitle="An invalid feedback was entered" showErrorMessage="1">
          <x14:formula1>
            <xm:f>Antennas!A:A</xm:f>
          </x14:formula1>
          <xm:sqref>Q8</xm:sqref>
        </x14:dataValidation>
        <x14:dataValidation type="list" xr:uid="{375EE0BC-1E9A-4693-BDA1-CC99601A6787}" error="Please choose feedback from drop down only." errorTitle="An invalid feedback was entered" showErrorMessage="1">
          <x14:formula1>
            <xm:f>Combiners!A:A</xm:f>
          </x14:formula1>
          <xm:sqref>C39</xm:sqref>
        </x14:dataValidation>
        <x14:dataValidation type="list" xr:uid="{82CD535C-7140-408A-AA6C-FB5AFE500F82}" error="Please choose feedback from drop down only." errorTitle="An invalid feedback was entered" showErrorMessage="1">
          <x14:formula1>
            <xm:f>Combiners!A:A</xm:f>
          </x14:formula1>
          <xm:sqref>D39</xm:sqref>
        </x14:dataValidation>
        <x14:dataValidation type="list" xr:uid="{8BF81029-EA29-4047-B955-F5A1761E7BDB}" error="Please choose feedback from drop down only." errorTitle="An invalid feedback was entered" showErrorMessage="1">
          <x14:formula1>
            <xm:f>Combiners!A:A</xm:f>
          </x14:formula1>
          <xm:sqref>E39</xm:sqref>
        </x14:dataValidation>
        <x14:dataValidation type="list" xr:uid="{E3B0C2F5-4A65-4C38-AE7C-AC28A339F672}" error="Please choose feedback from drop down only." errorTitle="An invalid feedback was entered" showErrorMessage="1">
          <x14:formula1>
            <xm:f>Combiners!A:A</xm:f>
          </x14:formula1>
          <xm:sqref>F39</xm:sqref>
        </x14:dataValidation>
        <x14:dataValidation type="list" xr:uid="{BBE1DFCC-B228-40E6-AE40-1A1C18AD3ED9}" error="Please choose feedback from drop down only." errorTitle="An invalid feedback was entered" showErrorMessage="1">
          <x14:formula1>
            <xm:f>Combiners!A:A</xm:f>
          </x14:formula1>
          <xm:sqref>G39</xm:sqref>
        </x14:dataValidation>
        <x14:dataValidation type="list" xr:uid="{E9DB1979-5AFF-4CC3-AE13-6B5A8F5A2D3F}" error="Please choose feedback from drop down only." errorTitle="An invalid feedback was entered" showErrorMessage="1">
          <x14:formula1>
            <xm:f>Combiners!A:A</xm:f>
          </x14:formula1>
          <xm:sqref>H39</xm:sqref>
        </x14:dataValidation>
        <x14:dataValidation type="list" xr:uid="{5240B127-51AA-4EA2-B334-3FBCDF4AF7AB}" error="Please choose feedback from drop down only." errorTitle="An invalid feedback was entered" showErrorMessage="1">
          <x14:formula1>
            <xm:f>Combiners!A:A</xm:f>
          </x14:formula1>
          <xm:sqref>I39</xm:sqref>
        </x14:dataValidation>
        <x14:dataValidation type="list" xr:uid="{412C3708-F16B-4C7B-93A6-4EBF0CE54A01}" error="Please choose feedback from drop down only." errorTitle="An invalid feedback was entered" showErrorMessage="1">
          <x14:formula1>
            <xm:f>Combiners!A:A</xm:f>
          </x14:formula1>
          <xm:sqref>J39</xm:sqref>
        </x14:dataValidation>
        <x14:dataValidation type="list" xr:uid="{EB04D1DF-3223-4B58-B6B1-B0660736745D}" error="Please choose feedback from drop down only." errorTitle="An invalid feedback was entered" showErrorMessage="1">
          <x14:formula1>
            <xm:f>Combiners!A:A</xm:f>
          </x14:formula1>
          <xm:sqref>K39</xm:sqref>
        </x14:dataValidation>
        <x14:dataValidation type="list" xr:uid="{DB8C7325-C6F0-4544-B906-77D1A7ACC19F}" error="Please choose feedback from drop down only." errorTitle="An invalid feedback was entered" showErrorMessage="1">
          <x14:formula1>
            <xm:f>Combiners!A:A</xm:f>
          </x14:formula1>
          <xm:sqref>L39</xm:sqref>
        </x14:dataValidation>
        <x14:dataValidation type="list" xr:uid="{203394C1-0244-4894-B643-D80A46CE3E91}" error="Please choose feedback from drop down only." errorTitle="An invalid feedback was entered" showErrorMessage="1">
          <x14:formula1>
            <xm:f>Combiners!A:A</xm:f>
          </x14:formula1>
          <xm:sqref>M39</xm:sqref>
        </x14:dataValidation>
        <x14:dataValidation type="list" xr:uid="{D7E963AD-B1A5-431F-9A9A-B51677952D41}" error="Please choose feedback from drop down only." errorTitle="An invalid feedback was entered" showErrorMessage="1">
          <x14:formula1>
            <xm:f>Combiners!A:A</xm:f>
          </x14:formula1>
          <xm:sqref>N39</xm:sqref>
        </x14:dataValidation>
        <x14:dataValidation type="list" xr:uid="{49C11FFD-0605-4E8B-A823-608A41F8A423}" error="Please choose feedback from drop down only." errorTitle="An invalid feedback was entered" showErrorMessage="1">
          <x14:formula1>
            <xm:f>Combiners!A:A</xm:f>
          </x14:formula1>
          <xm:sqref>O39</xm:sqref>
        </x14:dataValidation>
        <x14:dataValidation type="list" xr:uid="{B7D60635-148C-4C52-9BB0-22CB05EE5B6E}" error="Please choose feedback from drop down only." errorTitle="An invalid feedback was entered" showErrorMessage="1">
          <x14:formula1>
            <xm:f>Combiners!A:A</xm:f>
          </x14:formula1>
          <xm:sqref>P39</xm:sqref>
        </x14:dataValidation>
        <x14:dataValidation type="list" xr:uid="{463BE2A3-2A76-47E1-B188-D7D205FC4443}" error="Please choose feedback from drop down only." errorTitle="An invalid feedback was entered" showErrorMessage="1">
          <x14:formula1>
            <xm:f>Combiners!A:A</xm:f>
          </x14:formula1>
          <xm:sqref>Q39</xm:sqref>
        </x14:dataValidation>
        <x14:dataValidation type="list" xr:uid="{7F6BA4AA-035D-4753-A987-F251ABB82779}" error="Please choose feedback from drop down only." errorTitle="An invalid feedback was entered" showErrorMessage="0">
          <x14:formula1>
            <xm:f>RRUs!A:A</xm:f>
          </x14:formula1>
          <xm:sqref>C35</xm:sqref>
        </x14:dataValidation>
        <x14:dataValidation type="list" xr:uid="{2B4EA201-D99C-4981-B25D-93EFE575DE9D}" error="Please choose feedback from drop down only." errorTitle="An invalid feedback was entered" showErrorMessage="0">
          <x14:formula1>
            <xm:f>RRUs!A:A</xm:f>
          </x14:formula1>
          <xm:sqref>D35</xm:sqref>
        </x14:dataValidation>
        <x14:dataValidation type="list" xr:uid="{251DB197-FD98-4342-9052-BC0370656EB7}" error="Please choose feedback from drop down only." errorTitle="An invalid feedback was entered" showErrorMessage="0">
          <x14:formula1>
            <xm:f>RRUs!A:A</xm:f>
          </x14:formula1>
          <xm:sqref>E35</xm:sqref>
        </x14:dataValidation>
        <x14:dataValidation type="list" xr:uid="{5996AF10-88E1-4084-A4DA-DF0E77DF88E4}" error="Please choose feedback from drop down only." errorTitle="An invalid feedback was entered" showErrorMessage="0">
          <x14:formula1>
            <xm:f>RRUs!A:A</xm:f>
          </x14:formula1>
          <xm:sqref>F35</xm:sqref>
        </x14:dataValidation>
        <x14:dataValidation type="list" xr:uid="{654081C6-0F53-4646-BEC1-E50AC3E16E04}" error="Please choose feedback from drop down only." errorTitle="An invalid feedback was entered" showErrorMessage="0">
          <x14:formula1>
            <xm:f>RRUs!A:A</xm:f>
          </x14:formula1>
          <xm:sqref>G35</xm:sqref>
        </x14:dataValidation>
        <x14:dataValidation type="list" xr:uid="{4CF42B13-0681-4338-890D-F170125B120A}" error="Please choose feedback from drop down only." errorTitle="An invalid feedback was entered" showErrorMessage="0">
          <x14:formula1>
            <xm:f>RRUs!A:A</xm:f>
          </x14:formula1>
          <xm:sqref>H35</xm:sqref>
        </x14:dataValidation>
        <x14:dataValidation type="list" xr:uid="{0629EED1-8289-4A1B-AD6D-32708E1A39FD}" error="Please choose feedback from drop down only." errorTitle="An invalid feedback was entered" showErrorMessage="0">
          <x14:formula1>
            <xm:f>RRUs!A:A</xm:f>
          </x14:formula1>
          <xm:sqref>I35</xm:sqref>
        </x14:dataValidation>
        <x14:dataValidation type="list" xr:uid="{A81B29E2-7DC8-4BD2-9047-D0BBA080190E}" error="Please choose feedback from drop down only." errorTitle="An invalid feedback was entered" showErrorMessage="0">
          <x14:formula1>
            <xm:f>RRUs!A:A</xm:f>
          </x14:formula1>
          <xm:sqref>J35</xm:sqref>
        </x14:dataValidation>
        <x14:dataValidation type="list" xr:uid="{AE30B3F2-B49E-4E91-86A3-27C1785847AD}" error="Please choose feedback from drop down only." errorTitle="An invalid feedback was entered" showErrorMessage="0">
          <x14:formula1>
            <xm:f>RRUs!A:A</xm:f>
          </x14:formula1>
          <xm:sqref>K35</xm:sqref>
        </x14:dataValidation>
        <x14:dataValidation type="list" xr:uid="{E2CD4D13-F4E3-4482-92C5-C6FFACB91AEE}" error="Please choose feedback from drop down only." errorTitle="An invalid feedback was entered" showErrorMessage="0">
          <x14:formula1>
            <xm:f>RRUs!A:A</xm:f>
          </x14:formula1>
          <xm:sqref>L35</xm:sqref>
        </x14:dataValidation>
        <x14:dataValidation type="list" xr:uid="{678BC397-977A-46A7-89BB-4F1675C1360F}" error="Please choose feedback from drop down only." errorTitle="An invalid feedback was entered" showErrorMessage="0">
          <x14:formula1>
            <xm:f>RRUs!A:A</xm:f>
          </x14:formula1>
          <xm:sqref>M35</xm:sqref>
        </x14:dataValidation>
        <x14:dataValidation type="list" xr:uid="{B14F95E9-2BA9-4DA1-8BB1-BC8BB2B64475}" error="Please choose feedback from drop down only." errorTitle="An invalid feedback was entered" showErrorMessage="0">
          <x14:formula1>
            <xm:f>RRUs!A:A</xm:f>
          </x14:formula1>
          <xm:sqref>N35</xm:sqref>
        </x14:dataValidation>
        <x14:dataValidation type="list" xr:uid="{02299FA6-B8F3-4BF8-BDE0-32874A2FBF22}" error="Please choose feedback from drop down only." errorTitle="An invalid feedback was entered" showErrorMessage="0">
          <x14:formula1>
            <xm:f>RRUs!A:A</xm:f>
          </x14:formula1>
          <xm:sqref>O35</xm:sqref>
        </x14:dataValidation>
        <x14:dataValidation type="list" xr:uid="{F9836E7E-520B-4516-8637-6EBCA89A2E11}" error="Please choose feedback from drop down only." errorTitle="An invalid feedback was entered" showErrorMessage="0">
          <x14:formula1>
            <xm:f>RRUs!A:A</xm:f>
          </x14:formula1>
          <xm:sqref>P35</xm:sqref>
        </x14:dataValidation>
        <x14:dataValidation type="list" xr:uid="{129D6DFA-6701-424D-986F-E0D2D8FD4D85}" error="Please choose feedback from drop down only." errorTitle="An invalid feedback was entered" showErrorMessage="0">
          <x14:formula1>
            <xm:f>RRUs!A:A</xm:f>
          </x14:formula1>
          <xm:sqref>Q35</xm:sqref>
        </x14:dataValidation>
        <x14:dataValidation type="list" xr:uid="{686B73D3-1E01-4C43-9482-A92422E45FB2}" error="Please choose feedback from drop down only." errorTitle="An invalid feedback was entered" showErrorMessage="1">
          <x14:formula1>
            <xm:f>Combiners!A:A</xm:f>
          </x14:formula1>
          <xm:sqref>C41</xm:sqref>
        </x14:dataValidation>
        <x14:dataValidation type="list" xr:uid="{033F368F-A06C-4343-9716-20F2EF15301B}" error="Please choose feedback from drop down only." errorTitle="An invalid feedback was entered" showErrorMessage="1">
          <x14:formula1>
            <xm:f>Combiners!A:A</xm:f>
          </x14:formula1>
          <xm:sqref>D41</xm:sqref>
        </x14:dataValidation>
        <x14:dataValidation type="list" xr:uid="{C7A10940-4ED8-4127-B71D-FD16A2799CAC}" error="Please choose feedback from drop down only." errorTitle="An invalid feedback was entered" showErrorMessage="1">
          <x14:formula1>
            <xm:f>Combiners!A:A</xm:f>
          </x14:formula1>
          <xm:sqref>E41</xm:sqref>
        </x14:dataValidation>
        <x14:dataValidation type="list" xr:uid="{9A3A56D3-45D0-4AB3-AF7E-99240F7B340D}" error="Please choose feedback from drop down only." errorTitle="An invalid feedback was entered" showErrorMessage="1">
          <x14:formula1>
            <xm:f>Combiners!A:A</xm:f>
          </x14:formula1>
          <xm:sqref>F41</xm:sqref>
        </x14:dataValidation>
        <x14:dataValidation type="list" xr:uid="{AF387575-BDBE-46AB-A691-BDEBF3EF2CCC}" error="Please choose feedback from drop down only." errorTitle="An invalid feedback was entered" showErrorMessage="1">
          <x14:formula1>
            <xm:f>Combiners!A:A</xm:f>
          </x14:formula1>
          <xm:sqref>G41</xm:sqref>
        </x14:dataValidation>
        <x14:dataValidation type="list" xr:uid="{06E6FF57-7D45-485E-8ABD-E679B1FC740A}" error="Please choose feedback from drop down only." errorTitle="An invalid feedback was entered" showErrorMessage="1">
          <x14:formula1>
            <xm:f>Combiners!A:A</xm:f>
          </x14:formula1>
          <xm:sqref>H41</xm:sqref>
        </x14:dataValidation>
        <x14:dataValidation type="list" xr:uid="{35618011-C93A-47B1-8B86-7E65ACAAE985}" error="Please choose feedback from drop down only." errorTitle="An invalid feedback was entered" showErrorMessage="1">
          <x14:formula1>
            <xm:f>Combiners!A:A</xm:f>
          </x14:formula1>
          <xm:sqref>I41</xm:sqref>
        </x14:dataValidation>
        <x14:dataValidation type="list" xr:uid="{52E33E3F-6573-40AC-8181-0B8AC633ED73}" error="Please choose feedback from drop down only." errorTitle="An invalid feedback was entered" showErrorMessage="1">
          <x14:formula1>
            <xm:f>Combiners!A:A</xm:f>
          </x14:formula1>
          <xm:sqref>J41</xm:sqref>
        </x14:dataValidation>
        <x14:dataValidation type="list" xr:uid="{8797D82E-0DA7-421E-8718-39BA04885324}" error="Please choose feedback from drop down only." errorTitle="An invalid feedback was entered" showErrorMessage="1">
          <x14:formula1>
            <xm:f>Combiners!A:A</xm:f>
          </x14:formula1>
          <xm:sqref>K41</xm:sqref>
        </x14:dataValidation>
        <x14:dataValidation type="list" xr:uid="{E8DE0137-75AC-47C8-8D33-79EEAFB4C4F2}" error="Please choose feedback from drop down only." errorTitle="An invalid feedback was entered" showErrorMessage="1">
          <x14:formula1>
            <xm:f>Combiners!A:A</xm:f>
          </x14:formula1>
          <xm:sqref>L41</xm:sqref>
        </x14:dataValidation>
        <x14:dataValidation type="list" xr:uid="{BD34AAC7-0B3E-4C45-BBA6-238CBD6EFEBF}" error="Please choose feedback from drop down only." errorTitle="An invalid feedback was entered" showErrorMessage="1">
          <x14:formula1>
            <xm:f>Combiners!A:A</xm:f>
          </x14:formula1>
          <xm:sqref>M41</xm:sqref>
        </x14:dataValidation>
        <x14:dataValidation type="list" xr:uid="{8777A2CC-EA25-45DB-B6F8-162BABE7AA37}" error="Please choose feedback from drop down only." errorTitle="An invalid feedback was entered" showErrorMessage="1">
          <x14:formula1>
            <xm:f>Combiners!A:A</xm:f>
          </x14:formula1>
          <xm:sqref>N41</xm:sqref>
        </x14:dataValidation>
        <x14:dataValidation type="list" xr:uid="{D3706C56-0B68-4AFC-BECF-519C92F43009}" error="Please choose feedback from drop down only." errorTitle="An invalid feedback was entered" showErrorMessage="1">
          <x14:formula1>
            <xm:f>Combiners!A:A</xm:f>
          </x14:formula1>
          <xm:sqref>O41</xm:sqref>
        </x14:dataValidation>
        <x14:dataValidation type="list" xr:uid="{39DAC00F-046C-42EF-91D0-676472405BAF}" error="Please choose feedback from drop down only." errorTitle="An invalid feedback was entered" showErrorMessage="1">
          <x14:formula1>
            <xm:f>Combiners!A:A</xm:f>
          </x14:formula1>
          <xm:sqref>P41</xm:sqref>
        </x14:dataValidation>
        <x14:dataValidation type="list" xr:uid="{B316CDB7-94F9-4269-A392-087C7CD58752}" error="Please choose feedback from drop down only." errorTitle="An invalid feedback was entered" showErrorMessage="1">
          <x14:formula1>
            <xm:f>Combiners!A:A</xm:f>
          </x14:formula1>
          <xm:sqref>Q41</xm:sqref>
        </x14:dataValidation>
      </x14:dataValidations>
    </ext>
  </extLst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mc:Ignorable="x14ac xr">
  <sheetPr codeName="Sheet11"/>
  <dimension ref="A1:H240"/>
  <sheetViews>
    <sheetView tabSelected="1" topLeftCell="A139" workbookViewId="0">
      <selection activeCell="C157" sqref="C157"/>
    </sheetView>
  </sheetViews>
  <sheetFormatPr defaultColWidth="8.86328125" defaultRowHeight="12.75"/>
  <cols>
    <col min="1" max="1" bestFit="1" width="44.1328125" customWidth="1" style="21"/>
    <col min="2" max="2" bestFit="1" width="8.19921875" customWidth="1" style="21"/>
    <col min="3" max="3" bestFit="1" width="63.3984375" customWidth="1" style="21"/>
    <col min="4" max="4" bestFit="1" width="8.796875" customWidth="1" style="21"/>
    <col min="5" max="16384" width="8.86328125" customWidth="1" style="21"/>
  </cols>
  <sheetData>
    <row r="1" ht="14.65">
      <c r="A1" s="144"/>
      <c r="B1" s="145" t="s">
        <v>573</v>
      </c>
      <c r="C1" s="146" t="s">
        <v>574</v>
      </c>
      <c r="D1" s="147" t="s">
        <v>575</v>
      </c>
    </row>
    <row r="2" ht="14.25">
      <c r="A2" s="148" t="s">
        <v>576</v>
      </c>
      <c r="B2" s="149">
        <v>10026893</v>
      </c>
      <c r="C2" s="150" t="s">
        <v>577</v>
      </c>
      <c r="D2" s="151"/>
    </row>
    <row r="3" ht="14.25">
      <c r="A3" s="152" t="s">
        <v>576</v>
      </c>
      <c r="B3" s="153">
        <v>10027419</v>
      </c>
      <c r="C3" s="154" t="s">
        <v>578</v>
      </c>
      <c r="D3" s="155"/>
    </row>
    <row r="4" ht="14.25">
      <c r="A4" s="152" t="s">
        <v>576</v>
      </c>
      <c r="B4" s="153">
        <v>10026032</v>
      </c>
      <c r="C4" s="154" t="s">
        <v>579</v>
      </c>
      <c r="D4" s="155"/>
    </row>
    <row r="5" ht="14.25">
      <c r="A5" s="152" t="s">
        <v>576</v>
      </c>
      <c r="B5" s="153">
        <v>10026035</v>
      </c>
      <c r="C5" s="154" t="s">
        <v>580</v>
      </c>
      <c r="D5" s="155"/>
    </row>
    <row r="6" ht="14.65">
      <c r="A6" s="156" t="s">
        <v>576</v>
      </c>
      <c r="B6" s="157">
        <v>10027363</v>
      </c>
      <c r="C6" s="158" t="s">
        <v>581</v>
      </c>
      <c r="D6" s="159"/>
    </row>
    <row r="7" ht="14.25">
      <c r="A7" s="148" t="s">
        <v>582</v>
      </c>
      <c r="B7" s="149">
        <v>10027278</v>
      </c>
      <c r="C7" s="150" t="s">
        <v>583</v>
      </c>
      <c r="D7" s="151"/>
    </row>
    <row r="8" ht="14.25">
      <c r="A8" s="152" t="s">
        <v>584</v>
      </c>
      <c r="B8" s="153">
        <v>10027361</v>
      </c>
      <c r="C8" s="154" t="s">
        <v>585</v>
      </c>
      <c r="D8" s="155"/>
    </row>
    <row r="9" ht="14.65">
      <c r="A9" s="156" t="s">
        <v>586</v>
      </c>
      <c r="B9" s="157">
        <v>10027360</v>
      </c>
      <c r="C9" s="158" t="s">
        <v>587</v>
      </c>
      <c r="D9" s="159"/>
    </row>
    <row r="10" ht="14.25">
      <c r="A10" s="148" t="s">
        <v>588</v>
      </c>
      <c r="B10" s="149">
        <v>10027352</v>
      </c>
      <c r="C10" s="150" t="s">
        <v>589</v>
      </c>
      <c r="D10" s="151"/>
    </row>
    <row r="11" ht="14.25">
      <c r="A11" s="152" t="s">
        <v>588</v>
      </c>
      <c r="B11" s="153">
        <v>10027510</v>
      </c>
      <c r="C11" s="154" t="s">
        <v>590</v>
      </c>
      <c r="D11" s="155"/>
    </row>
    <row r="12" ht="14.25">
      <c r="A12" s="152" t="s">
        <v>588</v>
      </c>
      <c r="B12" s="153">
        <v>10027508</v>
      </c>
      <c r="C12" s="154" t="s">
        <v>591</v>
      </c>
      <c r="D12" s="155"/>
    </row>
    <row r="13" ht="14.25">
      <c r="A13" s="152" t="s">
        <v>592</v>
      </c>
      <c r="B13" s="153">
        <v>10027269</v>
      </c>
      <c r="C13" s="154" t="s">
        <v>203</v>
      </c>
      <c r="D13" s="155"/>
    </row>
    <row r="14" ht="14.25">
      <c r="A14" s="152" t="s">
        <v>593</v>
      </c>
      <c r="B14" s="153">
        <v>10029116</v>
      </c>
      <c r="C14" s="154" t="s">
        <v>245</v>
      </c>
      <c r="D14" s="155"/>
    </row>
    <row r="15" ht="14.25">
      <c r="A15" s="152" t="s">
        <v>211</v>
      </c>
      <c r="B15" s="153">
        <v>10031384</v>
      </c>
      <c r="C15" s="154" t="s">
        <v>211</v>
      </c>
      <c r="D15" s="155"/>
    </row>
    <row r="16" ht="14.25">
      <c r="A16" s="152" t="s">
        <v>202</v>
      </c>
      <c r="B16" s="153">
        <v>10031147</v>
      </c>
      <c r="C16" s="154" t="s">
        <v>594</v>
      </c>
      <c r="D16" s="155"/>
    </row>
    <row r="17" ht="14.25">
      <c r="A17" s="152" t="s">
        <v>202</v>
      </c>
      <c r="B17" s="153">
        <v>10031386</v>
      </c>
      <c r="C17" s="154" t="s">
        <v>595</v>
      </c>
      <c r="D17" s="155"/>
    </row>
    <row r="18" ht="14.25">
      <c r="A18" s="152" t="s">
        <v>202</v>
      </c>
      <c r="B18" s="153">
        <v>10022756</v>
      </c>
      <c r="C18" s="154" t="s">
        <v>596</v>
      </c>
      <c r="D18" s="155"/>
    </row>
    <row r="19" ht="14.25">
      <c r="A19" s="152" t="s">
        <v>202</v>
      </c>
      <c r="B19" s="153">
        <v>10022753</v>
      </c>
      <c r="C19" s="154" t="s">
        <v>597</v>
      </c>
      <c r="D19" s="155"/>
    </row>
    <row r="20" ht="14.25">
      <c r="A20" s="152" t="s">
        <v>202</v>
      </c>
      <c r="B20" s="153">
        <v>10022754</v>
      </c>
      <c r="C20" s="154" t="s">
        <v>598</v>
      </c>
      <c r="D20" s="155"/>
    </row>
    <row r="21" ht="14.25">
      <c r="A21" s="152" t="s">
        <v>202</v>
      </c>
      <c r="B21" s="153">
        <v>10022757</v>
      </c>
      <c r="C21" s="154" t="s">
        <v>599</v>
      </c>
      <c r="D21" s="155"/>
    </row>
    <row r="22" ht="14.25">
      <c r="A22" s="152" t="s">
        <v>202</v>
      </c>
      <c r="B22" s="153">
        <v>10026413</v>
      </c>
      <c r="C22" s="154" t="s">
        <v>223</v>
      </c>
      <c r="D22" s="155"/>
    </row>
    <row r="23" ht="14.25">
      <c r="A23" s="152" t="s">
        <v>202</v>
      </c>
      <c r="B23" s="153">
        <v>10027273</v>
      </c>
      <c r="C23" s="154" t="s">
        <v>217</v>
      </c>
      <c r="D23" s="155"/>
    </row>
    <row r="24" ht="14.25">
      <c r="A24" s="152" t="s">
        <v>600</v>
      </c>
      <c r="B24" s="153">
        <v>10025643</v>
      </c>
      <c r="C24" s="154" t="s">
        <v>601</v>
      </c>
      <c r="D24" s="155"/>
    </row>
    <row r="25" ht="14.25">
      <c r="A25" s="152" t="s">
        <v>602</v>
      </c>
      <c r="B25" s="153">
        <v>10028663</v>
      </c>
      <c r="C25" s="154" t="s">
        <v>235</v>
      </c>
      <c r="D25" s="155"/>
    </row>
    <row r="26" ht="14.25">
      <c r="A26" s="152" t="s">
        <v>603</v>
      </c>
      <c r="B26" s="153">
        <v>10031088</v>
      </c>
      <c r="C26" s="154" t="s">
        <v>187</v>
      </c>
      <c r="D26" s="155"/>
    </row>
    <row r="27" ht="14.25">
      <c r="A27" s="152" t="s">
        <v>603</v>
      </c>
      <c r="B27" s="153">
        <v>10031387</v>
      </c>
      <c r="C27" s="154" t="s">
        <v>604</v>
      </c>
      <c r="D27" s="155"/>
    </row>
    <row r="28" ht="14.25">
      <c r="A28" s="152" t="s">
        <v>605</v>
      </c>
      <c r="B28" s="153">
        <v>10027270</v>
      </c>
      <c r="C28" s="154" t="s">
        <v>606</v>
      </c>
      <c r="D28" s="155"/>
    </row>
    <row r="29" ht="14.25">
      <c r="A29" s="152" t="s">
        <v>605</v>
      </c>
      <c r="B29" s="153">
        <v>10022130</v>
      </c>
      <c r="C29" s="154" t="s">
        <v>240</v>
      </c>
      <c r="D29" s="155"/>
    </row>
    <row r="30" ht="14.25">
      <c r="A30" s="152" t="s">
        <v>605</v>
      </c>
      <c r="B30" s="153">
        <v>10024385</v>
      </c>
      <c r="C30" s="154" t="s">
        <v>243</v>
      </c>
      <c r="D30" s="155"/>
    </row>
    <row r="31" ht="14.25">
      <c r="A31" s="152" t="s">
        <v>605</v>
      </c>
      <c r="B31" s="153">
        <v>10027340</v>
      </c>
      <c r="C31" s="154" t="s">
        <v>190</v>
      </c>
      <c r="D31" s="155"/>
    </row>
    <row r="32" ht="14.25">
      <c r="A32" s="152" t="s">
        <v>605</v>
      </c>
      <c r="B32" s="153">
        <v>10027271</v>
      </c>
      <c r="C32" s="154" t="s">
        <v>193</v>
      </c>
      <c r="D32" s="155"/>
    </row>
    <row r="33" ht="14.25">
      <c r="A33" s="160" t="s">
        <v>605</v>
      </c>
      <c r="B33" s="153">
        <v>10026709</v>
      </c>
      <c r="C33" s="154" t="s">
        <v>196</v>
      </c>
      <c r="D33" s="155"/>
    </row>
    <row r="34" ht="14.25">
      <c r="A34" s="160" t="s">
        <v>605</v>
      </c>
      <c r="B34" s="153">
        <v>10031393</v>
      </c>
      <c r="C34" s="154" t="s">
        <v>607</v>
      </c>
      <c r="D34" s="155"/>
    </row>
    <row r="35" ht="14.25">
      <c r="A35" s="160" t="s">
        <v>605</v>
      </c>
      <c r="B35" s="153">
        <v>10031089</v>
      </c>
      <c r="C35" s="154" t="s">
        <v>608</v>
      </c>
      <c r="D35" s="155"/>
    </row>
    <row r="36" ht="14.65">
      <c r="A36" s="161" t="s">
        <v>605</v>
      </c>
      <c r="B36" s="162">
        <v>10031385</v>
      </c>
      <c r="C36" s="163" t="s">
        <v>199</v>
      </c>
      <c r="D36" s="164"/>
    </row>
    <row r="37" ht="14.65">
      <c r="A37" s="165" t="s">
        <v>609</v>
      </c>
      <c r="B37" s="166">
        <v>10027656</v>
      </c>
      <c r="C37" s="167" t="s">
        <v>610</v>
      </c>
      <c r="D37" s="168"/>
    </row>
    <row r="38" ht="14.25">
      <c r="A38" s="148" t="s">
        <v>611</v>
      </c>
      <c r="B38" s="149">
        <v>10026879</v>
      </c>
      <c r="C38" s="150" t="s">
        <v>612</v>
      </c>
      <c r="D38" s="151"/>
    </row>
    <row r="39" ht="14.25">
      <c r="A39" s="169" t="s">
        <v>611</v>
      </c>
      <c r="B39" s="170"/>
      <c r="C39" s="171" t="s">
        <v>613</v>
      </c>
      <c r="D39" s="172"/>
    </row>
    <row r="40" ht="14.25">
      <c r="A40" s="169" t="s">
        <v>611</v>
      </c>
      <c r="B40" s="170"/>
      <c r="C40" s="171" t="s">
        <v>281</v>
      </c>
      <c r="D40" s="172"/>
    </row>
    <row r="41" ht="14.25">
      <c r="A41" s="169" t="s">
        <v>611</v>
      </c>
      <c r="B41" s="170"/>
      <c r="C41" s="171" t="s">
        <v>282</v>
      </c>
      <c r="D41" s="172"/>
    </row>
    <row r="42" ht="14.25">
      <c r="A42" s="152" t="s">
        <v>611</v>
      </c>
      <c r="B42" s="153">
        <v>10026880</v>
      </c>
      <c r="C42" s="154" t="s">
        <v>614</v>
      </c>
      <c r="D42" s="155"/>
    </row>
    <row r="43" ht="14.25">
      <c r="A43" s="152" t="s">
        <v>611</v>
      </c>
      <c r="B43" s="153">
        <v>10026881</v>
      </c>
      <c r="C43" s="154" t="s">
        <v>615</v>
      </c>
      <c r="D43" s="155"/>
    </row>
    <row r="44" ht="14.25">
      <c r="A44" s="152" t="s">
        <v>611</v>
      </c>
      <c r="B44" s="153">
        <v>10026882</v>
      </c>
      <c r="C44" s="154" t="s">
        <v>616</v>
      </c>
      <c r="D44" s="155"/>
    </row>
    <row r="45" ht="14.25">
      <c r="A45" s="152" t="s">
        <v>611</v>
      </c>
      <c r="B45" s="153">
        <v>10026883</v>
      </c>
      <c r="C45" s="154" t="s">
        <v>617</v>
      </c>
      <c r="D45" s="155"/>
    </row>
    <row r="46" ht="14.65">
      <c r="A46" s="156" t="s">
        <v>611</v>
      </c>
      <c r="B46" s="157">
        <v>10026884</v>
      </c>
      <c r="C46" s="158" t="s">
        <v>618</v>
      </c>
      <c r="D46" s="159"/>
    </row>
    <row r="47" ht="14.25">
      <c r="A47" s="152" t="s">
        <v>619</v>
      </c>
      <c r="B47" s="153">
        <v>10031395</v>
      </c>
      <c r="C47" s="154" t="s">
        <v>620</v>
      </c>
      <c r="D47" s="155"/>
    </row>
    <row r="48" ht="14.25">
      <c r="A48" s="152" t="s">
        <v>619</v>
      </c>
      <c r="B48" s="153">
        <v>10031394</v>
      </c>
      <c r="C48" s="154" t="s">
        <v>621</v>
      </c>
      <c r="D48" s="155"/>
    </row>
    <row r="49" ht="14.25">
      <c r="A49" s="152" t="s">
        <v>619</v>
      </c>
      <c r="B49" s="153">
        <v>10023733</v>
      </c>
      <c r="C49" s="154" t="s">
        <v>622</v>
      </c>
      <c r="D49" s="155"/>
    </row>
    <row r="50" ht="14.25">
      <c r="A50" s="152" t="s">
        <v>619</v>
      </c>
      <c r="B50" s="153">
        <v>10024251</v>
      </c>
      <c r="C50" s="154" t="s">
        <v>623</v>
      </c>
      <c r="D50" s="155"/>
    </row>
    <row r="51" ht="14.25">
      <c r="A51" s="152" t="s">
        <v>619</v>
      </c>
      <c r="B51" s="153">
        <v>10027275</v>
      </c>
      <c r="C51" s="154" t="s">
        <v>624</v>
      </c>
      <c r="D51" s="155"/>
    </row>
    <row r="52" ht="14.25">
      <c r="A52" s="152" t="s">
        <v>619</v>
      </c>
      <c r="B52" s="153">
        <v>10030661</v>
      </c>
      <c r="C52" s="154" t="s">
        <v>625</v>
      </c>
      <c r="D52" s="155"/>
    </row>
    <row r="53" ht="14.25">
      <c r="A53" s="152" t="s">
        <v>619</v>
      </c>
      <c r="B53" s="153">
        <v>10027274</v>
      </c>
      <c r="C53" s="154" t="s">
        <v>626</v>
      </c>
      <c r="D53" s="155"/>
    </row>
    <row r="54" ht="14.25">
      <c r="A54" s="152" t="s">
        <v>619</v>
      </c>
      <c r="B54" s="153">
        <v>10027276</v>
      </c>
      <c r="C54" s="154" t="s">
        <v>627</v>
      </c>
      <c r="D54" s="155"/>
    </row>
    <row r="55" ht="14.25">
      <c r="A55" s="152" t="s">
        <v>619</v>
      </c>
      <c r="B55" s="153">
        <v>10030662</v>
      </c>
      <c r="C55" s="154" t="s">
        <v>628</v>
      </c>
      <c r="D55" s="155"/>
    </row>
    <row r="56" ht="14.25">
      <c r="A56" s="152" t="s">
        <v>619</v>
      </c>
      <c r="B56" s="153">
        <v>10031146</v>
      </c>
      <c r="C56" s="154" t="s">
        <v>629</v>
      </c>
      <c r="D56" s="155"/>
    </row>
    <row r="57" ht="14.25">
      <c r="A57" s="152" t="s">
        <v>619</v>
      </c>
      <c r="B57" s="153">
        <v>10031396</v>
      </c>
      <c r="C57" s="154" t="s">
        <v>630</v>
      </c>
      <c r="D57" s="155"/>
    </row>
    <row r="58" ht="14.25">
      <c r="A58" s="152" t="s">
        <v>619</v>
      </c>
      <c r="B58" s="153">
        <v>10023703</v>
      </c>
      <c r="C58" s="154" t="s">
        <v>226</v>
      </c>
      <c r="D58" s="155"/>
    </row>
    <row r="59" ht="14.25">
      <c r="A59" s="152" t="s">
        <v>631</v>
      </c>
      <c r="B59" s="153">
        <v>10027420</v>
      </c>
      <c r="C59" s="154" t="s">
        <v>632</v>
      </c>
      <c r="D59" s="155"/>
    </row>
    <row r="60" ht="14.25">
      <c r="A60" s="152" t="s">
        <v>633</v>
      </c>
      <c r="B60" s="153">
        <v>10023494</v>
      </c>
      <c r="C60" s="154" t="s">
        <v>634</v>
      </c>
      <c r="D60" s="155"/>
    </row>
    <row r="61" ht="14.25">
      <c r="A61" s="152" t="s">
        <v>619</v>
      </c>
      <c r="B61" s="153">
        <v>10029705</v>
      </c>
      <c r="C61" s="154" t="s">
        <v>635</v>
      </c>
      <c r="D61" s="155"/>
    </row>
    <row r="62" ht="14.25">
      <c r="A62" s="152" t="s">
        <v>619</v>
      </c>
      <c r="B62" s="153">
        <v>10030914</v>
      </c>
      <c r="C62" s="154" t="s">
        <v>636</v>
      </c>
      <c r="D62" s="155"/>
    </row>
    <row r="63" ht="14.25">
      <c r="A63" s="152" t="s">
        <v>619</v>
      </c>
      <c r="B63" s="153"/>
      <c r="C63" s="154" t="s">
        <v>637</v>
      </c>
      <c r="D63" s="155"/>
    </row>
    <row r="64" ht="14.25">
      <c r="A64" s="152" t="s">
        <v>619</v>
      </c>
      <c r="B64" s="153">
        <v>10030566</v>
      </c>
      <c r="C64" s="154" t="s">
        <v>638</v>
      </c>
      <c r="D64" s="155"/>
    </row>
    <row r="65" ht="14.25">
      <c r="A65" s="152" t="s">
        <v>619</v>
      </c>
      <c r="B65" s="188">
        <v>10032823</v>
      </c>
      <c r="C65" s="154" t="s">
        <v>639</v>
      </c>
      <c r="D65" s="155"/>
      <c r="E65" s="143"/>
      <c r="F65" s="143"/>
      <c r="G65" s="143"/>
      <c r="H65" s="143"/>
    </row>
    <row r="66" ht="14.25">
      <c r="A66" s="152" t="s">
        <v>640</v>
      </c>
      <c r="B66" s="153">
        <v>10023684</v>
      </c>
      <c r="C66" s="154" t="s">
        <v>641</v>
      </c>
      <c r="D66" s="155"/>
      <c r="E66" s="143"/>
      <c r="F66" s="143"/>
      <c r="G66" s="143"/>
      <c r="H66" s="143"/>
    </row>
    <row r="67" ht="14.25">
      <c r="A67" s="152" t="s">
        <v>642</v>
      </c>
      <c r="B67" s="153">
        <v>10027546</v>
      </c>
      <c r="C67" s="154" t="s">
        <v>643</v>
      </c>
      <c r="D67" s="155"/>
      <c r="E67" s="143"/>
      <c r="F67" s="173"/>
      <c r="G67" s="143"/>
      <c r="H67" s="173"/>
    </row>
    <row r="68" ht="14.25">
      <c r="A68" s="152" t="s">
        <v>644</v>
      </c>
      <c r="B68" s="153">
        <v>10028353</v>
      </c>
      <c r="C68" s="154" t="s">
        <v>645</v>
      </c>
      <c r="D68" s="155"/>
      <c r="E68" s="143"/>
      <c r="F68" s="173"/>
      <c r="G68" s="143"/>
      <c r="H68" s="173"/>
    </row>
    <row r="69" ht="14.25">
      <c r="A69" s="152" t="s">
        <v>644</v>
      </c>
      <c r="B69" s="153">
        <v>10026455</v>
      </c>
      <c r="C69" s="154" t="s">
        <v>646</v>
      </c>
      <c r="D69" s="155"/>
      <c r="E69" s="143"/>
      <c r="F69" s="173"/>
      <c r="G69" s="143"/>
      <c r="H69" s="173"/>
    </row>
    <row r="70" ht="14.25">
      <c r="A70" s="152" t="s">
        <v>647</v>
      </c>
      <c r="B70" s="153">
        <v>10026454</v>
      </c>
      <c r="C70" s="154" t="s">
        <v>648</v>
      </c>
      <c r="D70" s="155"/>
      <c r="E70" s="143"/>
      <c r="F70" s="173"/>
      <c r="G70" s="143"/>
      <c r="H70" s="173"/>
    </row>
    <row r="71" ht="14.25">
      <c r="A71" s="152" t="s">
        <v>619</v>
      </c>
      <c r="B71" s="153"/>
      <c r="C71" s="154" t="s">
        <v>649</v>
      </c>
      <c r="D71" s="155"/>
      <c r="E71" s="143"/>
      <c r="F71" s="173"/>
      <c r="G71" s="143"/>
      <c r="H71" s="173"/>
    </row>
    <row r="72" ht="14.25">
      <c r="A72" s="152" t="s">
        <v>619</v>
      </c>
      <c r="B72" s="153"/>
      <c r="C72" s="154" t="s">
        <v>650</v>
      </c>
      <c r="D72" s="155"/>
      <c r="E72" s="143"/>
      <c r="F72" s="173"/>
      <c r="G72" s="143"/>
      <c r="H72" s="173"/>
    </row>
    <row r="73" ht="14.25">
      <c r="A73" s="152" t="s">
        <v>619</v>
      </c>
      <c r="B73" s="153">
        <v>10027511</v>
      </c>
      <c r="C73" s="154" t="s">
        <v>651</v>
      </c>
      <c r="D73" s="155"/>
      <c r="E73" s="143"/>
      <c r="F73" s="173"/>
      <c r="G73" s="143"/>
      <c r="H73" s="173"/>
    </row>
    <row r="74" ht="14.25">
      <c r="A74" s="152" t="s">
        <v>619</v>
      </c>
      <c r="B74" s="153"/>
      <c r="C74" s="154" t="s">
        <v>652</v>
      </c>
      <c r="D74" s="155"/>
      <c r="E74" s="143"/>
      <c r="F74" s="173"/>
      <c r="G74" s="143"/>
      <c r="H74" s="173"/>
    </row>
    <row r="75" ht="14.25">
      <c r="A75" s="152" t="s">
        <v>619</v>
      </c>
      <c r="B75" s="153"/>
      <c r="C75" s="154" t="s">
        <v>653</v>
      </c>
      <c r="D75" s="155"/>
      <c r="E75" s="143"/>
      <c r="F75" s="173"/>
      <c r="G75" s="143"/>
      <c r="H75" s="173"/>
    </row>
    <row r="76" ht="14.25">
      <c r="A76" s="152" t="s">
        <v>619</v>
      </c>
      <c r="B76" s="153"/>
      <c r="C76" s="154" t="s">
        <v>654</v>
      </c>
      <c r="D76" s="155"/>
      <c r="E76" s="143"/>
      <c r="F76" s="173"/>
      <c r="G76" s="143"/>
      <c r="H76" s="173"/>
    </row>
    <row r="77" ht="14.65">
      <c r="A77" s="152" t="s">
        <v>655</v>
      </c>
      <c r="B77" s="153"/>
      <c r="C77" s="154" t="s">
        <v>656</v>
      </c>
      <c r="D77" s="155"/>
      <c r="E77" s="143"/>
      <c r="F77" s="173"/>
      <c r="G77" s="143"/>
      <c r="H77" s="173"/>
    </row>
    <row r="78" ht="14.25">
      <c r="A78" s="148" t="s">
        <v>657</v>
      </c>
      <c r="B78" s="149"/>
      <c r="C78" s="150" t="s">
        <v>658</v>
      </c>
      <c r="D78" s="151"/>
      <c r="E78" s="143"/>
      <c r="F78" s="173"/>
      <c r="G78" s="143"/>
      <c r="H78" s="173"/>
    </row>
    <row r="79" ht="14.25">
      <c r="A79" s="160" t="s">
        <v>659</v>
      </c>
      <c r="B79" s="153"/>
      <c r="C79" s="154" t="s">
        <v>660</v>
      </c>
      <c r="D79" s="155"/>
      <c r="E79" s="143"/>
      <c r="F79" s="143"/>
      <c r="G79" s="143"/>
      <c r="H79" s="143"/>
    </row>
    <row r="80" ht="14.25">
      <c r="A80" s="160" t="s">
        <v>661</v>
      </c>
      <c r="B80" s="153"/>
      <c r="C80" s="154" t="s">
        <v>662</v>
      </c>
      <c r="D80" s="155"/>
      <c r="E80" s="143"/>
      <c r="F80" s="143"/>
      <c r="G80" s="143"/>
      <c r="H80" s="143"/>
    </row>
    <row r="81" ht="14.65">
      <c r="A81" s="174" t="s">
        <v>663</v>
      </c>
      <c r="B81" s="175"/>
      <c r="C81" s="176" t="s">
        <v>664</v>
      </c>
      <c r="D81" s="177"/>
    </row>
    <row r="82" ht="14.25">
      <c r="A82" s="148" t="s">
        <v>665</v>
      </c>
      <c r="B82" s="149">
        <v>10027470</v>
      </c>
      <c r="C82" s="150" t="s">
        <v>666</v>
      </c>
      <c r="D82" s="151"/>
    </row>
    <row r="83" ht="14.25">
      <c r="A83" s="152" t="s">
        <v>665</v>
      </c>
      <c r="B83" s="153">
        <v>10027473</v>
      </c>
      <c r="C83" s="154" t="s">
        <v>667</v>
      </c>
      <c r="D83" s="155"/>
    </row>
    <row r="84" ht="14.25">
      <c r="A84" s="152" t="s">
        <v>665</v>
      </c>
      <c r="B84" s="153">
        <v>10027472</v>
      </c>
      <c r="C84" s="154" t="s">
        <v>668</v>
      </c>
      <c r="D84" s="155"/>
    </row>
    <row r="85" ht="14.65">
      <c r="A85" s="156" t="s">
        <v>669</v>
      </c>
      <c r="B85" s="157">
        <v>10028664</v>
      </c>
      <c r="C85" s="158" t="s">
        <v>670</v>
      </c>
      <c r="D85" s="159"/>
    </row>
    <row r="86" ht="14.25">
      <c r="A86" s="148" t="s">
        <v>671</v>
      </c>
      <c r="B86" s="149">
        <v>10027451</v>
      </c>
      <c r="C86" s="150" t="s">
        <v>672</v>
      </c>
      <c r="D86" s="151"/>
    </row>
    <row r="87" ht="14.25">
      <c r="A87" s="152" t="s">
        <v>671</v>
      </c>
      <c r="B87" s="153">
        <v>10027453</v>
      </c>
      <c r="C87" s="154" t="s">
        <v>673</v>
      </c>
      <c r="D87" s="155"/>
    </row>
    <row r="88" ht="14.25">
      <c r="A88" s="152" t="s">
        <v>671</v>
      </c>
      <c r="B88" s="153">
        <v>10027455</v>
      </c>
      <c r="C88" s="154" t="s">
        <v>598</v>
      </c>
      <c r="D88" s="155"/>
    </row>
    <row r="89" ht="14.25">
      <c r="A89" s="152" t="s">
        <v>671</v>
      </c>
      <c r="B89" s="153">
        <v>10028708</v>
      </c>
      <c r="C89" s="154" t="s">
        <v>674</v>
      </c>
      <c r="D89" s="155"/>
    </row>
    <row r="90" ht="14.25">
      <c r="A90" s="152" t="s">
        <v>675</v>
      </c>
      <c r="B90" s="153"/>
      <c r="C90" s="154" t="s">
        <v>676</v>
      </c>
      <c r="D90" s="155"/>
    </row>
    <row r="91" ht="14.65">
      <c r="A91" s="156" t="s">
        <v>677</v>
      </c>
      <c r="B91" s="157">
        <v>10028665</v>
      </c>
      <c r="C91" s="158" t="s">
        <v>678</v>
      </c>
      <c r="D91" s="159"/>
    </row>
    <row r="92" ht="14.25">
      <c r="A92" s="152" t="s">
        <v>679</v>
      </c>
      <c r="B92" s="153">
        <v>10023117</v>
      </c>
      <c r="C92" s="154" t="s">
        <v>680</v>
      </c>
      <c r="D92" s="155"/>
    </row>
    <row r="93" ht="14.25">
      <c r="A93" s="178" t="s">
        <v>681</v>
      </c>
      <c r="B93" s="162">
        <v>10022081</v>
      </c>
      <c r="C93" s="163" t="s">
        <v>682</v>
      </c>
      <c r="D93" s="164"/>
    </row>
    <row r="94" ht="14.25">
      <c r="A94" s="178" t="s">
        <v>683</v>
      </c>
      <c r="B94" s="162">
        <v>10029943</v>
      </c>
      <c r="C94" s="163" t="s">
        <v>684</v>
      </c>
      <c r="D94" s="164"/>
    </row>
    <row r="95" ht="14.25">
      <c r="A95" s="178" t="s">
        <v>685</v>
      </c>
      <c r="B95" s="162">
        <v>10031510</v>
      </c>
      <c r="C95" s="163" t="s">
        <v>686</v>
      </c>
      <c r="D95" s="164"/>
    </row>
    <row r="96" ht="14.25">
      <c r="A96" s="178" t="s">
        <v>687</v>
      </c>
      <c r="B96" s="162">
        <v>10030034</v>
      </c>
      <c r="C96" s="163" t="s">
        <v>688</v>
      </c>
      <c r="D96" s="164"/>
    </row>
    <row r="97" ht="14.25">
      <c r="A97" s="178" t="s">
        <v>689</v>
      </c>
      <c r="B97" s="162">
        <v>10033081</v>
      </c>
      <c r="C97" s="163" t="s">
        <v>690</v>
      </c>
      <c r="D97" s="164"/>
    </row>
    <row r="98" ht="14.25">
      <c r="A98" s="178" t="s">
        <v>691</v>
      </c>
      <c r="B98" s="162">
        <v>10030949</v>
      </c>
      <c r="C98" s="163" t="s">
        <v>692</v>
      </c>
      <c r="D98" s="164"/>
    </row>
    <row r="99" ht="14.25">
      <c r="A99" s="178" t="s">
        <v>693</v>
      </c>
      <c r="B99" s="162">
        <v>10021933</v>
      </c>
      <c r="C99" s="163" t="s">
        <v>694</v>
      </c>
      <c r="D99" s="164"/>
    </row>
    <row r="100" ht="14.25">
      <c r="A100" s="178" t="s">
        <v>695</v>
      </c>
      <c r="B100" s="162">
        <v>10026568</v>
      </c>
      <c r="C100" s="163" t="s">
        <v>696</v>
      </c>
      <c r="D100" s="164"/>
    </row>
    <row r="101" ht="14.25">
      <c r="A101" s="178" t="s">
        <v>697</v>
      </c>
      <c r="B101" s="162">
        <v>10029831</v>
      </c>
      <c r="C101" s="163" t="s">
        <v>698</v>
      </c>
      <c r="D101" s="164"/>
    </row>
    <row r="102" ht="14.25">
      <c r="A102" s="178" t="s">
        <v>699</v>
      </c>
      <c r="B102" s="162">
        <v>10027558</v>
      </c>
      <c r="C102" s="163" t="s">
        <v>700</v>
      </c>
      <c r="D102" s="164"/>
    </row>
    <row r="103" ht="14.25">
      <c r="A103" s="178" t="s">
        <v>701</v>
      </c>
      <c r="B103" s="162">
        <v>10029642</v>
      </c>
      <c r="C103" s="163" t="s">
        <v>702</v>
      </c>
      <c r="D103" s="164"/>
    </row>
    <row r="104" ht="14.25">
      <c r="A104" s="178" t="s">
        <v>703</v>
      </c>
      <c r="B104" s="162">
        <v>10030100</v>
      </c>
      <c r="C104" s="163" t="s">
        <v>704</v>
      </c>
      <c r="D104" s="164"/>
    </row>
    <row r="105" ht="14.25">
      <c r="A105" s="178" t="s">
        <v>705</v>
      </c>
      <c r="B105" s="162">
        <v>10021347</v>
      </c>
      <c r="C105" s="163" t="s">
        <v>706</v>
      </c>
      <c r="D105" s="164"/>
    </row>
    <row r="106" ht="14.25">
      <c r="A106" s="178" t="s">
        <v>707</v>
      </c>
      <c r="B106" s="162">
        <v>10031030</v>
      </c>
      <c r="C106" s="163" t="s">
        <v>708</v>
      </c>
      <c r="D106" s="164"/>
    </row>
    <row r="107" ht="14.25">
      <c r="A107" s="178" t="s">
        <v>709</v>
      </c>
      <c r="B107" s="162">
        <v>10031031</v>
      </c>
      <c r="C107" s="163" t="s">
        <v>710</v>
      </c>
      <c r="D107" s="164"/>
    </row>
    <row r="108" ht="14.25">
      <c r="A108" s="178" t="s">
        <v>711</v>
      </c>
      <c r="B108" s="162">
        <v>10032530</v>
      </c>
      <c r="C108" s="163" t="s">
        <v>712</v>
      </c>
      <c r="D108" s="164"/>
    </row>
    <row r="109" ht="14.25">
      <c r="A109" s="178" t="s">
        <v>713</v>
      </c>
      <c r="B109" s="162">
        <v>10013256</v>
      </c>
      <c r="C109" s="163" t="s">
        <v>714</v>
      </c>
      <c r="D109" s="164"/>
    </row>
    <row r="110" ht="14.25">
      <c r="A110" s="178" t="s">
        <v>715</v>
      </c>
      <c r="B110" s="162">
        <v>10023086</v>
      </c>
      <c r="C110" s="163" t="s">
        <v>716</v>
      </c>
      <c r="D110" s="164"/>
    </row>
    <row r="111" ht="14.25">
      <c r="A111" s="178" t="s">
        <v>717</v>
      </c>
      <c r="B111" s="162">
        <v>10022092</v>
      </c>
      <c r="C111" s="163" t="s">
        <v>718</v>
      </c>
      <c r="D111" s="164"/>
    </row>
    <row r="112" ht="14.25">
      <c r="A112" s="178" t="s">
        <v>719</v>
      </c>
      <c r="B112" s="162">
        <v>10022093</v>
      </c>
      <c r="C112" s="163" t="s">
        <v>720</v>
      </c>
      <c r="D112" s="164"/>
    </row>
    <row r="113" ht="14.25">
      <c r="A113" s="178" t="s">
        <v>721</v>
      </c>
      <c r="B113" s="162">
        <v>10029911</v>
      </c>
      <c r="C113" s="163" t="s">
        <v>722</v>
      </c>
      <c r="D113" s="164"/>
    </row>
    <row r="114" ht="14.25">
      <c r="A114" s="178" t="s">
        <v>723</v>
      </c>
      <c r="B114" s="162">
        <v>10030405</v>
      </c>
      <c r="C114" s="163" t="s">
        <v>724</v>
      </c>
      <c r="D114" s="164"/>
    </row>
    <row r="115" ht="14.25">
      <c r="A115" s="178" t="s">
        <v>725</v>
      </c>
      <c r="B115" s="162">
        <v>10030986</v>
      </c>
      <c r="C115" s="163" t="s">
        <v>726</v>
      </c>
      <c r="D115" s="164"/>
    </row>
    <row r="116" ht="14.25">
      <c r="A116" s="178" t="s">
        <v>727</v>
      </c>
      <c r="B116" s="162">
        <v>10030809</v>
      </c>
      <c r="C116" s="163" t="s">
        <v>728</v>
      </c>
      <c r="D116" s="164"/>
    </row>
    <row r="117" ht="14.25">
      <c r="A117" s="178" t="s">
        <v>729</v>
      </c>
      <c r="B117" s="162">
        <v>10031596</v>
      </c>
      <c r="C117" s="163" t="s">
        <v>730</v>
      </c>
      <c r="D117" s="164"/>
    </row>
    <row r="118" ht="14.25">
      <c r="A118" s="178" t="s">
        <v>731</v>
      </c>
      <c r="B118" s="162">
        <v>10032286</v>
      </c>
      <c r="C118" s="163" t="s">
        <v>732</v>
      </c>
      <c r="D118" s="164"/>
    </row>
    <row r="119" ht="14.25">
      <c r="A119" s="178" t="s">
        <v>733</v>
      </c>
      <c r="B119" s="162">
        <v>10032287</v>
      </c>
      <c r="C119" s="163" t="s">
        <v>734</v>
      </c>
      <c r="D119" s="164"/>
    </row>
    <row r="120" ht="14.25">
      <c r="A120" s="178" t="s">
        <v>735</v>
      </c>
      <c r="B120" s="162">
        <v>10031597</v>
      </c>
      <c r="C120" s="163" t="s">
        <v>736</v>
      </c>
      <c r="D120" s="164"/>
    </row>
    <row r="121" ht="14.25">
      <c r="A121" s="178" t="s">
        <v>737</v>
      </c>
      <c r="B121" s="162">
        <v>10027557</v>
      </c>
      <c r="C121" s="163" t="s">
        <v>738</v>
      </c>
      <c r="D121" s="164"/>
    </row>
    <row r="122" ht="14.25">
      <c r="A122" s="178" t="s">
        <v>739</v>
      </c>
      <c r="B122" s="162">
        <v>10021306</v>
      </c>
      <c r="C122" s="163" t="s">
        <v>740</v>
      </c>
      <c r="D122" s="164"/>
    </row>
    <row r="123" ht="14.25">
      <c r="A123" s="178" t="s">
        <v>741</v>
      </c>
      <c r="B123" s="162">
        <v>10030821</v>
      </c>
      <c r="C123" s="163" t="s">
        <v>742</v>
      </c>
      <c r="D123" s="164"/>
    </row>
    <row r="124" ht="14.25">
      <c r="A124" s="178" t="s">
        <v>743</v>
      </c>
      <c r="B124" s="162">
        <v>10027555</v>
      </c>
      <c r="C124" s="163" t="s">
        <v>744</v>
      </c>
      <c r="D124" s="164"/>
    </row>
    <row r="125" ht="14.65">
      <c r="A125" s="178" t="s">
        <v>745</v>
      </c>
      <c r="B125" s="162">
        <v>10027556</v>
      </c>
      <c r="C125" s="163" t="s">
        <v>746</v>
      </c>
      <c r="D125" s="164"/>
    </row>
    <row r="126" ht="14.25">
      <c r="A126" s="179" t="s">
        <v>747</v>
      </c>
      <c r="B126" s="180">
        <v>10026565</v>
      </c>
      <c r="C126" s="181" t="s">
        <v>748</v>
      </c>
      <c r="D126" s="182"/>
    </row>
    <row r="127" ht="14.25">
      <c r="A127" s="160" t="s">
        <v>749</v>
      </c>
      <c r="B127" s="153">
        <v>10030033</v>
      </c>
      <c r="C127" s="154" t="s">
        <v>750</v>
      </c>
      <c r="D127" s="155"/>
    </row>
    <row r="128" ht="14.25">
      <c r="A128" s="160" t="s">
        <v>751</v>
      </c>
      <c r="B128" s="153">
        <v>10022107</v>
      </c>
      <c r="C128" s="154" t="s">
        <v>752</v>
      </c>
      <c r="D128" s="164"/>
    </row>
    <row r="129" ht="14.25">
      <c r="A129" s="160" t="s">
        <v>753</v>
      </c>
      <c r="B129" s="153">
        <v>10031511</v>
      </c>
      <c r="C129" s="154" t="s">
        <v>754</v>
      </c>
      <c r="D129" s="164"/>
    </row>
    <row r="130" ht="14.25">
      <c r="A130" s="160" t="s">
        <v>755</v>
      </c>
      <c r="B130" s="153">
        <v>10032941</v>
      </c>
      <c r="C130" s="154" t="s">
        <v>756</v>
      </c>
      <c r="D130" s="164"/>
    </row>
    <row r="131" ht="14.25">
      <c r="A131" s="160" t="s">
        <v>757</v>
      </c>
      <c r="B131" s="153">
        <v>10017344</v>
      </c>
      <c r="C131" s="154" t="s">
        <v>758</v>
      </c>
      <c r="D131" s="164"/>
    </row>
    <row r="132" ht="14.65">
      <c r="A132" s="183" t="s">
        <v>759</v>
      </c>
      <c r="B132" s="153">
        <v>10032809</v>
      </c>
      <c r="C132" s="184" t="s">
        <v>760</v>
      </c>
      <c r="D132" s="159"/>
    </row>
    <row r="133" ht="14.65">
      <c r="A133" s="165" t="s">
        <v>761</v>
      </c>
      <c r="B133" s="166">
        <v>10029819</v>
      </c>
      <c r="C133" s="167" t="s">
        <v>762</v>
      </c>
      <c r="D133" s="168"/>
    </row>
    <row r="134" ht="14.25">
      <c r="A134" s="169" t="s">
        <v>763</v>
      </c>
      <c r="B134" s="170">
        <v>10029408</v>
      </c>
      <c r="C134" s="171" t="s">
        <v>764</v>
      </c>
      <c r="D134" s="172"/>
    </row>
    <row r="135" ht="14.25">
      <c r="A135" s="169" t="s">
        <v>765</v>
      </c>
      <c r="B135" s="170">
        <v>10028459</v>
      </c>
      <c r="C135" s="171" t="s">
        <v>766</v>
      </c>
      <c r="D135" s="172"/>
    </row>
    <row r="136" ht="14.25">
      <c r="A136" s="169" t="s">
        <v>767</v>
      </c>
      <c r="B136" s="170">
        <v>10028489</v>
      </c>
      <c r="C136" s="171" t="s">
        <v>768</v>
      </c>
      <c r="D136" s="172"/>
    </row>
    <row r="137" ht="14.25">
      <c r="A137" s="152" t="s">
        <v>769</v>
      </c>
      <c r="B137" s="153">
        <v>10028467</v>
      </c>
      <c r="C137" s="154" t="s">
        <v>770</v>
      </c>
      <c r="D137" s="155"/>
    </row>
    <row r="138" ht="14.25">
      <c r="A138" s="152" t="s">
        <v>769</v>
      </c>
      <c r="B138" s="162">
        <v>10028468</v>
      </c>
      <c r="C138" s="163" t="s">
        <v>771</v>
      </c>
      <c r="D138" s="164"/>
    </row>
    <row r="139" ht="52.9">
      <c r="A139" s="185" t="s">
        <v>769</v>
      </c>
      <c r="B139" s="157"/>
      <c r="C139" s="158" t="s">
        <v>772</v>
      </c>
      <c r="D139" s="186" t="s">
        <v>773</v>
      </c>
    </row>
    <row r="140" ht="14.25">
      <c r="A140" s="169" t="s">
        <v>774</v>
      </c>
      <c r="B140" s="170">
        <v>10023102</v>
      </c>
      <c r="C140" s="171" t="s">
        <v>775</v>
      </c>
      <c r="D140" s="172"/>
    </row>
    <row r="141" ht="14.25">
      <c r="A141" s="169" t="s">
        <v>776</v>
      </c>
      <c r="B141" s="170">
        <v>10021514</v>
      </c>
      <c r="C141" s="171" t="s">
        <v>777</v>
      </c>
      <c r="D141" s="172"/>
    </row>
    <row r="142" ht="14.25">
      <c r="A142" s="169" t="s">
        <v>778</v>
      </c>
      <c r="B142" s="170">
        <v>10027548</v>
      </c>
      <c r="C142" s="171" t="s">
        <v>779</v>
      </c>
      <c r="D142" s="172"/>
    </row>
    <row r="143" ht="14.25">
      <c r="A143" s="152" t="s">
        <v>780</v>
      </c>
      <c r="B143" s="153">
        <v>10026564</v>
      </c>
      <c r="C143" s="154" t="s">
        <v>781</v>
      </c>
      <c r="D143" s="155"/>
    </row>
    <row r="144" ht="14.25">
      <c r="A144" s="178" t="s">
        <v>782</v>
      </c>
      <c r="B144" s="162">
        <v>10022424</v>
      </c>
      <c r="C144" s="163" t="s">
        <v>783</v>
      </c>
      <c r="D144" s="164"/>
    </row>
    <row r="145" ht="14.25">
      <c r="A145" s="152" t="s">
        <v>784</v>
      </c>
      <c r="B145" s="153">
        <v>10028420</v>
      </c>
      <c r="C145" s="154" t="s">
        <v>785</v>
      </c>
      <c r="D145" s="155"/>
    </row>
    <row r="146" ht="14.25">
      <c r="A146" s="152" t="s">
        <v>786</v>
      </c>
      <c r="B146" s="153">
        <v>10023104</v>
      </c>
      <c r="C146" s="154" t="s">
        <v>787</v>
      </c>
      <c r="D146" s="155"/>
    </row>
    <row r="147" ht="14.25">
      <c r="A147" s="152" t="s">
        <v>788</v>
      </c>
      <c r="B147" s="153">
        <v>10029818</v>
      </c>
      <c r="C147" s="154" t="s">
        <v>789</v>
      </c>
      <c r="D147" s="155"/>
    </row>
    <row r="148" ht="14.25">
      <c r="A148" s="152" t="s">
        <v>790</v>
      </c>
      <c r="B148" s="153">
        <v>10032364</v>
      </c>
      <c r="C148" s="154" t="s">
        <v>791</v>
      </c>
      <c r="D148" s="155"/>
    </row>
    <row r="149" ht="14.25">
      <c r="A149" s="152" t="s">
        <v>792</v>
      </c>
      <c r="B149" s="153">
        <v>10028458</v>
      </c>
      <c r="C149" s="154" t="s">
        <v>793</v>
      </c>
      <c r="D149" s="155"/>
    </row>
    <row r="150" ht="14.25">
      <c r="A150" s="152" t="s">
        <v>794</v>
      </c>
      <c r="B150" s="153">
        <v>10026368</v>
      </c>
      <c r="C150" s="154" t="s">
        <v>795</v>
      </c>
      <c r="D150" s="155"/>
    </row>
    <row r="151" ht="14.25">
      <c r="A151" s="152" t="s">
        <v>796</v>
      </c>
      <c r="B151" s="153">
        <v>10026366</v>
      </c>
      <c r="C151" s="154" t="s">
        <v>797</v>
      </c>
      <c r="D151" s="155"/>
    </row>
    <row r="152" ht="14.25">
      <c r="A152" s="152" t="s">
        <v>798</v>
      </c>
      <c r="B152" s="153">
        <v>10022550</v>
      </c>
      <c r="C152" s="154" t="s">
        <v>799</v>
      </c>
      <c r="D152" s="155"/>
    </row>
    <row r="153" ht="14.25">
      <c r="A153" s="152" t="s">
        <v>800</v>
      </c>
      <c r="B153" s="153">
        <v>10023609</v>
      </c>
      <c r="C153" s="154" t="s">
        <v>801</v>
      </c>
      <c r="D153" s="155"/>
    </row>
    <row r="154" ht="14.25">
      <c r="A154" s="152" t="s">
        <v>802</v>
      </c>
      <c r="B154" s="153">
        <v>10023610</v>
      </c>
      <c r="C154" s="154" t="s">
        <v>803</v>
      </c>
      <c r="D154" s="155"/>
    </row>
    <row r="155" ht="14.25">
      <c r="A155" s="152" t="s">
        <v>804</v>
      </c>
      <c r="B155" s="153">
        <v>10023902</v>
      </c>
      <c r="C155" s="154" t="s">
        <v>805</v>
      </c>
      <c r="D155" s="155"/>
    </row>
    <row r="156" ht="14.25">
      <c r="A156" s="152" t="s">
        <v>806</v>
      </c>
      <c r="B156" s="153">
        <v>10026566</v>
      </c>
      <c r="C156" s="154" t="s">
        <v>807</v>
      </c>
      <c r="D156" s="155"/>
    </row>
    <row r="157" ht="14.25">
      <c r="A157" s="169" t="s">
        <v>808</v>
      </c>
      <c r="B157" s="170">
        <v>10030356</v>
      </c>
      <c r="C157" s="171" t="s">
        <v>809</v>
      </c>
      <c r="D157" s="172"/>
    </row>
    <row r="158" ht="14.25">
      <c r="A158" s="169" t="s">
        <v>810</v>
      </c>
      <c r="B158" s="170">
        <v>10030384</v>
      </c>
      <c r="C158" s="171" t="s">
        <v>811</v>
      </c>
      <c r="D158" s="172"/>
    </row>
    <row r="159" ht="14.25">
      <c r="A159" s="152" t="s">
        <v>812</v>
      </c>
      <c r="B159" s="153">
        <v>10030278</v>
      </c>
      <c r="C159" s="154" t="s">
        <v>813</v>
      </c>
      <c r="D159" s="155"/>
    </row>
    <row r="160" ht="14.25">
      <c r="A160" s="152" t="s">
        <v>814</v>
      </c>
      <c r="B160" s="153" t="s">
        <v>815</v>
      </c>
      <c r="C160" s="154" t="s">
        <v>816</v>
      </c>
      <c r="D160" s="155"/>
    </row>
    <row r="161" ht="14.25">
      <c r="A161" s="152" t="s">
        <v>817</v>
      </c>
      <c r="B161" s="153" t="s">
        <v>818</v>
      </c>
      <c r="C161" s="154" t="s">
        <v>819</v>
      </c>
      <c r="D161" s="155"/>
    </row>
    <row r="162" ht="14.65">
      <c r="A162" s="152" t="s">
        <v>820</v>
      </c>
      <c r="B162" s="153">
        <v>10030620</v>
      </c>
      <c r="C162" s="154" t="s">
        <v>821</v>
      </c>
      <c r="D162" s="155"/>
    </row>
    <row r="163" ht="14.25">
      <c r="A163" s="148" t="s">
        <v>822</v>
      </c>
      <c r="B163" s="149">
        <v>10028421</v>
      </c>
      <c r="C163" s="150" t="s">
        <v>823</v>
      </c>
      <c r="D163" s="151"/>
    </row>
    <row r="164" ht="14.25">
      <c r="A164" s="169" t="s">
        <v>824</v>
      </c>
      <c r="B164" s="170">
        <v>10027465</v>
      </c>
      <c r="C164" s="171" t="s">
        <v>825</v>
      </c>
      <c r="D164" s="172"/>
    </row>
    <row r="165" ht="14.25">
      <c r="A165" s="152" t="s">
        <v>826</v>
      </c>
      <c r="B165" s="153">
        <v>10027549</v>
      </c>
      <c r="C165" s="154" t="s">
        <v>827</v>
      </c>
      <c r="D165" s="155"/>
    </row>
    <row r="166" ht="14.25">
      <c r="A166" s="152" t="s">
        <v>828</v>
      </c>
      <c r="B166" s="153">
        <v>10024424</v>
      </c>
      <c r="C166" s="154" t="s">
        <v>829</v>
      </c>
      <c r="D166" s="155"/>
    </row>
    <row r="167" ht="14.25">
      <c r="A167" s="152" t="s">
        <v>830</v>
      </c>
      <c r="B167" s="153">
        <v>10017992</v>
      </c>
      <c r="C167" s="154" t="s">
        <v>831</v>
      </c>
      <c r="D167" s="155"/>
    </row>
    <row r="168" ht="14.25">
      <c r="A168" s="152" t="s">
        <v>832</v>
      </c>
      <c r="B168" s="153">
        <v>10024393</v>
      </c>
      <c r="C168" s="154" t="s">
        <v>833</v>
      </c>
      <c r="D168" s="155"/>
    </row>
    <row r="169" ht="14.25">
      <c r="A169" s="152" t="s">
        <v>834</v>
      </c>
      <c r="B169" s="153">
        <v>10024394</v>
      </c>
      <c r="C169" s="154" t="s">
        <v>835</v>
      </c>
      <c r="D169" s="155"/>
    </row>
    <row r="170" ht="14.65">
      <c r="A170" s="152" t="s">
        <v>836</v>
      </c>
      <c r="B170" s="153">
        <v>10022531</v>
      </c>
      <c r="C170" s="154" t="s">
        <v>837</v>
      </c>
      <c r="D170" s="155"/>
    </row>
    <row r="171" ht="14.25">
      <c r="A171" s="148" t="s">
        <v>838</v>
      </c>
      <c r="B171" s="149">
        <v>10027554</v>
      </c>
      <c r="C171" s="150" t="s">
        <v>839</v>
      </c>
      <c r="D171" s="151"/>
    </row>
    <row r="172" ht="14.25">
      <c r="A172" s="152" t="s">
        <v>840</v>
      </c>
      <c r="B172" s="153">
        <v>10017994</v>
      </c>
      <c r="C172" s="154" t="s">
        <v>841</v>
      </c>
      <c r="D172" s="155"/>
    </row>
    <row r="173" ht="14.25">
      <c r="A173" s="152" t="s">
        <v>842</v>
      </c>
      <c r="B173" s="153">
        <v>10024391</v>
      </c>
      <c r="C173" s="154" t="s">
        <v>843</v>
      </c>
      <c r="D173" s="155"/>
    </row>
    <row r="174" ht="14.25">
      <c r="A174" s="152" t="s">
        <v>844</v>
      </c>
      <c r="B174" s="153">
        <v>10022423</v>
      </c>
      <c r="C174" s="154" t="s">
        <v>845</v>
      </c>
      <c r="D174" s="155"/>
    </row>
    <row r="175" ht="14.25">
      <c r="A175" s="152" t="s">
        <v>846</v>
      </c>
      <c r="B175" s="153">
        <v>10024392</v>
      </c>
      <c r="C175" s="154" t="s">
        <v>845</v>
      </c>
      <c r="D175" s="155"/>
    </row>
    <row r="176" ht="14.25">
      <c r="A176" s="152" t="s">
        <v>847</v>
      </c>
      <c r="B176" s="153">
        <v>10026567</v>
      </c>
      <c r="C176" s="154" t="s">
        <v>848</v>
      </c>
      <c r="D176" s="155"/>
    </row>
    <row r="177" ht="14.25">
      <c r="A177" s="152" t="s">
        <v>849</v>
      </c>
      <c r="B177" s="153">
        <v>10030404</v>
      </c>
      <c r="C177" s="154" t="s">
        <v>850</v>
      </c>
      <c r="D177" s="155"/>
    </row>
    <row r="178" ht="14.25">
      <c r="A178" s="152" t="s">
        <v>851</v>
      </c>
      <c r="B178" s="153">
        <v>10029910</v>
      </c>
      <c r="C178" s="154" t="s">
        <v>852</v>
      </c>
      <c r="D178" s="155"/>
    </row>
    <row r="179" ht="14.25">
      <c r="A179" s="152" t="s">
        <v>853</v>
      </c>
      <c r="B179" s="153">
        <v>10030228</v>
      </c>
      <c r="C179" s="154" t="s">
        <v>854</v>
      </c>
      <c r="D179" s="155"/>
    </row>
    <row r="180" ht="14.25">
      <c r="A180" s="152" t="s">
        <v>855</v>
      </c>
      <c r="B180" s="153">
        <v>10030229</v>
      </c>
      <c r="C180" s="154" t="s">
        <v>856</v>
      </c>
      <c r="D180" s="155"/>
    </row>
    <row r="181" ht="14.25">
      <c r="A181" s="152" t="s">
        <v>857</v>
      </c>
      <c r="B181" s="153">
        <v>10024252</v>
      </c>
      <c r="C181" s="154" t="s">
        <v>858</v>
      </c>
      <c r="D181" s="155"/>
    </row>
    <row r="182" ht="14.25">
      <c r="A182" s="178" t="s">
        <v>859</v>
      </c>
      <c r="B182" s="162">
        <v>10029817</v>
      </c>
      <c r="C182" s="163" t="s">
        <v>860</v>
      </c>
      <c r="D182" s="164"/>
    </row>
    <row r="183" ht="14.25">
      <c r="A183" s="178" t="s">
        <v>861</v>
      </c>
      <c r="B183" s="162">
        <v>10029938</v>
      </c>
      <c r="C183" s="163" t="s">
        <v>862</v>
      </c>
      <c r="D183" s="164"/>
    </row>
    <row r="184" ht="14.25">
      <c r="A184" s="178" t="s">
        <v>863</v>
      </c>
      <c r="B184" s="162">
        <v>10029896</v>
      </c>
      <c r="C184" s="163" t="s">
        <v>864</v>
      </c>
      <c r="D184" s="164"/>
    </row>
    <row r="185" ht="14.25">
      <c r="A185" s="178" t="s">
        <v>865</v>
      </c>
      <c r="B185" s="162">
        <v>10030319</v>
      </c>
      <c r="C185" s="163" t="s">
        <v>866</v>
      </c>
      <c r="D185" s="164"/>
    </row>
    <row r="186" ht="14.25">
      <c r="A186" s="178" t="s">
        <v>867</v>
      </c>
      <c r="B186" s="162">
        <v>10029895</v>
      </c>
      <c r="C186" s="163" t="s">
        <v>868</v>
      </c>
      <c r="D186" s="164"/>
    </row>
    <row r="187" ht="14.25">
      <c r="A187" s="178" t="s">
        <v>869</v>
      </c>
      <c r="B187" s="162">
        <v>10032529</v>
      </c>
      <c r="C187" s="163" t="s">
        <v>870</v>
      </c>
      <c r="D187" s="164"/>
    </row>
    <row r="188" ht="14.25">
      <c r="A188" s="178" t="s">
        <v>871</v>
      </c>
      <c r="B188" s="162">
        <v>10030373</v>
      </c>
      <c r="C188" s="163" t="s">
        <v>872</v>
      </c>
      <c r="D188" s="164"/>
    </row>
    <row r="189" ht="14.25">
      <c r="A189" s="178" t="s">
        <v>873</v>
      </c>
      <c r="B189" s="162">
        <v>10030374</v>
      </c>
      <c r="C189" s="163" t="s">
        <v>874</v>
      </c>
      <c r="D189" s="164"/>
    </row>
    <row r="190" ht="14.25">
      <c r="A190" s="178" t="s">
        <v>875</v>
      </c>
      <c r="B190" s="162">
        <v>10030371</v>
      </c>
      <c r="C190" s="163" t="s">
        <v>876</v>
      </c>
      <c r="D190" s="164"/>
    </row>
    <row r="191" ht="14.25">
      <c r="A191" s="178" t="s">
        <v>877</v>
      </c>
      <c r="B191" s="162">
        <v>10031484</v>
      </c>
      <c r="C191" s="163" t="s">
        <v>878</v>
      </c>
      <c r="D191" s="164"/>
    </row>
    <row r="192" ht="14.25">
      <c r="A192" s="178" t="s">
        <v>879</v>
      </c>
      <c r="B192" s="162">
        <v>10030372</v>
      </c>
      <c r="C192" s="163" t="s">
        <v>880</v>
      </c>
      <c r="D192" s="164"/>
    </row>
    <row r="193" ht="14.25">
      <c r="A193" s="178" t="s">
        <v>881</v>
      </c>
      <c r="B193" s="162">
        <v>10031595</v>
      </c>
      <c r="C193" s="163" t="s">
        <v>882</v>
      </c>
      <c r="D193" s="164"/>
    </row>
    <row r="194" ht="14.25">
      <c r="A194" s="178" t="s">
        <v>883</v>
      </c>
      <c r="B194" s="162">
        <v>10031482</v>
      </c>
      <c r="C194" s="163" t="s">
        <v>884</v>
      </c>
      <c r="D194" s="164"/>
    </row>
    <row r="195" ht="14.25">
      <c r="A195" s="178" t="s">
        <v>885</v>
      </c>
      <c r="B195" s="162">
        <v>10031512</v>
      </c>
      <c r="C195" s="163" t="s">
        <v>886</v>
      </c>
      <c r="D195" s="164"/>
    </row>
    <row r="196" ht="14.25">
      <c r="A196" s="178" t="s">
        <v>887</v>
      </c>
      <c r="B196" s="162">
        <v>10031483</v>
      </c>
      <c r="C196" s="163" t="s">
        <v>888</v>
      </c>
      <c r="D196" s="164"/>
    </row>
    <row r="197" ht="14.25">
      <c r="A197" s="178" t="s">
        <v>889</v>
      </c>
      <c r="B197" s="162">
        <v>10031485</v>
      </c>
      <c r="C197" s="163" t="s">
        <v>890</v>
      </c>
      <c r="D197" s="164"/>
    </row>
    <row r="198" ht="14.25">
      <c r="A198" s="178" t="s">
        <v>891</v>
      </c>
      <c r="B198" s="162">
        <v>10032291</v>
      </c>
      <c r="C198" s="163" t="s">
        <v>892</v>
      </c>
      <c r="D198" s="164"/>
    </row>
    <row r="199" ht="14.25">
      <c r="A199" s="178" t="s">
        <v>893</v>
      </c>
      <c r="B199" s="162">
        <v>10032290</v>
      </c>
      <c r="C199" s="163" t="s">
        <v>892</v>
      </c>
      <c r="D199" s="164"/>
    </row>
    <row r="200" ht="14.65">
      <c r="A200" s="156" t="s">
        <v>894</v>
      </c>
      <c r="B200" s="157">
        <v>10030277</v>
      </c>
      <c r="C200" s="158" t="s">
        <v>895</v>
      </c>
      <c r="D200" s="159"/>
    </row>
    <row r="201" ht="14.25">
      <c r="A201" s="152" t="s">
        <v>896</v>
      </c>
      <c r="B201" s="153">
        <v>10022362</v>
      </c>
      <c r="C201" s="154" t="s">
        <v>897</v>
      </c>
      <c r="D201" s="155"/>
    </row>
    <row r="202" ht="14.25">
      <c r="A202" s="152" t="s">
        <v>898</v>
      </c>
      <c r="B202" s="153">
        <v>10027463</v>
      </c>
      <c r="C202" s="154" t="s">
        <v>899</v>
      </c>
      <c r="D202" s="155"/>
    </row>
    <row r="203" ht="14.25">
      <c r="A203" s="152" t="s">
        <v>900</v>
      </c>
      <c r="B203" s="153">
        <v>10026563</v>
      </c>
      <c r="C203" s="154" t="s">
        <v>901</v>
      </c>
      <c r="D203" s="155"/>
    </row>
    <row r="204" ht="14.25">
      <c r="A204" s="152" t="s">
        <v>902</v>
      </c>
      <c r="B204" s="153">
        <v>10027462</v>
      </c>
      <c r="C204" s="154" t="s">
        <v>903</v>
      </c>
      <c r="D204" s="155"/>
    </row>
    <row r="205" ht="14.25">
      <c r="A205" s="152" t="s">
        <v>904</v>
      </c>
      <c r="B205" s="153">
        <v>10022513</v>
      </c>
      <c r="C205" s="154" t="s">
        <v>905</v>
      </c>
      <c r="D205" s="155"/>
    </row>
    <row r="206" ht="14.25">
      <c r="A206" s="152" t="s">
        <v>906</v>
      </c>
      <c r="B206" s="153">
        <v>10027464</v>
      </c>
      <c r="C206" s="154" t="s">
        <v>907</v>
      </c>
      <c r="D206" s="155"/>
    </row>
    <row r="207" ht="14.25">
      <c r="A207" s="152" t="s">
        <v>908</v>
      </c>
      <c r="B207" s="153">
        <v>10026371</v>
      </c>
      <c r="C207" s="154" t="s">
        <v>909</v>
      </c>
      <c r="D207" s="155"/>
    </row>
    <row r="208" ht="14.25">
      <c r="A208" s="152" t="s">
        <v>910</v>
      </c>
      <c r="B208" s="153">
        <v>10017996</v>
      </c>
      <c r="C208" s="154" t="s">
        <v>911</v>
      </c>
      <c r="D208" s="155"/>
    </row>
    <row r="209" ht="14.65">
      <c r="A209" s="174" t="s">
        <v>912</v>
      </c>
      <c r="B209" s="175">
        <v>10029397</v>
      </c>
      <c r="C209" s="176" t="s">
        <v>913</v>
      </c>
      <c r="D209" s="177"/>
    </row>
    <row r="210" ht="14.25">
      <c r="A210" s="179" t="s">
        <v>914</v>
      </c>
      <c r="B210" s="180">
        <v>10027550</v>
      </c>
      <c r="C210" s="181" t="s">
        <v>915</v>
      </c>
      <c r="D210" s="182"/>
    </row>
    <row r="211" ht="14.25">
      <c r="A211" s="178" t="s">
        <v>916</v>
      </c>
      <c r="B211" s="162">
        <v>10025645</v>
      </c>
      <c r="C211" s="163" t="s">
        <v>917</v>
      </c>
      <c r="D211" s="164"/>
    </row>
    <row r="212" ht="14.25">
      <c r="A212" s="178" t="s">
        <v>918</v>
      </c>
      <c r="B212" s="162">
        <v>10025644</v>
      </c>
      <c r="C212" s="163" t="s">
        <v>919</v>
      </c>
      <c r="D212" s="164"/>
    </row>
    <row r="213" ht="14.25">
      <c r="A213" s="178" t="s">
        <v>920</v>
      </c>
      <c r="B213" s="162">
        <v>10023904</v>
      </c>
      <c r="C213" s="163" t="s">
        <v>921</v>
      </c>
      <c r="D213" s="164"/>
    </row>
    <row r="214" ht="14.25">
      <c r="A214" s="152" t="s">
        <v>922</v>
      </c>
      <c r="B214" s="153">
        <v>10023128</v>
      </c>
      <c r="C214" s="154" t="s">
        <v>923</v>
      </c>
      <c r="D214" s="155"/>
    </row>
    <row r="215" ht="14.25">
      <c r="A215" s="152" t="s">
        <v>924</v>
      </c>
      <c r="B215" s="153">
        <v>10026369</v>
      </c>
      <c r="C215" s="154" t="s">
        <v>925</v>
      </c>
      <c r="D215" s="155"/>
    </row>
    <row r="216" ht="14.25">
      <c r="A216" s="178" t="s">
        <v>926</v>
      </c>
      <c r="B216" s="162">
        <v>10030232</v>
      </c>
      <c r="C216" s="163" t="s">
        <v>927</v>
      </c>
      <c r="D216" s="164"/>
    </row>
    <row r="217" ht="14.25">
      <c r="A217" s="178" t="s">
        <v>928</v>
      </c>
      <c r="B217" s="162">
        <v>10030233</v>
      </c>
      <c r="C217" s="163" t="s">
        <v>929</v>
      </c>
      <c r="D217" s="164"/>
    </row>
    <row r="218" ht="14.25">
      <c r="A218" s="178" t="s">
        <v>930</v>
      </c>
      <c r="B218" s="162">
        <v>10026370</v>
      </c>
      <c r="C218" s="163" t="s">
        <v>931</v>
      </c>
      <c r="D218" s="164"/>
    </row>
    <row r="219" ht="14.25">
      <c r="A219" s="178" t="s">
        <v>932</v>
      </c>
      <c r="B219" s="162">
        <v>10030231</v>
      </c>
      <c r="C219" s="163" t="s">
        <v>933</v>
      </c>
      <c r="D219" s="164"/>
    </row>
    <row r="220" ht="14.25">
      <c r="A220" s="178" t="s">
        <v>934</v>
      </c>
      <c r="B220" s="162">
        <v>10030427</v>
      </c>
      <c r="C220" s="163" t="s">
        <v>935</v>
      </c>
      <c r="D220" s="164"/>
    </row>
    <row r="221" ht="14.25">
      <c r="A221" s="178" t="s">
        <v>934</v>
      </c>
      <c r="B221" s="162">
        <v>10030385</v>
      </c>
      <c r="C221" s="163" t="s">
        <v>936</v>
      </c>
      <c r="D221" s="164"/>
    </row>
    <row r="222" ht="14.25">
      <c r="A222" s="178" t="s">
        <v>934</v>
      </c>
      <c r="B222" s="162">
        <v>10030230</v>
      </c>
      <c r="C222" s="163" t="s">
        <v>937</v>
      </c>
      <c r="D222" s="164"/>
    </row>
    <row r="223" ht="14.65">
      <c r="A223" s="178" t="s">
        <v>938</v>
      </c>
      <c r="B223" s="162">
        <v>10030386</v>
      </c>
      <c r="C223" s="163" t="s">
        <v>939</v>
      </c>
      <c r="D223" s="164"/>
    </row>
    <row r="224" ht="14.25">
      <c r="A224" s="148" t="s">
        <v>940</v>
      </c>
      <c r="B224" s="149">
        <v>10025853</v>
      </c>
      <c r="C224" s="150" t="s">
        <v>941</v>
      </c>
      <c r="D224" s="151"/>
    </row>
    <row r="225" ht="14.25">
      <c r="A225" s="152" t="s">
        <v>942</v>
      </c>
      <c r="B225" s="153">
        <v>10023103</v>
      </c>
      <c r="C225" s="154" t="s">
        <v>943</v>
      </c>
      <c r="D225" s="155"/>
    </row>
    <row r="226" ht="14.25">
      <c r="A226" s="152" t="s">
        <v>944</v>
      </c>
      <c r="B226" s="153">
        <v>10022357</v>
      </c>
      <c r="C226" s="154" t="s">
        <v>945</v>
      </c>
      <c r="D226" s="155"/>
    </row>
    <row r="227" ht="14.25">
      <c r="A227" s="152" t="s">
        <v>946</v>
      </c>
      <c r="B227" s="153">
        <v>10029406</v>
      </c>
      <c r="C227" s="154" t="s">
        <v>947</v>
      </c>
      <c r="D227" s="155"/>
    </row>
    <row r="228" ht="14.25">
      <c r="A228" s="152" t="s">
        <v>948</v>
      </c>
      <c r="B228" s="153">
        <v>10027551</v>
      </c>
      <c r="C228" s="154" t="s">
        <v>949</v>
      </c>
      <c r="D228" s="155"/>
    </row>
    <row r="229" ht="14.65">
      <c r="A229" s="152" t="s">
        <v>950</v>
      </c>
      <c r="B229" s="153">
        <v>10029407</v>
      </c>
      <c r="C229" s="154" t="s">
        <v>951</v>
      </c>
      <c r="D229" s="155"/>
    </row>
    <row r="230" ht="14.25">
      <c r="A230" s="148" t="s">
        <v>952</v>
      </c>
      <c r="B230" s="149">
        <v>10029751</v>
      </c>
      <c r="C230" s="150" t="s">
        <v>953</v>
      </c>
      <c r="D230" s="151"/>
    </row>
    <row r="231" ht="14.25">
      <c r="A231" s="169" t="s">
        <v>954</v>
      </c>
      <c r="B231" s="170">
        <v>10029752</v>
      </c>
      <c r="C231" s="171" t="s">
        <v>955</v>
      </c>
      <c r="D231" s="172"/>
    </row>
    <row r="232" ht="14.25">
      <c r="A232" s="169" t="s">
        <v>954</v>
      </c>
      <c r="B232" s="170">
        <v>10029754</v>
      </c>
      <c r="C232" s="171" t="s">
        <v>956</v>
      </c>
      <c r="D232" s="172"/>
    </row>
    <row r="233" ht="14.25">
      <c r="A233" s="169" t="s">
        <v>954</v>
      </c>
      <c r="B233" s="170">
        <v>10030383</v>
      </c>
      <c r="C233" s="171" t="s">
        <v>957</v>
      </c>
      <c r="D233" s="172"/>
    </row>
    <row r="234" ht="14.25">
      <c r="A234" s="169" t="s">
        <v>958</v>
      </c>
      <c r="B234" s="170">
        <v>10029750</v>
      </c>
      <c r="C234" s="171" t="s">
        <v>959</v>
      </c>
      <c r="D234" s="172"/>
    </row>
    <row r="235" ht="14.65">
      <c r="A235" s="156" t="s">
        <v>958</v>
      </c>
      <c r="B235" s="157">
        <v>10029864</v>
      </c>
      <c r="C235" s="158" t="s">
        <v>960</v>
      </c>
      <c r="D235" s="159"/>
    </row>
    <row r="239" ht="14.25">
      <c r="A239" s="142"/>
      <c r="B239" s="141"/>
      <c r="C239" s="141"/>
      <c r="D239" s="141"/>
    </row>
    <row r="240" ht="14.25">
      <c r="A240" s="187" t="s">
        <v>961</v>
      </c>
      <c r="B240" s="143"/>
      <c r="C240" s="143"/>
      <c r="D240" s="143"/>
    </row>
  </sheetData>
  <pageMargins left="0.7" right="0.7" top="0.75" bottom="0.75" header="0.3" footer="0.3"/>
  <pageSetup orientation="portrait"/>
  <headerFooter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mc:Ignorable="x14ac xr">
  <sheetPr codeName="Sheet12"/>
  <dimension ref="A1:L41"/>
  <sheetViews>
    <sheetView zoomScale="90" zoomScaleNormal="90" workbookViewId="0">
      <selection activeCell="N41" sqref="N41"/>
    </sheetView>
  </sheetViews>
  <sheetFormatPr defaultRowHeight="12.75"/>
  <cols>
    <col min="1" max="1" width="12.86328125" customWidth="1"/>
    <col min="2" max="2" bestFit="1" width="17.265625" customWidth="1"/>
    <col min="3" max="3" bestFit="1" width="14.3984375" customWidth="1"/>
    <col min="4" max="4" width="39.59765625" customWidth="1"/>
    <col min="5" max="5" width="15.73046875" customWidth="1"/>
    <col min="6" max="6" bestFit="1" width="59.86328125" customWidth="1"/>
    <col min="7" max="7" width="21.265625" customWidth="1"/>
    <col min="8" max="8" width="19.1328125" customWidth="1"/>
    <col min="9" max="9" width="16.73046875" customWidth="1"/>
    <col min="10" max="10" bestFit="1" width="54.1328125" customWidth="1"/>
  </cols>
  <sheetData>
    <row r="1" ht="14.25">
      <c r="A1" s="113" t="s">
        <v>140</v>
      </c>
      <c r="B1" s="117" t="s">
        <v>141</v>
      </c>
      <c r="C1" s="117" t="s">
        <v>142</v>
      </c>
      <c r="D1" s="117" t="s">
        <v>143</v>
      </c>
      <c r="E1" s="117" t="s">
        <v>144</v>
      </c>
      <c r="F1" s="117" t="s">
        <v>145</v>
      </c>
      <c r="G1" s="118" t="s">
        <v>146</v>
      </c>
      <c r="H1" s="117" t="s">
        <v>147</v>
      </c>
      <c r="I1" s="118" t="s">
        <v>148</v>
      </c>
      <c r="J1" s="130" t="s">
        <v>149</v>
      </c>
      <c r="K1" s="114"/>
      <c r="L1" s="114"/>
    </row>
    <row r="2" ht="14.25">
      <c r="A2" s="112" t="s">
        <v>150</v>
      </c>
      <c r="B2" s="119">
        <v>10027276</v>
      </c>
      <c r="C2" s="119" t="s">
        <v>151</v>
      </c>
      <c r="D2" s="119" t="s">
        <v>152</v>
      </c>
      <c r="E2" s="119" t="s">
        <v>153</v>
      </c>
      <c r="F2" s="120" t="s">
        <v>154</v>
      </c>
      <c r="G2" s="119"/>
      <c r="H2" s="119"/>
      <c r="I2" s="119"/>
      <c r="J2" s="131" t="s">
        <v>155</v>
      </c>
      <c r="K2" s="114"/>
      <c r="L2" s="114"/>
    </row>
    <row r="3" ht="14.25">
      <c r="A3" s="112" t="s">
        <v>156</v>
      </c>
      <c r="B3" s="119">
        <v>10030662</v>
      </c>
      <c r="C3" s="119" t="s">
        <v>151</v>
      </c>
      <c r="D3" s="119" t="s">
        <v>157</v>
      </c>
      <c r="E3" s="119" t="s">
        <v>153</v>
      </c>
      <c r="F3" s="120" t="s">
        <v>154</v>
      </c>
      <c r="G3" s="119"/>
      <c r="H3" s="119"/>
      <c r="I3" s="119"/>
      <c r="J3" s="131" t="s">
        <v>155</v>
      </c>
      <c r="K3" s="114"/>
      <c r="L3" s="114"/>
    </row>
    <row r="4" ht="14.25">
      <c r="A4" s="112" t="s">
        <v>158</v>
      </c>
      <c r="B4" s="119">
        <v>10027272</v>
      </c>
      <c r="C4" s="119" t="s">
        <v>151</v>
      </c>
      <c r="D4" s="119" t="s">
        <v>159</v>
      </c>
      <c r="E4" s="119" t="s">
        <v>153</v>
      </c>
      <c r="F4" s="120" t="s">
        <v>154</v>
      </c>
      <c r="G4" s="119"/>
      <c r="H4" s="119"/>
      <c r="I4" s="119"/>
      <c r="J4" s="131" t="s">
        <v>155</v>
      </c>
      <c r="K4" s="114"/>
      <c r="L4" s="114"/>
    </row>
    <row r="5" ht="14.25">
      <c r="A5" s="112" t="s">
        <v>160</v>
      </c>
      <c r="B5" s="119">
        <v>10030658</v>
      </c>
      <c r="C5" s="119" t="s">
        <v>151</v>
      </c>
      <c r="D5" s="119" t="s">
        <v>161</v>
      </c>
      <c r="E5" s="119" t="s">
        <v>153</v>
      </c>
      <c r="F5" s="120" t="s">
        <v>154</v>
      </c>
      <c r="G5" s="119"/>
      <c r="H5" s="119"/>
      <c r="I5" s="119"/>
      <c r="J5" s="131" t="s">
        <v>155</v>
      </c>
      <c r="K5" s="114"/>
      <c r="L5" s="114"/>
    </row>
    <row r="6" ht="14.25">
      <c r="A6" s="112" t="s">
        <v>162</v>
      </c>
      <c r="B6" s="119">
        <v>10029705</v>
      </c>
      <c r="C6" s="119" t="s">
        <v>163</v>
      </c>
      <c r="D6" s="119" t="s">
        <v>152</v>
      </c>
      <c r="E6" s="119" t="s">
        <v>153</v>
      </c>
      <c r="F6" s="120" t="s">
        <v>154</v>
      </c>
      <c r="G6" s="119"/>
      <c r="H6" s="119"/>
      <c r="I6" s="119"/>
      <c r="J6" s="131" t="s">
        <v>155</v>
      </c>
      <c r="K6" s="114"/>
      <c r="L6" s="114"/>
    </row>
    <row r="7" ht="14.25">
      <c r="A7" s="112" t="s">
        <v>164</v>
      </c>
      <c r="B7" s="119">
        <v>10030566</v>
      </c>
      <c r="C7" s="119" t="s">
        <v>165</v>
      </c>
      <c r="D7" s="119" t="s">
        <v>166</v>
      </c>
      <c r="E7" s="119" t="s">
        <v>153</v>
      </c>
      <c r="F7" s="120" t="s">
        <v>154</v>
      </c>
      <c r="G7" s="119"/>
      <c r="H7" s="119"/>
      <c r="I7" s="119"/>
      <c r="J7" s="131" t="s">
        <v>155</v>
      </c>
      <c r="K7" s="114"/>
      <c r="L7" s="114"/>
    </row>
    <row r="8" ht="14.25">
      <c r="A8" s="112" t="s">
        <v>167</v>
      </c>
      <c r="B8" s="119">
        <v>10029714</v>
      </c>
      <c r="C8" s="119" t="s">
        <v>165</v>
      </c>
      <c r="D8" s="119" t="s">
        <v>168</v>
      </c>
      <c r="E8" s="119" t="s">
        <v>153</v>
      </c>
      <c r="F8" s="120" t="s">
        <v>154</v>
      </c>
      <c r="G8" s="119"/>
      <c r="H8" s="119"/>
      <c r="I8" s="119"/>
      <c r="J8" s="131" t="s">
        <v>155</v>
      </c>
      <c r="K8" s="114"/>
      <c r="L8" s="114"/>
    </row>
    <row r="9" ht="14.25">
      <c r="A9" s="112" t="s">
        <v>169</v>
      </c>
      <c r="B9" s="119">
        <v>10029713</v>
      </c>
      <c r="C9" s="119" t="s">
        <v>165</v>
      </c>
      <c r="D9" s="119" t="s">
        <v>170</v>
      </c>
      <c r="E9" s="119" t="s">
        <v>153</v>
      </c>
      <c r="F9" s="120" t="s">
        <v>154</v>
      </c>
      <c r="G9" s="119"/>
      <c r="H9" s="119"/>
      <c r="I9" s="119"/>
      <c r="J9" s="131" t="s">
        <v>155</v>
      </c>
      <c r="K9" s="114"/>
      <c r="L9" s="114"/>
    </row>
    <row r="10" ht="14.25">
      <c r="A10" s="112" t="s">
        <v>171</v>
      </c>
      <c r="B10" s="119">
        <v>10031468</v>
      </c>
      <c r="C10" s="119" t="s">
        <v>172</v>
      </c>
      <c r="D10" s="119" t="s">
        <v>173</v>
      </c>
      <c r="E10" s="119" t="s">
        <v>153</v>
      </c>
      <c r="F10" s="120" t="s">
        <v>154</v>
      </c>
      <c r="G10" s="119"/>
      <c r="H10" s="119"/>
      <c r="I10" s="119"/>
      <c r="J10" s="131"/>
      <c r="K10" s="114"/>
      <c r="L10" s="114"/>
    </row>
    <row r="11" ht="14.25">
      <c r="A11" s="112" t="s">
        <v>174</v>
      </c>
      <c r="B11" s="119">
        <v>10031469</v>
      </c>
      <c r="C11" s="119" t="s">
        <v>172</v>
      </c>
      <c r="D11" s="119" t="s">
        <v>175</v>
      </c>
      <c r="E11" s="119" t="s">
        <v>153</v>
      </c>
      <c r="F11" s="120" t="s">
        <v>154</v>
      </c>
      <c r="G11" s="119"/>
      <c r="H11" s="119"/>
      <c r="I11" s="119"/>
      <c r="J11" s="131"/>
      <c r="K11" s="114"/>
      <c r="L11" s="114"/>
    </row>
    <row r="12" ht="14.25">
      <c r="A12" s="112" t="s">
        <v>176</v>
      </c>
      <c r="B12" s="119">
        <v>10027275</v>
      </c>
      <c r="C12" s="119" t="s">
        <v>177</v>
      </c>
      <c r="D12" s="119" t="s">
        <v>152</v>
      </c>
      <c r="E12" s="119" t="s">
        <v>153</v>
      </c>
      <c r="F12" s="120" t="s">
        <v>154</v>
      </c>
      <c r="G12" s="119"/>
      <c r="H12" s="119"/>
      <c r="I12" s="119"/>
      <c r="J12" s="131"/>
      <c r="K12" s="114"/>
      <c r="L12" s="114"/>
    </row>
    <row r="13" ht="14.25">
      <c r="A13" s="112" t="s">
        <v>178</v>
      </c>
      <c r="B13" s="119">
        <v>10024251</v>
      </c>
      <c r="C13" s="119" t="s">
        <v>177</v>
      </c>
      <c r="D13" s="119" t="s">
        <v>179</v>
      </c>
      <c r="E13" s="119" t="s">
        <v>153</v>
      </c>
      <c r="F13" s="120" t="s">
        <v>154</v>
      </c>
      <c r="G13" s="119"/>
      <c r="H13" s="119"/>
      <c r="I13" s="119"/>
      <c r="J13" s="131"/>
      <c r="K13" s="114"/>
      <c r="L13" s="114"/>
    </row>
    <row r="14" ht="14.25">
      <c r="A14" s="112" t="s">
        <v>180</v>
      </c>
      <c r="B14" s="119">
        <v>10030661</v>
      </c>
      <c r="C14" s="119" t="s">
        <v>177</v>
      </c>
      <c r="D14" s="119" t="s">
        <v>157</v>
      </c>
      <c r="E14" s="119" t="s">
        <v>153</v>
      </c>
      <c r="F14" s="120" t="s">
        <v>154</v>
      </c>
      <c r="G14" s="119"/>
      <c r="H14" s="119"/>
      <c r="I14" s="119"/>
      <c r="J14" s="131"/>
      <c r="K14" s="114"/>
      <c r="L14" s="114"/>
    </row>
    <row r="15" ht="14.25">
      <c r="A15" s="112" t="s">
        <v>181</v>
      </c>
      <c r="B15" s="119">
        <v>10026879</v>
      </c>
      <c r="C15" s="119" t="s">
        <v>182</v>
      </c>
      <c r="D15" s="119" t="s">
        <v>183</v>
      </c>
      <c r="E15" s="119" t="s">
        <v>153</v>
      </c>
      <c r="F15" s="120" t="s">
        <v>154</v>
      </c>
      <c r="G15" s="119"/>
      <c r="H15" s="119"/>
      <c r="I15" s="119"/>
      <c r="J15" s="131"/>
      <c r="K15" s="114"/>
      <c r="L15" s="115" t="s">
        <v>184</v>
      </c>
    </row>
    <row r="16" ht="14.25">
      <c r="A16" s="111" t="s">
        <v>185</v>
      </c>
      <c r="B16" s="121">
        <v>10031088</v>
      </c>
      <c r="C16" s="119" t="s">
        <v>186</v>
      </c>
      <c r="D16" s="119" t="s">
        <v>187</v>
      </c>
      <c r="E16" s="119" t="s">
        <v>153</v>
      </c>
      <c r="F16" s="120" t="s">
        <v>154</v>
      </c>
      <c r="G16" s="119"/>
      <c r="H16" s="119"/>
      <c r="I16" s="119"/>
      <c r="J16" s="131"/>
      <c r="K16" s="114"/>
      <c r="L16" s="115" t="s">
        <v>188</v>
      </c>
    </row>
    <row r="17" ht="28.5">
      <c r="A17" s="110" t="s">
        <v>189</v>
      </c>
      <c r="B17" s="122">
        <v>10027340</v>
      </c>
      <c r="C17" s="123" t="s">
        <v>186</v>
      </c>
      <c r="D17" s="123" t="s">
        <v>190</v>
      </c>
      <c r="E17" s="123" t="s">
        <v>153</v>
      </c>
      <c r="F17" s="124" t="s">
        <v>154</v>
      </c>
      <c r="G17" s="119"/>
      <c r="H17" s="119"/>
      <c r="I17" s="119"/>
      <c r="J17" s="131"/>
      <c r="K17" s="114"/>
      <c r="L17" s="116" t="s">
        <v>191</v>
      </c>
    </row>
    <row r="18" ht="14.25">
      <c r="A18" s="110" t="s">
        <v>192</v>
      </c>
      <c r="B18" s="122">
        <v>10027271</v>
      </c>
      <c r="C18" s="123" t="s">
        <v>186</v>
      </c>
      <c r="D18" s="123" t="s">
        <v>193</v>
      </c>
      <c r="E18" s="123" t="s">
        <v>153</v>
      </c>
      <c r="F18" s="124" t="s">
        <v>154</v>
      </c>
      <c r="G18" s="119"/>
      <c r="H18" s="119"/>
      <c r="I18" s="119"/>
      <c r="J18" s="131"/>
      <c r="K18" s="114"/>
      <c r="L18" s="115" t="s">
        <v>194</v>
      </c>
    </row>
    <row r="19" ht="14.25">
      <c r="A19" s="110" t="s">
        <v>195</v>
      </c>
      <c r="B19" s="122">
        <v>10026709</v>
      </c>
      <c r="C19" s="123" t="s">
        <v>186</v>
      </c>
      <c r="D19" s="123" t="s">
        <v>196</v>
      </c>
      <c r="E19" s="123" t="s">
        <v>153</v>
      </c>
      <c r="F19" s="124" t="s">
        <v>154</v>
      </c>
      <c r="G19" s="119"/>
      <c r="H19" s="119"/>
      <c r="I19" s="119"/>
      <c r="J19" s="131"/>
      <c r="K19" s="114"/>
      <c r="L19" s="115" t="s">
        <v>197</v>
      </c>
    </row>
    <row r="20" ht="14.25">
      <c r="A20" s="110" t="s">
        <v>198</v>
      </c>
      <c r="B20" s="122">
        <v>10031385</v>
      </c>
      <c r="C20" s="123" t="s">
        <v>186</v>
      </c>
      <c r="D20" s="123" t="s">
        <v>199</v>
      </c>
      <c r="E20" s="123" t="s">
        <v>153</v>
      </c>
      <c r="F20" s="124" t="s">
        <v>154</v>
      </c>
      <c r="G20" s="119"/>
      <c r="H20" s="119"/>
      <c r="I20" s="119"/>
      <c r="J20" s="131"/>
      <c r="K20" s="114"/>
      <c r="L20" s="115" t="s">
        <v>200</v>
      </c>
    </row>
    <row r="21" ht="14.25">
      <c r="A21" s="109" t="s">
        <v>201</v>
      </c>
      <c r="B21" s="123">
        <v>10027269</v>
      </c>
      <c r="C21" s="123" t="s">
        <v>202</v>
      </c>
      <c r="D21" s="123" t="s">
        <v>203</v>
      </c>
      <c r="E21" s="123" t="s">
        <v>153</v>
      </c>
      <c r="F21" s="124" t="s">
        <v>154</v>
      </c>
      <c r="G21" s="119"/>
      <c r="H21" s="119"/>
      <c r="I21" s="119"/>
      <c r="J21" s="131" t="s">
        <v>204</v>
      </c>
      <c r="K21" s="114"/>
      <c r="L21" s="115" t="s">
        <v>205</v>
      </c>
    </row>
    <row r="22" ht="14.25">
      <c r="A22" s="109" t="s">
        <v>201</v>
      </c>
      <c r="B22" s="123" t="s">
        <v>206</v>
      </c>
      <c r="C22" s="123" t="s">
        <v>202</v>
      </c>
      <c r="D22" s="123" t="s">
        <v>203</v>
      </c>
      <c r="E22" s="123" t="s">
        <v>153</v>
      </c>
      <c r="F22" s="124" t="s">
        <v>207</v>
      </c>
      <c r="G22" s="119"/>
      <c r="H22" s="119"/>
      <c r="I22" s="119"/>
      <c r="J22" s="131" t="s">
        <v>208</v>
      </c>
      <c r="K22" s="114"/>
      <c r="L22" s="115" t="s">
        <v>209</v>
      </c>
    </row>
    <row r="23" ht="14.25">
      <c r="A23" s="109" t="s">
        <v>210</v>
      </c>
      <c r="B23" s="123">
        <v>10031384</v>
      </c>
      <c r="C23" s="123" t="s">
        <v>202</v>
      </c>
      <c r="D23" s="123" t="s">
        <v>211</v>
      </c>
      <c r="E23" s="123" t="s">
        <v>153</v>
      </c>
      <c r="F23" s="124" t="s">
        <v>154</v>
      </c>
      <c r="G23" s="119"/>
      <c r="H23" s="119"/>
      <c r="I23" s="119"/>
      <c r="J23" s="131" t="s">
        <v>212</v>
      </c>
      <c r="K23" s="114"/>
      <c r="L23" s="115" t="s">
        <v>213</v>
      </c>
    </row>
    <row r="24" ht="14.25">
      <c r="A24" s="109" t="s">
        <v>210</v>
      </c>
      <c r="B24" s="123" t="s">
        <v>206</v>
      </c>
      <c r="C24" s="123" t="s">
        <v>202</v>
      </c>
      <c r="D24" s="123" t="s">
        <v>211</v>
      </c>
      <c r="E24" s="123" t="s">
        <v>153</v>
      </c>
      <c r="F24" s="124" t="s">
        <v>207</v>
      </c>
      <c r="G24" s="119"/>
      <c r="H24" s="119"/>
      <c r="I24" s="119"/>
      <c r="J24" s="131" t="s">
        <v>214</v>
      </c>
      <c r="K24" s="114"/>
      <c r="L24" s="115" t="s">
        <v>215</v>
      </c>
    </row>
    <row r="25" ht="14.25">
      <c r="A25" s="109" t="s">
        <v>216</v>
      </c>
      <c r="B25" s="123">
        <v>10027273</v>
      </c>
      <c r="C25" s="123"/>
      <c r="D25" s="123" t="s">
        <v>217</v>
      </c>
      <c r="E25" s="123" t="s">
        <v>153</v>
      </c>
      <c r="F25" s="124" t="s">
        <v>154</v>
      </c>
      <c r="G25" s="119"/>
      <c r="H25" s="119"/>
      <c r="I25" s="119"/>
      <c r="J25" s="131" t="s">
        <v>218</v>
      </c>
      <c r="K25" s="114"/>
      <c r="L25" s="114"/>
    </row>
    <row r="26" ht="14.25">
      <c r="A26" s="109" t="s">
        <v>219</v>
      </c>
      <c r="B26" s="123"/>
      <c r="C26" s="123" t="s">
        <v>151</v>
      </c>
      <c r="D26" s="123" t="s">
        <v>179</v>
      </c>
      <c r="E26" s="123" t="s">
        <v>153</v>
      </c>
      <c r="F26" s="124" t="s">
        <v>154</v>
      </c>
      <c r="G26" s="119"/>
      <c r="H26" s="119"/>
      <c r="I26" s="119"/>
      <c r="J26" s="131"/>
      <c r="K26" s="114"/>
      <c r="L26" s="114"/>
    </row>
    <row r="27" ht="14.25">
      <c r="A27" s="109" t="s">
        <v>220</v>
      </c>
      <c r="B27" s="123">
        <v>10027420</v>
      </c>
      <c r="C27" s="123" t="s">
        <v>163</v>
      </c>
      <c r="D27" s="123" t="s">
        <v>221</v>
      </c>
      <c r="E27" s="123" t="s">
        <v>153</v>
      </c>
      <c r="F27" s="124" t="s">
        <v>154</v>
      </c>
      <c r="G27" s="119"/>
      <c r="H27" s="119"/>
      <c r="I27" s="119"/>
      <c r="J27" s="131"/>
      <c r="K27" s="114"/>
      <c r="L27" s="114"/>
    </row>
    <row r="28" ht="14.25">
      <c r="A28" s="109" t="s">
        <v>178</v>
      </c>
      <c r="B28" s="123">
        <v>10024251</v>
      </c>
      <c r="C28" s="123" t="s">
        <v>177</v>
      </c>
      <c r="D28" s="123" t="s">
        <v>179</v>
      </c>
      <c r="E28" s="123" t="s">
        <v>153</v>
      </c>
      <c r="F28" s="124" t="s">
        <v>154</v>
      </c>
      <c r="G28" s="119"/>
      <c r="H28" s="119"/>
      <c r="I28" s="119"/>
      <c r="J28" s="131"/>
      <c r="K28" s="114"/>
      <c r="L28" s="114"/>
    </row>
    <row r="29" ht="14.25">
      <c r="A29" s="112" t="s">
        <v>222</v>
      </c>
      <c r="B29" s="119"/>
      <c r="C29" s="119"/>
      <c r="D29" s="119" t="s">
        <v>223</v>
      </c>
      <c r="E29" s="123" t="s">
        <v>153</v>
      </c>
      <c r="F29" s="124" t="s">
        <v>154</v>
      </c>
      <c r="G29" s="119"/>
      <c r="H29" s="119"/>
      <c r="I29" s="119"/>
      <c r="J29" s="131"/>
      <c r="K29" s="114"/>
      <c r="L29" s="114"/>
    </row>
    <row r="30" ht="14.25">
      <c r="A30" s="112" t="s">
        <v>224</v>
      </c>
      <c r="B30" s="119"/>
      <c r="C30" s="119" t="s">
        <v>163</v>
      </c>
      <c r="D30" s="119" t="s">
        <v>221</v>
      </c>
      <c r="E30" s="123" t="s">
        <v>153</v>
      </c>
      <c r="F30" s="124" t="s">
        <v>154</v>
      </c>
      <c r="G30" s="119"/>
      <c r="H30" s="119"/>
      <c r="I30" s="119"/>
      <c r="J30" s="131"/>
      <c r="K30" s="114"/>
      <c r="L30" s="114"/>
    </row>
    <row r="31" ht="14.25">
      <c r="A31" s="108" t="s">
        <v>225</v>
      </c>
      <c r="B31" s="125"/>
      <c r="C31" s="119" t="s">
        <v>163</v>
      </c>
      <c r="D31" s="119" t="s">
        <v>226</v>
      </c>
      <c r="E31" s="123" t="s">
        <v>153</v>
      </c>
      <c r="F31" s="124" t="s">
        <v>154</v>
      </c>
      <c r="G31" s="119"/>
      <c r="H31" s="119"/>
      <c r="I31" s="119"/>
      <c r="J31" s="131"/>
      <c r="K31" s="114"/>
      <c r="L31" s="114"/>
    </row>
    <row r="32" ht="14.25">
      <c r="A32" s="112" t="s">
        <v>227</v>
      </c>
      <c r="B32" s="119"/>
      <c r="C32" s="119" t="s">
        <v>163</v>
      </c>
      <c r="D32" s="119" t="s">
        <v>228</v>
      </c>
      <c r="E32" s="123" t="s">
        <v>153</v>
      </c>
      <c r="F32" s="124" t="s">
        <v>154</v>
      </c>
      <c r="G32" s="119"/>
      <c r="H32" s="119"/>
      <c r="I32" s="119"/>
      <c r="J32" s="131"/>
      <c r="K32" s="114"/>
      <c r="L32" s="114"/>
    </row>
    <row r="33" ht="14.25">
      <c r="A33" s="112" t="s">
        <v>229</v>
      </c>
      <c r="B33" s="119"/>
      <c r="C33" s="119" t="s">
        <v>177</v>
      </c>
      <c r="D33" s="119" t="s">
        <v>230</v>
      </c>
      <c r="E33" s="123" t="s">
        <v>153</v>
      </c>
      <c r="F33" s="124" t="s">
        <v>154</v>
      </c>
      <c r="G33" s="119"/>
      <c r="H33" s="119"/>
      <c r="I33" s="119"/>
      <c r="J33" s="131"/>
    </row>
    <row r="34" ht="14.25">
      <c r="A34" s="112" t="s">
        <v>231</v>
      </c>
      <c r="B34" s="119"/>
      <c r="C34" s="119" t="s">
        <v>232</v>
      </c>
      <c r="D34" s="119" t="s">
        <v>233</v>
      </c>
      <c r="E34" s="123" t="s">
        <v>153</v>
      </c>
      <c r="F34" s="124" t="s">
        <v>154</v>
      </c>
      <c r="G34" s="119"/>
      <c r="H34" s="119"/>
      <c r="I34" s="119"/>
      <c r="J34" s="131"/>
    </row>
    <row r="35" ht="14.25">
      <c r="A35" s="112" t="s">
        <v>234</v>
      </c>
      <c r="B35" s="119"/>
      <c r="C35" s="119" t="s">
        <v>232</v>
      </c>
      <c r="D35" s="119" t="s">
        <v>235</v>
      </c>
      <c r="E35" s="123" t="s">
        <v>153</v>
      </c>
      <c r="F35" s="124" t="s">
        <v>154</v>
      </c>
      <c r="G35" s="119"/>
      <c r="H35" s="119"/>
      <c r="I35" s="119"/>
      <c r="J35" s="131"/>
    </row>
    <row r="36" ht="14.25">
      <c r="A36" s="112" t="s">
        <v>236</v>
      </c>
      <c r="B36" s="119"/>
      <c r="C36" s="119" t="s">
        <v>237</v>
      </c>
      <c r="D36" s="119" t="s">
        <v>238</v>
      </c>
      <c r="E36" s="123" t="s">
        <v>153</v>
      </c>
      <c r="F36" s="124" t="s">
        <v>154</v>
      </c>
      <c r="G36" s="119"/>
      <c r="H36" s="119"/>
      <c r="I36" s="119"/>
      <c r="J36" s="131"/>
    </row>
    <row r="37" ht="14.25">
      <c r="A37" s="107" t="s">
        <v>239</v>
      </c>
      <c r="B37" s="126"/>
      <c r="C37" s="126" t="s">
        <v>237</v>
      </c>
      <c r="D37" s="126" t="s">
        <v>240</v>
      </c>
      <c r="E37" s="127" t="s">
        <v>153</v>
      </c>
      <c r="F37" s="128" t="s">
        <v>154</v>
      </c>
      <c r="G37" s="126"/>
      <c r="H37" s="126"/>
      <c r="I37" s="126"/>
      <c r="J37" s="132"/>
    </row>
    <row r="38" ht="14.25">
      <c r="A38" s="112" t="s">
        <v>241</v>
      </c>
      <c r="B38" s="119"/>
      <c r="C38" s="119" t="s">
        <v>237</v>
      </c>
      <c r="D38" s="119" t="s">
        <v>240</v>
      </c>
      <c r="E38" s="123" t="s">
        <v>153</v>
      </c>
      <c r="F38" s="129" t="s">
        <v>154</v>
      </c>
      <c r="G38" s="119"/>
      <c r="H38" s="119"/>
      <c r="I38" s="119"/>
      <c r="J38" s="131"/>
    </row>
    <row r="39" ht="14.25">
      <c r="A39" s="112" t="s">
        <v>242</v>
      </c>
      <c r="B39" s="119"/>
      <c r="C39" s="119" t="s">
        <v>237</v>
      </c>
      <c r="D39" s="119" t="s">
        <v>243</v>
      </c>
      <c r="E39" s="123" t="s">
        <v>153</v>
      </c>
      <c r="F39" s="129" t="s">
        <v>154</v>
      </c>
      <c r="G39" s="119"/>
      <c r="H39" s="119"/>
      <c r="I39" s="119"/>
      <c r="J39" s="131"/>
    </row>
    <row r="40" ht="14.25">
      <c r="A40" s="112" t="s">
        <v>244</v>
      </c>
      <c r="B40" s="119"/>
      <c r="C40" s="119" t="s">
        <v>202</v>
      </c>
      <c r="D40" s="119" t="s">
        <v>245</v>
      </c>
      <c r="E40" s="123" t="s">
        <v>153</v>
      </c>
      <c r="F40" s="129" t="s">
        <v>154</v>
      </c>
      <c r="G40" s="119"/>
      <c r="H40" s="119"/>
      <c r="I40" s="119"/>
      <c r="J40" s="131"/>
    </row>
    <row r="41" ht="14.25">
      <c r="A41" s="112"/>
      <c r="B41" s="119"/>
      <c r="C41" s="119" t="s">
        <v>246</v>
      </c>
      <c r="D41" s="119" t="s">
        <v>246</v>
      </c>
      <c r="E41" s="123" t="s">
        <v>153</v>
      </c>
      <c r="F41" s="129" t="s">
        <v>154</v>
      </c>
      <c r="G41" s="119"/>
      <c r="H41" s="119"/>
      <c r="I41" s="119"/>
      <c r="J41" s="131"/>
    </row>
  </sheetData>
  <pageMargins left="0.7" right="0.7" top="0.75" bottom="0.75" header="0.3" footer="0.3"/>
  <headerFooter/>
  <drawing r:id="rId1"/>
  <tableParts count="1">
    <tablePart r:id="rId2"/>
  </tableParts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mc:Ignorable="x14ac xr">
  <sheetPr codeName="Sheet13"/>
  <dimension ref="A1:B188"/>
  <sheetViews>
    <sheetView workbookViewId="0">
      <selection activeCell="G54" sqref="G54"/>
    </sheetView>
  </sheetViews>
  <sheetFormatPr defaultRowHeight="12.75"/>
  <cols>
    <col min="1" max="1" bestFit="1" width="25.73046875" customWidth="1"/>
    <col min="2" max="2" bestFit="1" width="10.265625" customWidth="1"/>
  </cols>
  <sheetData>
    <row r="1" ht="14.25">
      <c r="A1" s="135" t="s">
        <v>247</v>
      </c>
      <c r="B1" s="136" t="s">
        <v>248</v>
      </c>
    </row>
    <row r="2" ht="14.25">
      <c r="A2" s="133">
        <v>736347</v>
      </c>
      <c r="B2" s="134" t="s">
        <v>249</v>
      </c>
    </row>
    <row r="3" ht="14.25">
      <c r="A3" s="133">
        <v>736349</v>
      </c>
      <c r="B3" s="134" t="s">
        <v>250</v>
      </c>
    </row>
    <row r="4" ht="14.25">
      <c r="A4" s="133">
        <v>736350</v>
      </c>
      <c r="B4" s="134" t="s">
        <v>249</v>
      </c>
    </row>
    <row r="5" ht="14.25">
      <c r="A5" s="133">
        <v>736854</v>
      </c>
      <c r="B5" s="134" t="s">
        <v>249</v>
      </c>
    </row>
    <row r="6" ht="14.25">
      <c r="A6" s="133">
        <v>737190</v>
      </c>
      <c r="B6" s="134" t="s">
        <v>250</v>
      </c>
    </row>
    <row r="7" ht="14.25">
      <c r="A7" s="133">
        <v>738187</v>
      </c>
      <c r="B7" s="134" t="s">
        <v>250</v>
      </c>
    </row>
    <row r="8" ht="14.25">
      <c r="A8" s="133">
        <v>738446</v>
      </c>
      <c r="B8" s="134" t="s">
        <v>249</v>
      </c>
    </row>
    <row r="9" ht="14.25">
      <c r="A9" s="133">
        <v>738447</v>
      </c>
      <c r="B9" s="134" t="s">
        <v>250</v>
      </c>
    </row>
    <row r="10" ht="14.25">
      <c r="A10" s="133">
        <v>738448</v>
      </c>
      <c r="B10" s="134" t="s">
        <v>250</v>
      </c>
    </row>
    <row r="11" ht="14.25">
      <c r="A11" s="133">
        <v>738449</v>
      </c>
      <c r="B11" s="134" t="s">
        <v>249</v>
      </c>
    </row>
    <row r="12" ht="14.25">
      <c r="A12" s="133">
        <v>738454</v>
      </c>
      <c r="B12" s="134" t="s">
        <v>249</v>
      </c>
    </row>
    <row r="13" ht="14.25">
      <c r="A13" s="133">
        <v>739489</v>
      </c>
      <c r="B13" s="134" t="s">
        <v>250</v>
      </c>
    </row>
    <row r="14" ht="14.25">
      <c r="A14" s="133">
        <v>739620</v>
      </c>
      <c r="B14" s="134" t="s">
        <v>249</v>
      </c>
    </row>
    <row r="15" ht="14.25">
      <c r="A15" s="133">
        <v>739622</v>
      </c>
      <c r="B15" s="134" t="s">
        <v>249</v>
      </c>
    </row>
    <row r="16" ht="14.25">
      <c r="A16" s="133">
        <v>739623</v>
      </c>
      <c r="B16" s="134" t="s">
        <v>249</v>
      </c>
    </row>
    <row r="17" ht="14.25">
      <c r="A17" s="133">
        <v>739624</v>
      </c>
      <c r="B17" s="134" t="s">
        <v>249</v>
      </c>
    </row>
    <row r="18" ht="14.25">
      <c r="A18" s="133">
        <v>739630</v>
      </c>
      <c r="B18" s="134" t="s">
        <v>249</v>
      </c>
    </row>
    <row r="19" ht="14.25">
      <c r="A19" s="133">
        <v>739636</v>
      </c>
      <c r="B19" s="134" t="s">
        <v>249</v>
      </c>
    </row>
    <row r="20" ht="14.25">
      <c r="A20" s="133">
        <v>739637</v>
      </c>
      <c r="B20" s="134" t="s">
        <v>249</v>
      </c>
    </row>
    <row r="21" ht="14.25">
      <c r="A21" s="133">
        <v>739640</v>
      </c>
      <c r="B21" s="134" t="s">
        <v>249</v>
      </c>
    </row>
    <row r="22" ht="14.25">
      <c r="A22" s="133">
        <v>739649</v>
      </c>
      <c r="B22" s="134" t="s">
        <v>249</v>
      </c>
    </row>
    <row r="23" ht="14.25">
      <c r="A23" s="133">
        <v>739650</v>
      </c>
      <c r="B23" s="134" t="s">
        <v>249</v>
      </c>
    </row>
    <row r="24" ht="14.25">
      <c r="A24" s="133">
        <v>739685</v>
      </c>
      <c r="B24" s="134" t="s">
        <v>249</v>
      </c>
    </row>
    <row r="25" ht="14.25">
      <c r="A25" s="133">
        <v>739686</v>
      </c>
      <c r="B25" s="134" t="s">
        <v>249</v>
      </c>
    </row>
    <row r="26" ht="14.25">
      <c r="A26" s="133">
        <v>741785</v>
      </c>
      <c r="B26" s="134" t="s">
        <v>250</v>
      </c>
    </row>
    <row r="27" ht="14.25">
      <c r="A27" s="133">
        <v>741794</v>
      </c>
      <c r="B27" s="134" t="s">
        <v>249</v>
      </c>
    </row>
    <row r="28" ht="14.25">
      <c r="A28" s="133">
        <v>742047</v>
      </c>
      <c r="B28" s="134" t="s">
        <v>249</v>
      </c>
    </row>
    <row r="29" ht="14.25">
      <c r="A29" s="133">
        <v>742192</v>
      </c>
      <c r="B29" s="134" t="s">
        <v>250</v>
      </c>
    </row>
    <row r="30" ht="14.25">
      <c r="A30" s="133">
        <v>742210</v>
      </c>
      <c r="B30" s="134" t="s">
        <v>249</v>
      </c>
    </row>
    <row r="31" ht="14.25">
      <c r="A31" s="133">
        <v>742211</v>
      </c>
      <c r="B31" s="134" t="s">
        <v>249</v>
      </c>
    </row>
    <row r="32" ht="14.25">
      <c r="A32" s="133">
        <v>742215</v>
      </c>
      <c r="B32" s="134" t="s">
        <v>249</v>
      </c>
    </row>
    <row r="33" ht="14.25">
      <c r="A33" s="133">
        <v>742241</v>
      </c>
      <c r="B33" s="134" t="s">
        <v>249</v>
      </c>
    </row>
    <row r="34" ht="14.25">
      <c r="A34" s="133">
        <v>742265</v>
      </c>
      <c r="B34" s="134" t="s">
        <v>249</v>
      </c>
    </row>
    <row r="35" ht="14.25">
      <c r="A35" s="133">
        <v>742266</v>
      </c>
      <c r="B35" s="134" t="s">
        <v>249</v>
      </c>
    </row>
    <row r="36" ht="14.25">
      <c r="A36" s="133">
        <v>742270</v>
      </c>
      <c r="B36" s="134" t="s">
        <v>249</v>
      </c>
    </row>
    <row r="37" ht="14.25">
      <c r="A37" s="133">
        <v>742290</v>
      </c>
      <c r="B37" s="134" t="s">
        <v>249</v>
      </c>
    </row>
    <row r="38" ht="14.25">
      <c r="A38" s="133">
        <v>5863903</v>
      </c>
      <c r="B38" s="134" t="s">
        <v>249</v>
      </c>
    </row>
    <row r="39" ht="14.25">
      <c r="A39" s="133">
        <v>5961300</v>
      </c>
      <c r="B39" s="134" t="s">
        <v>249</v>
      </c>
    </row>
    <row r="40" ht="14.25">
      <c r="A40" s="133">
        <v>80010173</v>
      </c>
      <c r="B40" s="134" t="s">
        <v>249</v>
      </c>
    </row>
    <row r="41" ht="14.25">
      <c r="A41" s="133">
        <v>80010204</v>
      </c>
      <c r="B41" s="134" t="s">
        <v>249</v>
      </c>
    </row>
    <row r="42" ht="14.25">
      <c r="A42" s="133">
        <v>80010248</v>
      </c>
      <c r="B42" s="134" t="s">
        <v>249</v>
      </c>
    </row>
    <row r="43" ht="14.25">
      <c r="A43" s="133">
        <v>80010249</v>
      </c>
      <c r="B43" s="134" t="s">
        <v>250</v>
      </c>
    </row>
    <row r="44" ht="14.25">
      <c r="A44" s="133">
        <v>80010274</v>
      </c>
      <c r="B44" s="134" t="s">
        <v>250</v>
      </c>
    </row>
    <row r="45" ht="14.25">
      <c r="A45" s="133">
        <v>80010292</v>
      </c>
      <c r="B45" s="134" t="s">
        <v>249</v>
      </c>
    </row>
    <row r="46" ht="14.25">
      <c r="A46" s="133">
        <v>80010302</v>
      </c>
      <c r="B46" s="134" t="s">
        <v>249</v>
      </c>
    </row>
    <row r="47" ht="14.25">
      <c r="A47" s="133">
        <v>80010307</v>
      </c>
      <c r="B47" s="134" t="s">
        <v>249</v>
      </c>
    </row>
    <row r="48" ht="14.25">
      <c r="A48" s="133">
        <v>80010454</v>
      </c>
      <c r="B48" s="134" t="s">
        <v>249</v>
      </c>
    </row>
    <row r="49" ht="14.25">
      <c r="A49" s="133">
        <v>80010456</v>
      </c>
      <c r="B49" s="134" t="s">
        <v>249</v>
      </c>
    </row>
    <row r="50" ht="14.25">
      <c r="A50" s="133">
        <v>80010465</v>
      </c>
      <c r="B50" s="134" t="s">
        <v>250</v>
      </c>
    </row>
    <row r="51" ht="14.25">
      <c r="A51" s="133">
        <v>80010492</v>
      </c>
      <c r="B51" s="134" t="s">
        <v>249</v>
      </c>
    </row>
    <row r="52" ht="14.25">
      <c r="A52" s="133">
        <v>80010517</v>
      </c>
      <c r="B52" s="134" t="s">
        <v>249</v>
      </c>
    </row>
    <row r="53" ht="14.25">
      <c r="A53" s="133">
        <v>80010622</v>
      </c>
      <c r="B53" s="134" t="s">
        <v>250</v>
      </c>
    </row>
    <row r="54" ht="14.25">
      <c r="A54" s="133">
        <v>80010656</v>
      </c>
      <c r="B54" s="134" t="s">
        <v>250</v>
      </c>
    </row>
    <row r="55" ht="14.25">
      <c r="A55" s="133">
        <v>80010677</v>
      </c>
      <c r="B55" s="134" t="s">
        <v>250</v>
      </c>
    </row>
    <row r="56" ht="14.25">
      <c r="A56" s="133">
        <v>80010681</v>
      </c>
      <c r="B56" s="134" t="s">
        <v>250</v>
      </c>
    </row>
    <row r="57" ht="14.25">
      <c r="A57" s="133">
        <v>80010682</v>
      </c>
      <c r="B57" s="134" t="s">
        <v>250</v>
      </c>
    </row>
    <row r="58" ht="14.25">
      <c r="A58" s="133">
        <v>80010692</v>
      </c>
      <c r="B58" s="134" t="s">
        <v>250</v>
      </c>
    </row>
    <row r="59" ht="14.25">
      <c r="A59" s="133">
        <v>80010710</v>
      </c>
      <c r="B59" s="134" t="s">
        <v>250</v>
      </c>
    </row>
    <row r="60" ht="14.25">
      <c r="A60" s="133">
        <v>80010748</v>
      </c>
      <c r="B60" s="134" t="s">
        <v>250</v>
      </c>
    </row>
    <row r="61" ht="14.25">
      <c r="A61" s="133">
        <v>80010761</v>
      </c>
      <c r="B61" s="134" t="s">
        <v>250</v>
      </c>
    </row>
    <row r="62" ht="14.25">
      <c r="A62" s="133">
        <v>80010776</v>
      </c>
      <c r="B62" s="134" t="s">
        <v>250</v>
      </c>
    </row>
    <row r="63" ht="14.25">
      <c r="A63" s="133">
        <v>80010825</v>
      </c>
      <c r="B63" s="134" t="s">
        <v>249</v>
      </c>
    </row>
    <row r="64" ht="14.25">
      <c r="A64" s="133">
        <v>80010826</v>
      </c>
      <c r="B64" s="134" t="s">
        <v>249</v>
      </c>
    </row>
    <row r="65" ht="14.25">
      <c r="A65" s="133">
        <v>80010864</v>
      </c>
      <c r="B65" s="134" t="s">
        <v>250</v>
      </c>
    </row>
    <row r="66" ht="14.25">
      <c r="A66" s="133">
        <v>80010865</v>
      </c>
      <c r="B66" s="134" t="s">
        <v>250</v>
      </c>
    </row>
    <row r="67" ht="14.25">
      <c r="A67" s="133">
        <v>80010899</v>
      </c>
      <c r="B67" s="134" t="s">
        <v>250</v>
      </c>
    </row>
    <row r="68" ht="14.25">
      <c r="A68" s="133">
        <v>80010992</v>
      </c>
      <c r="B68" s="134" t="s">
        <v>250</v>
      </c>
    </row>
    <row r="69" ht="14.25">
      <c r="A69" s="133">
        <v>80020872</v>
      </c>
      <c r="B69" s="134" t="s">
        <v>250</v>
      </c>
    </row>
    <row r="70" ht="14.25">
      <c r="A70" s="133">
        <v>80020892</v>
      </c>
      <c r="B70" s="134" t="s">
        <v>250</v>
      </c>
    </row>
    <row r="71" ht="14.25">
      <c r="A71" s="133">
        <v>80020899</v>
      </c>
      <c r="B71" s="134" t="s">
        <v>250</v>
      </c>
    </row>
    <row r="72" ht="14.25">
      <c r="A72" s="133" t="s">
        <v>251</v>
      </c>
      <c r="B72" s="134" t="s">
        <v>250</v>
      </c>
    </row>
    <row r="73" ht="14.25">
      <c r="A73" s="133" t="s">
        <v>252</v>
      </c>
      <c r="B73" s="134" t="s">
        <v>250</v>
      </c>
    </row>
    <row r="74" ht="14.25">
      <c r="A74" s="133" t="s">
        <v>253</v>
      </c>
      <c r="B74" s="134" t="s">
        <v>250</v>
      </c>
    </row>
    <row r="75" ht="14.25">
      <c r="A75" s="133" t="s">
        <v>254</v>
      </c>
      <c r="B75" s="134" t="s">
        <v>250</v>
      </c>
    </row>
    <row r="76" ht="14.25">
      <c r="A76" s="133" t="s">
        <v>255</v>
      </c>
      <c r="B76" s="134" t="s">
        <v>249</v>
      </c>
    </row>
    <row r="77" ht="14.25">
      <c r="A77" s="133" t="s">
        <v>256</v>
      </c>
      <c r="B77" s="134" t="s">
        <v>249</v>
      </c>
    </row>
    <row r="78" ht="14.25">
      <c r="A78" s="133" t="s">
        <v>257</v>
      </c>
      <c r="B78" s="134" t="s">
        <v>249</v>
      </c>
    </row>
    <row r="79" ht="14.25">
      <c r="A79" s="133" t="s">
        <v>258</v>
      </c>
      <c r="B79" s="134" t="s">
        <v>249</v>
      </c>
    </row>
    <row r="80" ht="14.25">
      <c r="A80" s="133" t="s">
        <v>259</v>
      </c>
      <c r="B80" s="134" t="s">
        <v>249</v>
      </c>
    </row>
    <row r="81" ht="14.25">
      <c r="A81" s="133" t="s">
        <v>260</v>
      </c>
      <c r="B81" s="134" t="s">
        <v>249</v>
      </c>
    </row>
    <row r="82" ht="14.25">
      <c r="A82" s="133" t="s">
        <v>261</v>
      </c>
      <c r="B82" s="134" t="s">
        <v>249</v>
      </c>
    </row>
    <row r="83" ht="14.25">
      <c r="A83" s="133" t="s">
        <v>262</v>
      </c>
      <c r="B83" s="134" t="s">
        <v>249</v>
      </c>
    </row>
    <row r="84" ht="14.25">
      <c r="A84" s="133" t="s">
        <v>263</v>
      </c>
      <c r="B84" s="134" t="s">
        <v>249</v>
      </c>
    </row>
    <row r="85" ht="14.25">
      <c r="A85" s="133" t="s">
        <v>264</v>
      </c>
      <c r="B85" s="134" t="s">
        <v>249</v>
      </c>
    </row>
    <row r="86" ht="14.25">
      <c r="A86" s="133" t="s">
        <v>265</v>
      </c>
      <c r="B86" s="134" t="s">
        <v>249</v>
      </c>
    </row>
    <row r="87" ht="14.25">
      <c r="A87" s="133" t="s">
        <v>266</v>
      </c>
      <c r="B87" s="134" t="s">
        <v>249</v>
      </c>
    </row>
    <row r="88" ht="14.25">
      <c r="A88" s="133" t="s">
        <v>267</v>
      </c>
      <c r="B88" s="134" t="s">
        <v>249</v>
      </c>
    </row>
    <row r="89" ht="14.25">
      <c r="A89" s="133" t="s">
        <v>268</v>
      </c>
      <c r="B89" s="134" t="s">
        <v>249</v>
      </c>
    </row>
    <row r="90" ht="14.25">
      <c r="A90" s="133" t="s">
        <v>269</v>
      </c>
      <c r="B90" s="134" t="s">
        <v>249</v>
      </c>
    </row>
    <row r="91" ht="14.25">
      <c r="A91" s="133" t="s">
        <v>270</v>
      </c>
      <c r="B91" s="134" t="s">
        <v>249</v>
      </c>
    </row>
    <row r="92" ht="14.25">
      <c r="A92" s="133" t="s">
        <v>271</v>
      </c>
      <c r="B92" s="134" t="s">
        <v>249</v>
      </c>
    </row>
    <row r="93" ht="14.25">
      <c r="A93" s="133" t="s">
        <v>272</v>
      </c>
      <c r="B93" s="134" t="s">
        <v>249</v>
      </c>
    </row>
    <row r="94" ht="14.25">
      <c r="A94" s="133" t="s">
        <v>273</v>
      </c>
      <c r="B94" s="134" t="s">
        <v>250</v>
      </c>
    </row>
    <row r="95" ht="14.25">
      <c r="A95" s="133" t="s">
        <v>274</v>
      </c>
      <c r="B95" s="134" t="s">
        <v>250</v>
      </c>
    </row>
    <row r="96" ht="14.25">
      <c r="A96" s="133" t="s">
        <v>275</v>
      </c>
      <c r="B96" s="134" t="s">
        <v>250</v>
      </c>
    </row>
    <row r="97" ht="14.25">
      <c r="A97" s="133" t="s">
        <v>276</v>
      </c>
      <c r="B97" s="134" t="s">
        <v>250</v>
      </c>
    </row>
    <row r="98" ht="14.25">
      <c r="A98" s="133" t="s">
        <v>277</v>
      </c>
      <c r="B98" s="134" t="s">
        <v>250</v>
      </c>
    </row>
    <row r="99" ht="14.25">
      <c r="A99" s="133" t="s">
        <v>278</v>
      </c>
      <c r="B99" s="134" t="s">
        <v>250</v>
      </c>
    </row>
    <row r="100" ht="14.25">
      <c r="A100" s="133" t="s">
        <v>279</v>
      </c>
      <c r="B100" s="134" t="s">
        <v>250</v>
      </c>
    </row>
    <row r="101" ht="14.25">
      <c r="A101" s="133" t="s">
        <v>183</v>
      </c>
      <c r="B101" s="134" t="s">
        <v>250</v>
      </c>
    </row>
    <row r="102" ht="14.25">
      <c r="A102" s="133" t="s">
        <v>280</v>
      </c>
      <c r="B102" s="134" t="s">
        <v>250</v>
      </c>
    </row>
    <row r="103" ht="14.25">
      <c r="A103" s="133" t="s">
        <v>281</v>
      </c>
      <c r="B103" s="134" t="s">
        <v>250</v>
      </c>
    </row>
    <row r="104" ht="14.25">
      <c r="A104" s="139" t="s">
        <v>282</v>
      </c>
      <c r="B104" s="140" t="s">
        <v>250</v>
      </c>
    </row>
    <row r="105" ht="14.25">
      <c r="A105" s="133" t="s">
        <v>283</v>
      </c>
      <c r="B105" s="134" t="s">
        <v>249</v>
      </c>
    </row>
    <row r="106" ht="14.25">
      <c r="A106" s="133" t="s">
        <v>284</v>
      </c>
      <c r="B106" s="134" t="s">
        <v>250</v>
      </c>
    </row>
    <row r="107" ht="14.25">
      <c r="A107" s="133" t="s">
        <v>285</v>
      </c>
      <c r="B107" s="134" t="s">
        <v>250</v>
      </c>
    </row>
    <row r="108" ht="14.25">
      <c r="A108" s="133" t="s">
        <v>286</v>
      </c>
      <c r="B108" s="134" t="s">
        <v>250</v>
      </c>
    </row>
    <row r="109" ht="14.25">
      <c r="A109" s="133" t="s">
        <v>287</v>
      </c>
      <c r="B109" s="134" t="s">
        <v>250</v>
      </c>
    </row>
    <row r="110" ht="14.25">
      <c r="A110" s="133" t="s">
        <v>288</v>
      </c>
      <c r="B110" s="134" t="s">
        <v>250</v>
      </c>
    </row>
    <row r="111" ht="14.25">
      <c r="A111" s="133" t="s">
        <v>289</v>
      </c>
      <c r="B111" s="134" t="s">
        <v>250</v>
      </c>
    </row>
    <row r="112" ht="14.25">
      <c r="A112" s="133" t="s">
        <v>290</v>
      </c>
      <c r="B112" s="134" t="s">
        <v>250</v>
      </c>
    </row>
    <row r="113" ht="14.25">
      <c r="A113" s="133" t="s">
        <v>291</v>
      </c>
      <c r="B113" s="134" t="s">
        <v>250</v>
      </c>
    </row>
    <row r="114" ht="14.25">
      <c r="A114" s="133" t="s">
        <v>292</v>
      </c>
      <c r="B114" s="134" t="s">
        <v>250</v>
      </c>
    </row>
    <row r="115" ht="14.25">
      <c r="A115" s="133" t="s">
        <v>293</v>
      </c>
      <c r="B115" s="134" t="s">
        <v>250</v>
      </c>
    </row>
    <row r="116" ht="14.25">
      <c r="A116" s="133" t="s">
        <v>294</v>
      </c>
      <c r="B116" s="134" t="s">
        <v>250</v>
      </c>
    </row>
    <row r="117" ht="14.25">
      <c r="A117" s="133" t="s">
        <v>295</v>
      </c>
      <c r="B117" s="134" t="s">
        <v>250</v>
      </c>
    </row>
    <row r="118" ht="14.25">
      <c r="A118" s="133" t="s">
        <v>296</v>
      </c>
      <c r="B118" s="134" t="s">
        <v>250</v>
      </c>
    </row>
    <row r="119" ht="14.25">
      <c r="A119" s="133" t="s">
        <v>297</v>
      </c>
      <c r="B119" s="134" t="s">
        <v>250</v>
      </c>
    </row>
    <row r="120" ht="14.25">
      <c r="A120" s="133" t="s">
        <v>298</v>
      </c>
      <c r="B120" s="134" t="s">
        <v>250</v>
      </c>
    </row>
    <row r="121" ht="14.25">
      <c r="A121" s="133" t="s">
        <v>299</v>
      </c>
      <c r="B121" s="134" t="s">
        <v>250</v>
      </c>
    </row>
    <row r="122" ht="14.25">
      <c r="A122" s="133" t="s">
        <v>300</v>
      </c>
      <c r="B122" s="134" t="s">
        <v>250</v>
      </c>
    </row>
    <row r="123" ht="14.25">
      <c r="A123" s="133" t="s">
        <v>7</v>
      </c>
      <c r="B123" s="134" t="s">
        <v>250</v>
      </c>
    </row>
    <row r="124" ht="14.25">
      <c r="A124" s="133" t="s">
        <v>301</v>
      </c>
      <c r="B124" s="134" t="s">
        <v>250</v>
      </c>
    </row>
    <row r="125" ht="14.25">
      <c r="A125" s="133" t="s">
        <v>302</v>
      </c>
      <c r="B125" s="134" t="s">
        <v>250</v>
      </c>
    </row>
    <row r="126" ht="14.25">
      <c r="A126" s="133" t="s">
        <v>303</v>
      </c>
      <c r="B126" s="134" t="s">
        <v>250</v>
      </c>
    </row>
    <row r="127" ht="14.25">
      <c r="A127" s="133" t="s">
        <v>304</v>
      </c>
      <c r="B127" s="134" t="s">
        <v>250</v>
      </c>
    </row>
    <row r="128" ht="14.25">
      <c r="A128" s="133" t="s">
        <v>305</v>
      </c>
      <c r="B128" s="134" t="s">
        <v>250</v>
      </c>
    </row>
    <row r="129" ht="14.25">
      <c r="A129" s="133" t="s">
        <v>306</v>
      </c>
      <c r="B129" s="134" t="s">
        <v>249</v>
      </c>
    </row>
    <row r="130" ht="14.25">
      <c r="A130" s="133" t="s">
        <v>307</v>
      </c>
      <c r="B130" s="134" t="s">
        <v>250</v>
      </c>
    </row>
    <row r="131" ht="14.25">
      <c r="A131" s="133" t="s">
        <v>308</v>
      </c>
      <c r="B131" s="134" t="s">
        <v>250</v>
      </c>
    </row>
    <row r="132" ht="14.25">
      <c r="A132" s="133" t="s">
        <v>309</v>
      </c>
      <c r="B132" s="134" t="s">
        <v>250</v>
      </c>
    </row>
    <row r="133" ht="14.25">
      <c r="A133" s="133" t="s">
        <v>310</v>
      </c>
      <c r="B133" s="134" t="s">
        <v>250</v>
      </c>
    </row>
    <row r="134" ht="14.25">
      <c r="A134" s="133" t="s">
        <v>311</v>
      </c>
      <c r="B134" s="134" t="s">
        <v>250</v>
      </c>
    </row>
    <row r="135" ht="14.25">
      <c r="A135" s="133" t="s">
        <v>312</v>
      </c>
      <c r="B135" s="134" t="s">
        <v>250</v>
      </c>
    </row>
    <row r="136" ht="14.25">
      <c r="A136" s="133" t="s">
        <v>313</v>
      </c>
      <c r="B136" s="134" t="s">
        <v>250</v>
      </c>
    </row>
    <row r="137" ht="14.25">
      <c r="A137" s="133" t="s">
        <v>314</v>
      </c>
      <c r="B137" s="134" t="s">
        <v>249</v>
      </c>
    </row>
    <row r="138" ht="14.25">
      <c r="A138" s="133" t="s">
        <v>315</v>
      </c>
      <c r="B138" s="134" t="s">
        <v>249</v>
      </c>
    </row>
    <row r="139" ht="14.25">
      <c r="A139" s="133" t="s">
        <v>316</v>
      </c>
      <c r="B139" s="134" t="s">
        <v>249</v>
      </c>
    </row>
    <row r="140" ht="14.25">
      <c r="A140" s="133" t="s">
        <v>317</v>
      </c>
      <c r="B140" s="134" t="s">
        <v>249</v>
      </c>
    </row>
    <row r="141" ht="14.25">
      <c r="A141" s="133" t="s">
        <v>318</v>
      </c>
      <c r="B141" s="134" t="s">
        <v>250</v>
      </c>
    </row>
    <row r="142" ht="14.25">
      <c r="A142" s="133" t="s">
        <v>319</v>
      </c>
      <c r="B142" s="134" t="s">
        <v>250</v>
      </c>
    </row>
    <row r="143" ht="14.25">
      <c r="A143" s="133" t="s">
        <v>320</v>
      </c>
      <c r="B143" s="134" t="s">
        <v>249</v>
      </c>
    </row>
    <row r="144" ht="14.25">
      <c r="A144" s="133" t="s">
        <v>321</v>
      </c>
      <c r="B144" s="134" t="s">
        <v>249</v>
      </c>
    </row>
    <row r="145" ht="14.25">
      <c r="A145" s="133" t="s">
        <v>322</v>
      </c>
      <c r="B145" s="134" t="s">
        <v>249</v>
      </c>
    </row>
    <row r="146" ht="14.25">
      <c r="A146" s="133" t="s">
        <v>323</v>
      </c>
      <c r="B146" s="134" t="s">
        <v>249</v>
      </c>
    </row>
    <row r="147" ht="14.25">
      <c r="A147" s="133" t="s">
        <v>324</v>
      </c>
      <c r="B147" s="134" t="s">
        <v>249</v>
      </c>
    </row>
    <row r="148" ht="14.25">
      <c r="A148" s="133" t="s">
        <v>325</v>
      </c>
      <c r="B148" s="134" t="s">
        <v>250</v>
      </c>
    </row>
    <row r="149" ht="14.25">
      <c r="A149" s="133" t="s">
        <v>326</v>
      </c>
      <c r="B149" s="134" t="s">
        <v>250</v>
      </c>
    </row>
    <row r="150" ht="14.25">
      <c r="A150" s="133" t="s">
        <v>327</v>
      </c>
      <c r="B150" s="134" t="s">
        <v>250</v>
      </c>
    </row>
    <row r="151" ht="14.25">
      <c r="A151" s="133" t="s">
        <v>328</v>
      </c>
      <c r="B151" s="134" t="s">
        <v>249</v>
      </c>
    </row>
    <row r="152" ht="14.25">
      <c r="A152" s="133" t="s">
        <v>329</v>
      </c>
      <c r="B152" s="134" t="s">
        <v>249</v>
      </c>
    </row>
    <row r="153" ht="14.25">
      <c r="A153" s="133" t="s">
        <v>330</v>
      </c>
      <c r="B153" s="134" t="s">
        <v>250</v>
      </c>
    </row>
    <row r="154" ht="14.25">
      <c r="A154" s="133" t="s">
        <v>331</v>
      </c>
      <c r="B154" s="134" t="s">
        <v>250</v>
      </c>
    </row>
    <row r="155" ht="14.25">
      <c r="A155" s="133" t="s">
        <v>332</v>
      </c>
      <c r="B155" s="134" t="s">
        <v>250</v>
      </c>
    </row>
    <row r="156" ht="14.25">
      <c r="A156" s="133" t="s">
        <v>333</v>
      </c>
      <c r="B156" s="134" t="s">
        <v>250</v>
      </c>
    </row>
    <row r="157" ht="14.25">
      <c r="A157" s="133" t="s">
        <v>334</v>
      </c>
      <c r="B157" s="134" t="s">
        <v>249</v>
      </c>
    </row>
    <row r="158" ht="14.25">
      <c r="A158" s="133" t="s">
        <v>335</v>
      </c>
      <c r="B158" s="134" t="s">
        <v>250</v>
      </c>
    </row>
    <row r="159" ht="14.25">
      <c r="A159" s="133" t="s">
        <v>336</v>
      </c>
      <c r="B159" s="134" t="s">
        <v>250</v>
      </c>
    </row>
    <row r="160" ht="14.25">
      <c r="A160" s="133" t="s">
        <v>337</v>
      </c>
      <c r="B160" s="134" t="s">
        <v>249</v>
      </c>
    </row>
    <row r="161" ht="14.25">
      <c r="A161" s="133" t="s">
        <v>338</v>
      </c>
      <c r="B161" s="134" t="s">
        <v>249</v>
      </c>
    </row>
    <row r="162" ht="14.25">
      <c r="A162" s="133" t="s">
        <v>339</v>
      </c>
      <c r="B162" s="134" t="s">
        <v>249</v>
      </c>
    </row>
    <row r="163" ht="14.25">
      <c r="A163" s="133" t="s">
        <v>340</v>
      </c>
      <c r="B163" s="134" t="s">
        <v>249</v>
      </c>
    </row>
    <row r="164" ht="14.25">
      <c r="A164" s="133" t="s">
        <v>341</v>
      </c>
      <c r="B164" s="134" t="s">
        <v>249</v>
      </c>
    </row>
    <row r="165" ht="14.25">
      <c r="A165" s="133" t="s">
        <v>342</v>
      </c>
      <c r="B165" s="134" t="s">
        <v>249</v>
      </c>
    </row>
    <row r="166" ht="14.25">
      <c r="A166" s="133" t="s">
        <v>343</v>
      </c>
      <c r="B166" s="134" t="s">
        <v>250</v>
      </c>
    </row>
    <row r="167" ht="14.25">
      <c r="A167" s="133" t="s">
        <v>344</v>
      </c>
      <c r="B167" s="134" t="s">
        <v>250</v>
      </c>
    </row>
    <row r="168" ht="14.25">
      <c r="A168" s="133" t="s">
        <v>345</v>
      </c>
      <c r="B168" s="134" t="s">
        <v>250</v>
      </c>
    </row>
    <row r="169" ht="14.25">
      <c r="A169" s="133" t="s">
        <v>346</v>
      </c>
      <c r="B169" s="134" t="s">
        <v>249</v>
      </c>
    </row>
    <row r="170" ht="14.25">
      <c r="A170" s="133" t="s">
        <v>347</v>
      </c>
      <c r="B170" s="134" t="s">
        <v>249</v>
      </c>
    </row>
    <row r="171" ht="14.25">
      <c r="A171" s="133" t="s">
        <v>348</v>
      </c>
      <c r="B171" s="134" t="s">
        <v>249</v>
      </c>
    </row>
    <row r="172" ht="14.25">
      <c r="A172" s="133" t="s">
        <v>349</v>
      </c>
      <c r="B172" s="134" t="s">
        <v>249</v>
      </c>
    </row>
    <row r="173" ht="14.25">
      <c r="A173" s="133" t="s">
        <v>350</v>
      </c>
      <c r="B173" s="134" t="s">
        <v>250</v>
      </c>
    </row>
    <row r="174" ht="14.25">
      <c r="A174" s="133" t="s">
        <v>351</v>
      </c>
      <c r="B174" s="134" t="s">
        <v>250</v>
      </c>
    </row>
    <row r="175" ht="14.25">
      <c r="A175" s="133" t="s">
        <v>352</v>
      </c>
      <c r="B175" s="134" t="s">
        <v>250</v>
      </c>
    </row>
    <row r="176" ht="14.25">
      <c r="A176" s="133" t="s">
        <v>353</v>
      </c>
      <c r="B176" s="134" t="s">
        <v>250</v>
      </c>
    </row>
    <row r="177" ht="14.25">
      <c r="A177" s="133" t="s">
        <v>354</v>
      </c>
      <c r="B177" s="134" t="s">
        <v>250</v>
      </c>
    </row>
    <row r="178" ht="14.25">
      <c r="A178" s="133" t="s">
        <v>355</v>
      </c>
      <c r="B178" s="134" t="s">
        <v>250</v>
      </c>
    </row>
    <row r="179" ht="14.25">
      <c r="A179" s="133" t="s">
        <v>356</v>
      </c>
      <c r="B179" s="134" t="s">
        <v>250</v>
      </c>
    </row>
    <row r="180" ht="14.25">
      <c r="A180" s="133" t="s">
        <v>357</v>
      </c>
      <c r="B180" s="134" t="s">
        <v>249</v>
      </c>
    </row>
    <row r="181" ht="14.25">
      <c r="A181" s="133" t="s">
        <v>358</v>
      </c>
      <c r="B181" s="134" t="s">
        <v>249</v>
      </c>
    </row>
    <row r="182" ht="14.25">
      <c r="A182" s="133" t="s">
        <v>359</v>
      </c>
      <c r="B182" s="134" t="s">
        <v>249</v>
      </c>
    </row>
    <row r="183" ht="14.25">
      <c r="A183" s="133" t="s">
        <v>360</v>
      </c>
      <c r="B183" s="134" t="s">
        <v>249</v>
      </c>
    </row>
    <row r="184" ht="14.25">
      <c r="A184" s="133" t="s">
        <v>361</v>
      </c>
      <c r="B184" s="134" t="s">
        <v>250</v>
      </c>
    </row>
    <row r="185" ht="14.25">
      <c r="A185" s="133" t="s">
        <v>362</v>
      </c>
      <c r="B185" s="134" t="s">
        <v>249</v>
      </c>
    </row>
    <row r="186" ht="14.25">
      <c r="A186" s="133" t="s">
        <v>363</v>
      </c>
      <c r="B186" s="134" t="s">
        <v>250</v>
      </c>
    </row>
    <row r="187" ht="14.25">
      <c r="A187" s="133" t="s">
        <v>364</v>
      </c>
      <c r="B187" s="134" t="s">
        <v>250</v>
      </c>
    </row>
    <row r="188" ht="14.25">
      <c r="A188" s="137" t="s">
        <v>365</v>
      </c>
      <c r="B188" s="138" t="s">
        <v>249</v>
      </c>
    </row>
  </sheetData>
  <pageMargins left="0.7" right="0.7" top="0.75" bottom="0.75" header="0.3" footer="0.3"/>
  <headerFooter/>
  <tableParts count="1">
    <tablePart r:id="rId1"/>
  </tableParts>
</worksheet>
</file>

<file path=xl/worksheets/sheet31.xml><?xml version="1.0" encoding="utf-8"?>
<worksheet xmlns:r="http://schemas.openxmlformats.org/officeDocument/2006/relationships" xmlns="http://schemas.openxmlformats.org/spreadsheetml/2006/main" xmlns:xr="http://schemas.microsoft.com/office/spreadsheetml/2014/revision" xmlns:mc="http://schemas.openxmlformats.org/markup-compatibility/2006" mc:Ignorable="xr">
  <sheetPr codeName="Antennas"/>
  <dimension ref="A1:J269"/>
  <sheetViews>
    <sheetView workbookViewId="0"/>
  </sheetViews>
  <sheetFormatPr defaultRowHeight="15"/>
  <sheetData>
    <row r="1">
      <c r="A1" s="0" t="s">
        <v>251</v>
      </c>
      <c r="B1" s="0" t="s">
        <v>366</v>
      </c>
      <c r="C1" s="0" t="s">
        <v>366</v>
      </c>
    </row>
    <row r="2">
      <c r="A2" s="0" t="s">
        <v>252</v>
      </c>
      <c r="B2" s="0" t="s">
        <v>367</v>
      </c>
      <c r="C2" s="0" t="s">
        <v>367</v>
      </c>
    </row>
    <row r="3">
      <c r="A3" s="0" t="s">
        <v>368</v>
      </c>
      <c r="B3" s="0" t="s">
        <v>35</v>
      </c>
    </row>
    <row r="4">
      <c r="A4" s="0" t="s">
        <v>369</v>
      </c>
      <c r="B4" s="0" t="s">
        <v>370</v>
      </c>
      <c r="C4" s="0" t="s">
        <v>371</v>
      </c>
    </row>
    <row r="5">
      <c r="A5" s="0" t="s">
        <v>372</v>
      </c>
      <c r="B5" s="0" t="s">
        <v>370</v>
      </c>
      <c r="C5" s="0" t="s">
        <v>371</v>
      </c>
      <c r="D5" s="0" t="s">
        <v>371</v>
      </c>
    </row>
    <row r="6">
      <c r="A6" s="0" t="s">
        <v>373</v>
      </c>
      <c r="B6" s="0" t="s">
        <v>35</v>
      </c>
      <c r="C6" s="0" t="s">
        <v>374</v>
      </c>
      <c r="D6" s="0" t="s">
        <v>35</v>
      </c>
      <c r="E6" s="0" t="s">
        <v>374</v>
      </c>
    </row>
    <row r="7">
      <c r="A7" s="0" t="s">
        <v>375</v>
      </c>
      <c r="B7" s="0" t="s">
        <v>374</v>
      </c>
      <c r="C7" s="0" t="s">
        <v>374</v>
      </c>
      <c r="D7" s="0" t="s">
        <v>376</v>
      </c>
      <c r="E7" s="0" t="s">
        <v>376</v>
      </c>
    </row>
    <row r="8">
      <c r="A8" s="0" t="s">
        <v>377</v>
      </c>
      <c r="B8" s="0" t="s">
        <v>35</v>
      </c>
      <c r="C8" s="0" t="s">
        <v>374</v>
      </c>
      <c r="D8" s="0" t="s">
        <v>35</v>
      </c>
      <c r="E8" s="0" t="s">
        <v>35</v>
      </c>
      <c r="F8" s="0" t="s">
        <v>374</v>
      </c>
    </row>
    <row r="9">
      <c r="A9" s="0" t="s">
        <v>378</v>
      </c>
      <c r="B9" s="0" t="s">
        <v>35</v>
      </c>
      <c r="C9" s="0" t="s">
        <v>379</v>
      </c>
      <c r="D9" s="0" t="s">
        <v>374</v>
      </c>
      <c r="E9" s="0" t="s">
        <v>35</v>
      </c>
      <c r="F9" s="0" t="s">
        <v>35</v>
      </c>
      <c r="G9" s="0" t="s">
        <v>374</v>
      </c>
    </row>
    <row r="10">
      <c r="A10" s="0" t="s">
        <v>253</v>
      </c>
      <c r="B10" s="0" t="s">
        <v>380</v>
      </c>
      <c r="C10" s="0" t="s">
        <v>380</v>
      </c>
      <c r="D10" s="0" t="s">
        <v>380</v>
      </c>
      <c r="E10" s="0" t="s">
        <v>380</v>
      </c>
      <c r="F10" s="0" t="s">
        <v>380</v>
      </c>
    </row>
    <row r="11">
      <c r="A11" s="0" t="s">
        <v>381</v>
      </c>
      <c r="B11" s="0" t="s">
        <v>382</v>
      </c>
      <c r="C11" s="0" t="s">
        <v>382</v>
      </c>
      <c r="D11" s="0" t="s">
        <v>382</v>
      </c>
      <c r="E11" s="0" t="s">
        <v>382</v>
      </c>
      <c r="F11" s="0" t="s">
        <v>382</v>
      </c>
    </row>
    <row r="12">
      <c r="A12" s="0" t="s">
        <v>383</v>
      </c>
      <c r="B12" s="0" t="s">
        <v>366</v>
      </c>
    </row>
    <row r="13">
      <c r="A13" s="0" t="s">
        <v>384</v>
      </c>
      <c r="B13" s="0" t="s">
        <v>385</v>
      </c>
    </row>
    <row r="14">
      <c r="A14" s="0" t="s">
        <v>386</v>
      </c>
      <c r="B14" s="0" t="s">
        <v>385</v>
      </c>
    </row>
    <row r="15">
      <c r="A15" s="0" t="s">
        <v>387</v>
      </c>
      <c r="B15" s="0" t="s">
        <v>385</v>
      </c>
    </row>
    <row r="16">
      <c r="A16" s="0" t="s">
        <v>388</v>
      </c>
      <c r="B16" s="0" t="s">
        <v>389</v>
      </c>
    </row>
    <row r="17">
      <c r="A17" s="0" t="s">
        <v>390</v>
      </c>
      <c r="B17" s="0" t="s">
        <v>391</v>
      </c>
    </row>
    <row r="18">
      <c r="A18" s="0" t="s">
        <v>392</v>
      </c>
      <c r="B18" s="0" t="s">
        <v>391</v>
      </c>
    </row>
    <row r="19">
      <c r="A19" s="0" t="s">
        <v>393</v>
      </c>
      <c r="B19" s="0" t="s">
        <v>394</v>
      </c>
    </row>
    <row r="20">
      <c r="A20" s="0" t="s">
        <v>395</v>
      </c>
      <c r="B20" s="0" t="s">
        <v>394</v>
      </c>
    </row>
    <row r="21">
      <c r="A21" s="0" t="s">
        <v>396</v>
      </c>
      <c r="B21" s="0" t="s">
        <v>397</v>
      </c>
    </row>
    <row r="22">
      <c r="A22" s="0" t="s">
        <v>398</v>
      </c>
      <c r="B22" s="0" t="s">
        <v>397</v>
      </c>
    </row>
    <row r="23">
      <c r="A23" s="0" t="s">
        <v>399</v>
      </c>
      <c r="B23" s="0" t="s">
        <v>400</v>
      </c>
    </row>
    <row r="24">
      <c r="A24" s="0" t="s">
        <v>401</v>
      </c>
      <c r="B24" s="0" t="s">
        <v>402</v>
      </c>
    </row>
    <row r="25">
      <c r="A25" s="0" t="s">
        <v>403</v>
      </c>
      <c r="B25" s="0" t="s">
        <v>371</v>
      </c>
    </row>
    <row r="26">
      <c r="A26" s="0" t="s">
        <v>404</v>
      </c>
      <c r="B26" s="0" t="s">
        <v>405</v>
      </c>
    </row>
    <row r="27">
      <c r="A27" s="0" t="s">
        <v>406</v>
      </c>
      <c r="B27" s="0" t="s">
        <v>407</v>
      </c>
    </row>
    <row r="28">
      <c r="A28" s="0" t="s">
        <v>408</v>
      </c>
      <c r="B28" s="0" t="s">
        <v>409</v>
      </c>
    </row>
    <row r="29">
      <c r="A29" s="0" t="s">
        <v>410</v>
      </c>
      <c r="B29" s="0" t="s">
        <v>409</v>
      </c>
    </row>
    <row r="30">
      <c r="A30" s="0" t="s">
        <v>411</v>
      </c>
      <c r="B30" s="0" t="s">
        <v>409</v>
      </c>
    </row>
    <row r="31">
      <c r="A31" s="0" t="s">
        <v>412</v>
      </c>
      <c r="B31" s="0" t="s">
        <v>409</v>
      </c>
    </row>
    <row r="32">
      <c r="A32" s="0" t="s">
        <v>413</v>
      </c>
      <c r="B32" s="0" t="s">
        <v>385</v>
      </c>
    </row>
    <row r="33">
      <c r="A33" s="0" t="s">
        <v>414</v>
      </c>
      <c r="B33" s="0" t="s">
        <v>409</v>
      </c>
    </row>
    <row r="34">
      <c r="A34" s="0" t="s">
        <v>415</v>
      </c>
      <c r="B34" s="0" t="s">
        <v>409</v>
      </c>
    </row>
    <row r="35">
      <c r="A35" s="0" t="s">
        <v>416</v>
      </c>
      <c r="B35" s="0" t="s">
        <v>409</v>
      </c>
    </row>
    <row r="36">
      <c r="A36" s="0" t="s">
        <v>417</v>
      </c>
      <c r="B36" s="0" t="s">
        <v>418</v>
      </c>
    </row>
    <row r="37">
      <c r="A37" s="0" t="s">
        <v>419</v>
      </c>
      <c r="B37" s="0" t="s">
        <v>409</v>
      </c>
    </row>
    <row r="38">
      <c r="A38" s="0" t="s">
        <v>420</v>
      </c>
      <c r="B38" s="0" t="s">
        <v>409</v>
      </c>
    </row>
    <row r="39">
      <c r="A39" s="0" t="s">
        <v>421</v>
      </c>
      <c r="B39" s="0" t="s">
        <v>409</v>
      </c>
    </row>
    <row r="40">
      <c r="A40" s="0" t="s">
        <v>422</v>
      </c>
      <c r="B40" s="0" t="s">
        <v>409</v>
      </c>
    </row>
    <row r="41">
      <c r="A41" s="0" t="s">
        <v>423</v>
      </c>
      <c r="B41" s="0" t="s">
        <v>409</v>
      </c>
    </row>
    <row r="42">
      <c r="A42" s="0" t="s">
        <v>424</v>
      </c>
      <c r="B42" s="0" t="s">
        <v>405</v>
      </c>
    </row>
    <row r="43">
      <c r="A43" s="0" t="s">
        <v>425</v>
      </c>
      <c r="B43" s="0" t="s">
        <v>400</v>
      </c>
    </row>
    <row r="44">
      <c r="A44" s="0" t="s">
        <v>426</v>
      </c>
      <c r="B44" s="0" t="s">
        <v>385</v>
      </c>
    </row>
    <row r="45">
      <c r="A45" s="0" t="s">
        <v>427</v>
      </c>
      <c r="B45" s="0" t="s">
        <v>385</v>
      </c>
    </row>
    <row r="46">
      <c r="A46" s="0" t="s">
        <v>428</v>
      </c>
      <c r="B46" s="0" t="s">
        <v>385</v>
      </c>
    </row>
    <row r="47">
      <c r="A47" s="0" t="s">
        <v>429</v>
      </c>
      <c r="B47" s="0" t="s">
        <v>371</v>
      </c>
    </row>
    <row r="48">
      <c r="A48" s="0" t="s">
        <v>430</v>
      </c>
      <c r="B48" s="0" t="s">
        <v>400</v>
      </c>
    </row>
    <row r="49">
      <c r="A49" s="0" t="s">
        <v>431</v>
      </c>
      <c r="B49" s="0" t="s">
        <v>394</v>
      </c>
    </row>
    <row r="50">
      <c r="A50" s="0" t="s">
        <v>432</v>
      </c>
      <c r="B50" s="0" t="s">
        <v>433</v>
      </c>
    </row>
    <row r="51">
      <c r="A51" s="0" t="s">
        <v>254</v>
      </c>
      <c r="B51" s="0" t="s">
        <v>434</v>
      </c>
    </row>
    <row r="52">
      <c r="A52" s="0" t="s">
        <v>435</v>
      </c>
      <c r="B52" s="0" t="s">
        <v>436</v>
      </c>
    </row>
    <row r="53">
      <c r="A53" s="0" t="s">
        <v>437</v>
      </c>
      <c r="B53" s="0" t="s">
        <v>371</v>
      </c>
    </row>
    <row r="54">
      <c r="A54" s="0" t="s">
        <v>438</v>
      </c>
      <c r="B54" s="0" t="s">
        <v>371</v>
      </c>
    </row>
    <row r="55">
      <c r="A55" s="0" t="s">
        <v>439</v>
      </c>
      <c r="B55" s="0" t="s">
        <v>371</v>
      </c>
    </row>
    <row r="56">
      <c r="A56" s="0" t="s">
        <v>440</v>
      </c>
      <c r="B56" s="0" t="s">
        <v>402</v>
      </c>
    </row>
    <row r="57">
      <c r="A57" s="0" t="s">
        <v>255</v>
      </c>
      <c r="B57" s="0" t="s">
        <v>441</v>
      </c>
    </row>
    <row r="58">
      <c r="A58" s="0" t="s">
        <v>442</v>
      </c>
      <c r="B58" s="0" t="s">
        <v>443</v>
      </c>
    </row>
    <row r="59">
      <c r="A59" s="0" t="s">
        <v>444</v>
      </c>
      <c r="B59" s="0" t="s">
        <v>382</v>
      </c>
      <c r="C59" s="0" t="s">
        <v>418</v>
      </c>
    </row>
    <row r="60">
      <c r="A60" s="0" t="s">
        <v>445</v>
      </c>
      <c r="B60" s="0" t="s">
        <v>371</v>
      </c>
      <c r="C60" s="0" t="s">
        <v>418</v>
      </c>
      <c r="D60" s="0" t="s">
        <v>371</v>
      </c>
    </row>
    <row r="61">
      <c r="A61" s="0" t="s">
        <v>256</v>
      </c>
      <c r="B61" s="0" t="s">
        <v>382</v>
      </c>
      <c r="C61" s="0" t="s">
        <v>366</v>
      </c>
    </row>
    <row r="62">
      <c r="A62" s="0" t="s">
        <v>446</v>
      </c>
      <c r="B62" s="0" t="s">
        <v>371</v>
      </c>
      <c r="C62" s="0" t="s">
        <v>418</v>
      </c>
    </row>
    <row r="63">
      <c r="A63" s="0" t="s">
        <v>257</v>
      </c>
      <c r="B63" s="0" t="s">
        <v>382</v>
      </c>
      <c r="C63" s="0" t="s">
        <v>366</v>
      </c>
    </row>
    <row r="64">
      <c r="A64" s="0" t="s">
        <v>447</v>
      </c>
      <c r="B64" s="0" t="s">
        <v>418</v>
      </c>
      <c r="C64" s="0" t="s">
        <v>382</v>
      </c>
    </row>
    <row r="65">
      <c r="A65" s="0" t="s">
        <v>258</v>
      </c>
      <c r="B65" s="0" t="s">
        <v>382</v>
      </c>
      <c r="C65" s="0" t="s">
        <v>366</v>
      </c>
    </row>
    <row r="66">
      <c r="A66" s="0" t="s">
        <v>259</v>
      </c>
      <c r="B66" s="0" t="s">
        <v>382</v>
      </c>
      <c r="C66" s="0" t="s">
        <v>366</v>
      </c>
    </row>
    <row r="67">
      <c r="A67" s="0" t="s">
        <v>260</v>
      </c>
      <c r="B67" s="0" t="s">
        <v>382</v>
      </c>
      <c r="C67" s="0" t="s">
        <v>366</v>
      </c>
    </row>
    <row r="68">
      <c r="A68" s="0" t="s">
        <v>448</v>
      </c>
      <c r="B68" s="0" t="s">
        <v>391</v>
      </c>
      <c r="C68" s="0" t="s">
        <v>409</v>
      </c>
      <c r="D68" s="0" t="s">
        <v>449</v>
      </c>
    </row>
    <row r="69">
      <c r="A69" s="0" t="s">
        <v>261</v>
      </c>
      <c r="B69" s="0" t="s">
        <v>449</v>
      </c>
      <c r="C69" s="0" t="s">
        <v>391</v>
      </c>
      <c r="D69" s="0" t="s">
        <v>366</v>
      </c>
    </row>
    <row r="70">
      <c r="A70" s="0" t="s">
        <v>450</v>
      </c>
      <c r="B70" s="0" t="s">
        <v>391</v>
      </c>
      <c r="C70" s="0" t="s">
        <v>409</v>
      </c>
      <c r="D70" s="0" t="s">
        <v>449</v>
      </c>
    </row>
    <row r="71">
      <c r="A71" s="0" t="s">
        <v>451</v>
      </c>
      <c r="B71" s="0" t="s">
        <v>449</v>
      </c>
      <c r="C71" s="0" t="s">
        <v>391</v>
      </c>
      <c r="D71" s="0" t="s">
        <v>366</v>
      </c>
    </row>
    <row r="72">
      <c r="A72" s="0" t="s">
        <v>452</v>
      </c>
      <c r="B72" s="0" t="s">
        <v>391</v>
      </c>
      <c r="C72" s="0" t="s">
        <v>409</v>
      </c>
      <c r="D72" s="0" t="s">
        <v>449</v>
      </c>
    </row>
    <row r="73">
      <c r="A73" s="0" t="s">
        <v>453</v>
      </c>
      <c r="B73" s="0" t="s">
        <v>394</v>
      </c>
    </row>
    <row r="74">
      <c r="A74" s="0" t="s">
        <v>454</v>
      </c>
      <c r="B74" s="0" t="s">
        <v>382</v>
      </c>
      <c r="C74" s="0" t="s">
        <v>366</v>
      </c>
    </row>
    <row r="75">
      <c r="A75" s="0" t="s">
        <v>262</v>
      </c>
      <c r="B75" s="0" t="s">
        <v>382</v>
      </c>
      <c r="C75" s="0" t="s">
        <v>366</v>
      </c>
    </row>
    <row r="76">
      <c r="A76" s="0" t="s">
        <v>455</v>
      </c>
      <c r="B76" s="0" t="s">
        <v>380</v>
      </c>
    </row>
    <row r="77">
      <c r="A77" s="0" t="s">
        <v>456</v>
      </c>
      <c r="B77" s="0" t="s">
        <v>457</v>
      </c>
    </row>
    <row r="78">
      <c r="A78" s="0" t="s">
        <v>458</v>
      </c>
      <c r="B78" s="0" t="s">
        <v>409</v>
      </c>
    </row>
    <row r="79">
      <c r="A79" s="0" t="s">
        <v>459</v>
      </c>
      <c r="B79" s="0" t="s">
        <v>460</v>
      </c>
    </row>
    <row r="80">
      <c r="A80" s="0" t="s">
        <v>461</v>
      </c>
      <c r="B80" s="0" t="s">
        <v>462</v>
      </c>
    </row>
    <row r="81">
      <c r="A81" s="0" t="s">
        <v>463</v>
      </c>
      <c r="B81" s="0" t="s">
        <v>385</v>
      </c>
      <c r="C81" s="0" t="s">
        <v>449</v>
      </c>
    </row>
    <row r="82">
      <c r="A82" s="0" t="s">
        <v>263</v>
      </c>
      <c r="B82" s="0" t="s">
        <v>382</v>
      </c>
      <c r="C82" s="0" t="s">
        <v>366</v>
      </c>
      <c r="D82" s="0" t="s">
        <v>382</v>
      </c>
    </row>
    <row r="83">
      <c r="A83" s="0" t="s">
        <v>464</v>
      </c>
      <c r="B83" s="0" t="s">
        <v>409</v>
      </c>
      <c r="C83" s="0" t="s">
        <v>382</v>
      </c>
      <c r="D83" s="0" t="s">
        <v>382</v>
      </c>
    </row>
    <row r="84">
      <c r="A84" s="0" t="s">
        <v>264</v>
      </c>
      <c r="B84" s="0" t="s">
        <v>366</v>
      </c>
      <c r="C84" s="0" t="s">
        <v>382</v>
      </c>
      <c r="D84" s="0" t="s">
        <v>382</v>
      </c>
    </row>
    <row r="85">
      <c r="A85" s="0" t="s">
        <v>265</v>
      </c>
      <c r="B85" s="0" t="s">
        <v>366</v>
      </c>
      <c r="C85" s="0" t="s">
        <v>382</v>
      </c>
      <c r="D85" s="0" t="s">
        <v>382</v>
      </c>
    </row>
    <row r="86">
      <c r="A86" s="0" t="s">
        <v>266</v>
      </c>
      <c r="B86" s="0" t="s">
        <v>382</v>
      </c>
      <c r="C86" s="0" t="s">
        <v>382</v>
      </c>
      <c r="D86" s="0" t="s">
        <v>366</v>
      </c>
    </row>
    <row r="87">
      <c r="A87" s="0" t="s">
        <v>465</v>
      </c>
      <c r="B87" s="0" t="s">
        <v>409</v>
      </c>
    </row>
    <row r="88">
      <c r="A88" s="0" t="s">
        <v>466</v>
      </c>
      <c r="B88" s="0" t="s">
        <v>409</v>
      </c>
    </row>
    <row r="89">
      <c r="A89" s="0" t="s">
        <v>267</v>
      </c>
      <c r="B89" s="0" t="s">
        <v>366</v>
      </c>
    </row>
    <row r="90">
      <c r="A90" s="0" t="s">
        <v>268</v>
      </c>
      <c r="B90" s="0" t="s">
        <v>366</v>
      </c>
    </row>
    <row r="91">
      <c r="A91" s="0" t="s">
        <v>467</v>
      </c>
      <c r="B91" s="0" t="s">
        <v>366</v>
      </c>
    </row>
    <row r="92">
      <c r="A92" s="0" t="s">
        <v>269</v>
      </c>
      <c r="B92" s="0" t="s">
        <v>366</v>
      </c>
    </row>
    <row r="93">
      <c r="A93" s="0" t="s">
        <v>468</v>
      </c>
      <c r="B93" s="0" t="s">
        <v>371</v>
      </c>
    </row>
    <row r="94">
      <c r="A94" s="0" t="s">
        <v>469</v>
      </c>
      <c r="B94" s="0" t="s">
        <v>382</v>
      </c>
    </row>
    <row r="95">
      <c r="A95" s="0" t="s">
        <v>470</v>
      </c>
      <c r="B95" s="0" t="s">
        <v>371</v>
      </c>
    </row>
    <row r="96">
      <c r="A96" s="0" t="s">
        <v>471</v>
      </c>
      <c r="B96" s="0" t="s">
        <v>472</v>
      </c>
    </row>
    <row r="97">
      <c r="A97" s="0" t="s">
        <v>473</v>
      </c>
      <c r="B97" s="0" t="s">
        <v>409</v>
      </c>
    </row>
    <row r="98">
      <c r="A98" s="0" t="s">
        <v>270</v>
      </c>
      <c r="B98" s="0" t="s">
        <v>366</v>
      </c>
    </row>
    <row r="99">
      <c r="A99" s="0" t="s">
        <v>474</v>
      </c>
      <c r="B99" s="0" t="s">
        <v>475</v>
      </c>
    </row>
    <row r="100">
      <c r="A100" s="0" t="s">
        <v>476</v>
      </c>
      <c r="B100" s="0" t="s">
        <v>382</v>
      </c>
      <c r="C100" s="0" t="s">
        <v>409</v>
      </c>
      <c r="D100" s="0" t="s">
        <v>382</v>
      </c>
    </row>
    <row r="101">
      <c r="A101" s="0" t="s">
        <v>477</v>
      </c>
      <c r="B101" s="0" t="s">
        <v>418</v>
      </c>
    </row>
    <row r="102">
      <c r="A102" s="0" t="s">
        <v>478</v>
      </c>
      <c r="B102" s="0" t="s">
        <v>418</v>
      </c>
      <c r="C102" s="0" t="s">
        <v>418</v>
      </c>
    </row>
    <row r="103">
      <c r="A103" s="0" t="s">
        <v>271</v>
      </c>
      <c r="B103" s="0" t="s">
        <v>418</v>
      </c>
      <c r="C103" s="0" t="s">
        <v>418</v>
      </c>
    </row>
    <row r="104">
      <c r="A104" s="0" t="s">
        <v>479</v>
      </c>
      <c r="B104" s="0" t="s">
        <v>380</v>
      </c>
      <c r="C104" s="0" t="s">
        <v>380</v>
      </c>
    </row>
    <row r="105">
      <c r="A105" s="0" t="s">
        <v>272</v>
      </c>
      <c r="B105" s="0" t="s">
        <v>366</v>
      </c>
    </row>
    <row r="106">
      <c r="A106" s="0" t="s">
        <v>480</v>
      </c>
      <c r="B106" s="0" t="s">
        <v>35</v>
      </c>
      <c r="C106" s="0" t="s">
        <v>35</v>
      </c>
    </row>
    <row r="107">
      <c r="A107" s="0" t="s">
        <v>481</v>
      </c>
      <c r="B107" s="0" t="s">
        <v>482</v>
      </c>
    </row>
    <row r="108">
      <c r="A108" s="0" t="s">
        <v>483</v>
      </c>
      <c r="B108" s="0" t="s">
        <v>380</v>
      </c>
      <c r="C108" s="0" t="s">
        <v>366</v>
      </c>
    </row>
    <row r="109">
      <c r="A109" s="0" t="s">
        <v>484</v>
      </c>
      <c r="B109" s="0" t="s">
        <v>380</v>
      </c>
      <c r="C109" s="0" t="s">
        <v>366</v>
      </c>
    </row>
    <row r="110">
      <c r="A110" s="0" t="s">
        <v>273</v>
      </c>
      <c r="B110" s="0" t="s">
        <v>374</v>
      </c>
      <c r="C110" s="0" t="s">
        <v>380</v>
      </c>
    </row>
    <row r="111">
      <c r="A111" s="0" t="s">
        <v>485</v>
      </c>
      <c r="B111" s="0" t="s">
        <v>441</v>
      </c>
    </row>
    <row r="112">
      <c r="A112" s="0" t="s">
        <v>486</v>
      </c>
      <c r="B112" s="0" t="s">
        <v>380</v>
      </c>
    </row>
    <row r="113">
      <c r="A113" s="0" t="s">
        <v>487</v>
      </c>
      <c r="B113" s="0" t="s">
        <v>380</v>
      </c>
      <c r="C113" s="0" t="s">
        <v>380</v>
      </c>
    </row>
    <row r="114">
      <c r="A114" s="0" t="s">
        <v>488</v>
      </c>
      <c r="B114" s="0" t="s">
        <v>380</v>
      </c>
      <c r="C114" s="0" t="s">
        <v>380</v>
      </c>
      <c r="D114" s="0" t="s">
        <v>366</v>
      </c>
    </row>
    <row r="115">
      <c r="A115" s="0" t="s">
        <v>274</v>
      </c>
      <c r="B115" s="0" t="s">
        <v>374</v>
      </c>
      <c r="C115" s="0" t="s">
        <v>380</v>
      </c>
      <c r="D115" s="0" t="s">
        <v>380</v>
      </c>
    </row>
    <row r="116">
      <c r="A116" s="0" t="s">
        <v>489</v>
      </c>
      <c r="B116" s="0" t="s">
        <v>380</v>
      </c>
      <c r="C116" s="0" t="s">
        <v>380</v>
      </c>
      <c r="D116" s="0" t="s">
        <v>366</v>
      </c>
    </row>
    <row r="117">
      <c r="A117" s="0" t="s">
        <v>275</v>
      </c>
      <c r="B117" s="0" t="s">
        <v>374</v>
      </c>
      <c r="C117" s="0" t="s">
        <v>380</v>
      </c>
      <c r="D117" s="0" t="s">
        <v>380</v>
      </c>
    </row>
    <row r="118">
      <c r="A118" s="0" t="s">
        <v>490</v>
      </c>
      <c r="B118" s="0" t="s">
        <v>475</v>
      </c>
    </row>
    <row r="119">
      <c r="A119" s="0" t="s">
        <v>491</v>
      </c>
      <c r="B119" s="0" t="s">
        <v>492</v>
      </c>
    </row>
    <row r="120">
      <c r="A120" s="0" t="s">
        <v>493</v>
      </c>
      <c r="B120" s="0" t="s">
        <v>380</v>
      </c>
    </row>
    <row r="121">
      <c r="A121" s="0" t="s">
        <v>494</v>
      </c>
      <c r="B121" s="0" t="s">
        <v>374</v>
      </c>
      <c r="C121" s="0" t="s">
        <v>35</v>
      </c>
    </row>
    <row r="122">
      <c r="A122" s="0" t="s">
        <v>495</v>
      </c>
      <c r="B122" s="0" t="s">
        <v>382</v>
      </c>
      <c r="C122" s="0" t="s">
        <v>366</v>
      </c>
      <c r="D122" s="0" t="s">
        <v>382</v>
      </c>
      <c r="E122" s="0" t="s">
        <v>366</v>
      </c>
    </row>
    <row r="123">
      <c r="A123" s="0" t="s">
        <v>496</v>
      </c>
      <c r="B123" s="0" t="s">
        <v>382</v>
      </c>
      <c r="C123" s="0" t="s">
        <v>366</v>
      </c>
      <c r="D123" s="0" t="s">
        <v>382</v>
      </c>
      <c r="E123" s="0" t="s">
        <v>366</v>
      </c>
    </row>
    <row r="124">
      <c r="A124" s="0" t="s">
        <v>497</v>
      </c>
      <c r="B124" s="0" t="s">
        <v>475</v>
      </c>
    </row>
    <row r="125">
      <c r="A125" s="0" t="s">
        <v>498</v>
      </c>
      <c r="B125" s="0" t="s">
        <v>475</v>
      </c>
    </row>
    <row r="126">
      <c r="A126" s="0" t="s">
        <v>499</v>
      </c>
      <c r="B126" s="0" t="s">
        <v>500</v>
      </c>
      <c r="C126" s="0" t="s">
        <v>35</v>
      </c>
      <c r="D126" s="0" t="s">
        <v>35</v>
      </c>
    </row>
    <row r="127">
      <c r="A127" s="0" t="s">
        <v>501</v>
      </c>
      <c r="B127" s="0" t="s">
        <v>374</v>
      </c>
      <c r="C127" s="0" t="s">
        <v>35</v>
      </c>
      <c r="D127" s="0" t="s">
        <v>35</v>
      </c>
    </row>
    <row r="128">
      <c r="A128" s="0" t="s">
        <v>276</v>
      </c>
      <c r="B128" s="0" t="s">
        <v>374</v>
      </c>
      <c r="C128" s="0" t="s">
        <v>380</v>
      </c>
      <c r="D128" s="0" t="s">
        <v>380</v>
      </c>
      <c r="E128" s="0" t="s">
        <v>380</v>
      </c>
      <c r="F128" s="0" t="s">
        <v>380</v>
      </c>
    </row>
    <row r="129">
      <c r="A129" s="0" t="s">
        <v>502</v>
      </c>
      <c r="B129" s="0" t="s">
        <v>503</v>
      </c>
      <c r="C129" s="0" t="s">
        <v>370</v>
      </c>
      <c r="D129" s="0" t="s">
        <v>380</v>
      </c>
      <c r="E129" s="0" t="s">
        <v>380</v>
      </c>
      <c r="F129" s="0" t="s">
        <v>380</v>
      </c>
      <c r="G129" s="0" t="s">
        <v>380</v>
      </c>
    </row>
    <row r="130">
      <c r="A130" s="0" t="s">
        <v>504</v>
      </c>
      <c r="B130" s="0" t="s">
        <v>374</v>
      </c>
      <c r="C130" s="0" t="s">
        <v>374</v>
      </c>
    </row>
    <row r="131">
      <c r="A131" s="0" t="s">
        <v>505</v>
      </c>
      <c r="B131" s="0" t="s">
        <v>506</v>
      </c>
      <c r="C131" s="0" t="s">
        <v>506</v>
      </c>
      <c r="D131" s="0" t="s">
        <v>35</v>
      </c>
      <c r="E131" s="0" t="s">
        <v>35</v>
      </c>
    </row>
    <row r="132">
      <c r="A132" s="0" t="s">
        <v>507</v>
      </c>
      <c r="B132" s="0" t="s">
        <v>35</v>
      </c>
      <c r="C132" s="0" t="s">
        <v>35</v>
      </c>
      <c r="D132" s="0" t="s">
        <v>374</v>
      </c>
      <c r="E132" s="0" t="s">
        <v>374</v>
      </c>
      <c r="F132" s="0" t="s">
        <v>35</v>
      </c>
      <c r="G132" s="0" t="s">
        <v>35</v>
      </c>
    </row>
    <row r="133">
      <c r="A133" s="0" t="s">
        <v>508</v>
      </c>
      <c r="B133" s="0" t="s">
        <v>374</v>
      </c>
      <c r="C133" s="0" t="s">
        <v>374</v>
      </c>
      <c r="D133" s="0" t="s">
        <v>35</v>
      </c>
      <c r="E133" s="0" t="s">
        <v>35</v>
      </c>
      <c r="F133" s="0" t="s">
        <v>35</v>
      </c>
      <c r="G133" s="0" t="s">
        <v>35</v>
      </c>
    </row>
    <row r="134">
      <c r="A134" s="0" t="s">
        <v>509</v>
      </c>
      <c r="B134" s="0" t="s">
        <v>374</v>
      </c>
      <c r="C134" s="0" t="s">
        <v>35</v>
      </c>
      <c r="D134" s="0" t="s">
        <v>35</v>
      </c>
      <c r="E134" s="0" t="s">
        <v>35</v>
      </c>
    </row>
    <row r="135">
      <c r="A135" s="0" t="s">
        <v>510</v>
      </c>
      <c r="B135" s="0" t="s">
        <v>374</v>
      </c>
      <c r="C135" s="0" t="s">
        <v>35</v>
      </c>
      <c r="D135" s="0" t="s">
        <v>35</v>
      </c>
      <c r="E135" s="0" t="s">
        <v>35</v>
      </c>
      <c r="F135" s="0" t="s">
        <v>35</v>
      </c>
    </row>
    <row r="136">
      <c r="A136" s="0" t="s">
        <v>511</v>
      </c>
      <c r="B136" s="0" t="s">
        <v>503</v>
      </c>
      <c r="C136" s="0" t="s">
        <v>370</v>
      </c>
      <c r="D136" s="0" t="s">
        <v>512</v>
      </c>
      <c r="E136" s="0" t="s">
        <v>512</v>
      </c>
      <c r="F136" s="0" t="s">
        <v>512</v>
      </c>
      <c r="G136" s="0" t="s">
        <v>512</v>
      </c>
    </row>
    <row r="137">
      <c r="A137" s="0" t="s">
        <v>513</v>
      </c>
      <c r="B137" s="0" t="s">
        <v>374</v>
      </c>
      <c r="C137" s="0" t="s">
        <v>374</v>
      </c>
      <c r="D137" s="0" t="s">
        <v>376</v>
      </c>
      <c r="E137" s="0" t="s">
        <v>376</v>
      </c>
    </row>
    <row r="138">
      <c r="A138" s="0" t="s">
        <v>514</v>
      </c>
      <c r="B138" s="0" t="s">
        <v>506</v>
      </c>
      <c r="C138" s="0" t="s">
        <v>506</v>
      </c>
      <c r="D138" s="0" t="s">
        <v>376</v>
      </c>
      <c r="E138" s="0" t="s">
        <v>376</v>
      </c>
    </row>
    <row r="139">
      <c r="A139" s="0" t="s">
        <v>515</v>
      </c>
      <c r="B139" s="0" t="s">
        <v>374</v>
      </c>
      <c r="C139" s="0" t="s">
        <v>374</v>
      </c>
      <c r="D139" s="0" t="s">
        <v>35</v>
      </c>
      <c r="E139" s="0" t="s">
        <v>35</v>
      </c>
      <c r="F139" s="0" t="s">
        <v>35</v>
      </c>
      <c r="G139" s="0" t="s">
        <v>35</v>
      </c>
    </row>
    <row r="140">
      <c r="A140" s="0" t="s">
        <v>516</v>
      </c>
      <c r="B140" s="0" t="s">
        <v>374</v>
      </c>
      <c r="C140" s="0" t="s">
        <v>374</v>
      </c>
      <c r="D140" s="0" t="s">
        <v>376</v>
      </c>
      <c r="E140" s="0" t="s">
        <v>35</v>
      </c>
      <c r="F140" s="0" t="s">
        <v>376</v>
      </c>
      <c r="G140" s="0" t="s">
        <v>35</v>
      </c>
    </row>
    <row r="141">
      <c r="A141" s="0" t="s">
        <v>277</v>
      </c>
      <c r="B141" s="0" t="s">
        <v>34</v>
      </c>
      <c r="C141" s="0" t="s">
        <v>35</v>
      </c>
      <c r="D141" s="0" t="s">
        <v>35</v>
      </c>
      <c r="E141" s="0" t="s">
        <v>35</v>
      </c>
      <c r="F141" s="0" t="s">
        <v>35</v>
      </c>
      <c r="G141" s="0" t="s">
        <v>517</v>
      </c>
    </row>
    <row r="142">
      <c r="A142" s="0" t="s">
        <v>278</v>
      </c>
      <c r="B142" s="0" t="s">
        <v>34</v>
      </c>
      <c r="C142" s="0" t="s">
        <v>35</v>
      </c>
      <c r="D142" s="0" t="s">
        <v>35</v>
      </c>
      <c r="E142" s="0" t="s">
        <v>35</v>
      </c>
      <c r="F142" s="0" t="s">
        <v>35</v>
      </c>
      <c r="G142" s="0" t="s">
        <v>517</v>
      </c>
    </row>
    <row r="143">
      <c r="A143" s="0" t="s">
        <v>518</v>
      </c>
      <c r="B143" s="0" t="s">
        <v>34</v>
      </c>
      <c r="C143" s="0" t="s">
        <v>34</v>
      </c>
      <c r="D143" s="0" t="s">
        <v>35</v>
      </c>
      <c r="E143" s="0" t="s">
        <v>376</v>
      </c>
      <c r="F143" s="0" t="s">
        <v>376</v>
      </c>
      <c r="G143" s="0" t="s">
        <v>35</v>
      </c>
      <c r="H143" s="0" t="s">
        <v>519</v>
      </c>
    </row>
    <row r="144">
      <c r="A144" s="0" t="s">
        <v>520</v>
      </c>
      <c r="B144" s="0" t="s">
        <v>34</v>
      </c>
      <c r="C144" s="0" t="s">
        <v>34</v>
      </c>
      <c r="D144" s="0" t="s">
        <v>35</v>
      </c>
      <c r="E144" s="0" t="s">
        <v>376</v>
      </c>
      <c r="F144" s="0" t="s">
        <v>376</v>
      </c>
      <c r="G144" s="0" t="s">
        <v>35</v>
      </c>
      <c r="H144" s="0" t="s">
        <v>519</v>
      </c>
    </row>
    <row r="145">
      <c r="A145" s="0" t="s">
        <v>279</v>
      </c>
      <c r="B145" s="0" t="s">
        <v>371</v>
      </c>
    </row>
    <row r="146">
      <c r="A146" s="0" t="s">
        <v>521</v>
      </c>
      <c r="B146" s="0" t="s">
        <v>380</v>
      </c>
    </row>
    <row r="147">
      <c r="A147" s="0" t="s">
        <v>522</v>
      </c>
      <c r="B147" s="0" t="s">
        <v>34</v>
      </c>
    </row>
    <row r="148">
      <c r="A148" s="0" t="s">
        <v>523</v>
      </c>
      <c r="B148" s="0" t="s">
        <v>34</v>
      </c>
    </row>
    <row r="149">
      <c r="A149" s="0" t="s">
        <v>183</v>
      </c>
      <c r="B149" s="0" t="s">
        <v>524</v>
      </c>
    </row>
    <row r="150">
      <c r="A150" s="0" t="s">
        <v>280</v>
      </c>
      <c r="B150" s="0" t="s">
        <v>525</v>
      </c>
    </row>
    <row r="151">
      <c r="A151" s="0" t="s">
        <v>173</v>
      </c>
      <c r="B151" s="0" t="s">
        <v>526</v>
      </c>
    </row>
    <row r="152">
      <c r="A152" s="0" t="s">
        <v>281</v>
      </c>
      <c r="B152" s="0" t="s">
        <v>525</v>
      </c>
    </row>
    <row r="153">
      <c r="A153" s="0" t="s">
        <v>282</v>
      </c>
      <c r="B153" s="0" t="s">
        <v>527</v>
      </c>
    </row>
    <row r="154">
      <c r="A154" s="0" t="s">
        <v>528</v>
      </c>
      <c r="B154" s="0" t="s">
        <v>374</v>
      </c>
      <c r="C154" s="0" t="s">
        <v>380</v>
      </c>
    </row>
    <row r="155">
      <c r="A155" s="0" t="s">
        <v>283</v>
      </c>
      <c r="B155" s="0" t="s">
        <v>382</v>
      </c>
      <c r="C155" s="0" t="s">
        <v>366</v>
      </c>
    </row>
    <row r="156">
      <c r="A156" s="0" t="s">
        <v>284</v>
      </c>
      <c r="B156" s="0" t="s">
        <v>34</v>
      </c>
      <c r="C156" s="0" t="s">
        <v>34</v>
      </c>
    </row>
    <row r="157">
      <c r="A157" s="0" t="s">
        <v>285</v>
      </c>
      <c r="B157" s="0" t="s">
        <v>34</v>
      </c>
      <c r="C157" s="0" t="s">
        <v>380</v>
      </c>
    </row>
    <row r="158">
      <c r="A158" s="0" t="s">
        <v>286</v>
      </c>
      <c r="B158" s="0" t="s">
        <v>34</v>
      </c>
      <c r="C158" s="0" t="s">
        <v>380</v>
      </c>
    </row>
    <row r="159">
      <c r="A159" s="0" t="s">
        <v>287</v>
      </c>
      <c r="B159" s="0" t="s">
        <v>35</v>
      </c>
      <c r="C159" s="0" t="s">
        <v>35</v>
      </c>
    </row>
    <row r="160">
      <c r="A160" s="0" t="s">
        <v>288</v>
      </c>
      <c r="B160" s="0" t="s">
        <v>34</v>
      </c>
      <c r="C160" s="0" t="s">
        <v>34</v>
      </c>
      <c r="D160" s="0" t="s">
        <v>35</v>
      </c>
      <c r="E160" s="0" t="s">
        <v>35</v>
      </c>
      <c r="F160" s="0" t="s">
        <v>35</v>
      </c>
      <c r="G160" s="0" t="s">
        <v>35</v>
      </c>
    </row>
    <row r="161">
      <c r="A161" s="0" t="s">
        <v>289</v>
      </c>
      <c r="B161" s="0" t="s">
        <v>370</v>
      </c>
      <c r="C161" s="0" t="s">
        <v>529</v>
      </c>
      <c r="D161" s="0" t="s">
        <v>35</v>
      </c>
      <c r="E161" s="0" t="s">
        <v>376</v>
      </c>
      <c r="F161" s="0" t="s">
        <v>35</v>
      </c>
      <c r="G161" s="0" t="s">
        <v>34</v>
      </c>
      <c r="H161" s="0" t="s">
        <v>35</v>
      </c>
      <c r="I161" s="0" t="s">
        <v>35</v>
      </c>
    </row>
    <row r="162">
      <c r="A162" s="0" t="s">
        <v>530</v>
      </c>
      <c r="B162" s="0" t="s">
        <v>34</v>
      </c>
      <c r="C162" s="0" t="s">
        <v>34</v>
      </c>
      <c r="D162" s="0" t="s">
        <v>35</v>
      </c>
      <c r="E162" s="0" t="s">
        <v>35</v>
      </c>
      <c r="F162" s="0" t="s">
        <v>376</v>
      </c>
      <c r="G162" s="0" t="s">
        <v>376</v>
      </c>
      <c r="H162" s="0" t="s">
        <v>35</v>
      </c>
      <c r="I162" s="0" t="s">
        <v>35</v>
      </c>
    </row>
    <row r="163">
      <c r="A163" s="0" t="s">
        <v>290</v>
      </c>
      <c r="B163" s="0" t="s">
        <v>35</v>
      </c>
      <c r="C163" s="0" t="s">
        <v>35</v>
      </c>
      <c r="D163" s="0" t="s">
        <v>34</v>
      </c>
      <c r="E163" s="0" t="s">
        <v>35</v>
      </c>
      <c r="F163" s="0" t="s">
        <v>35</v>
      </c>
    </row>
    <row r="164">
      <c r="A164" s="0" t="s">
        <v>531</v>
      </c>
      <c r="B164" s="0" t="s">
        <v>34</v>
      </c>
      <c r="C164" s="0" t="s">
        <v>34</v>
      </c>
      <c r="D164" s="0" t="s">
        <v>35</v>
      </c>
      <c r="E164" s="0" t="s">
        <v>35</v>
      </c>
    </row>
    <row r="165">
      <c r="A165" s="0" t="s">
        <v>291</v>
      </c>
      <c r="B165" s="0" t="s">
        <v>34</v>
      </c>
      <c r="C165" s="0" t="s">
        <v>34</v>
      </c>
      <c r="D165" s="0" t="s">
        <v>35</v>
      </c>
      <c r="E165" s="0" t="s">
        <v>35</v>
      </c>
    </row>
    <row r="166">
      <c r="A166" s="0" t="s">
        <v>292</v>
      </c>
      <c r="B166" s="0" t="s">
        <v>34</v>
      </c>
      <c r="C166" s="0" t="s">
        <v>34</v>
      </c>
      <c r="D166" s="0" t="s">
        <v>35</v>
      </c>
      <c r="E166" s="0" t="s">
        <v>35</v>
      </c>
    </row>
    <row r="167">
      <c r="A167" s="0" t="s">
        <v>293</v>
      </c>
      <c r="B167" s="0" t="s">
        <v>35</v>
      </c>
      <c r="C167" s="0" t="s">
        <v>34</v>
      </c>
      <c r="D167" s="0" t="s">
        <v>34</v>
      </c>
      <c r="E167" s="0" t="s">
        <v>35</v>
      </c>
    </row>
    <row r="168">
      <c r="A168" s="0" t="s">
        <v>294</v>
      </c>
      <c r="B168" s="0" t="s">
        <v>35</v>
      </c>
      <c r="C168" s="0" t="s">
        <v>34</v>
      </c>
      <c r="D168" s="0" t="s">
        <v>34</v>
      </c>
      <c r="E168" s="0" t="s">
        <v>35</v>
      </c>
    </row>
    <row r="169">
      <c r="A169" s="0" t="s">
        <v>295</v>
      </c>
      <c r="B169" s="0" t="s">
        <v>34</v>
      </c>
      <c r="C169" s="0" t="s">
        <v>34</v>
      </c>
      <c r="D169" s="0" t="s">
        <v>35</v>
      </c>
      <c r="E169" s="0" t="s">
        <v>35</v>
      </c>
    </row>
    <row r="170">
      <c r="A170" s="0" t="s">
        <v>296</v>
      </c>
      <c r="B170" s="0" t="s">
        <v>532</v>
      </c>
      <c r="C170" s="0" t="s">
        <v>370</v>
      </c>
      <c r="D170" s="0" t="s">
        <v>380</v>
      </c>
      <c r="E170" s="0" t="s">
        <v>380</v>
      </c>
    </row>
    <row r="171">
      <c r="A171" s="0" t="s">
        <v>533</v>
      </c>
      <c r="B171" s="0" t="s">
        <v>34</v>
      </c>
      <c r="C171" s="0" t="s">
        <v>34</v>
      </c>
      <c r="D171" s="0" t="s">
        <v>376</v>
      </c>
      <c r="E171" s="0" t="s">
        <v>376</v>
      </c>
    </row>
    <row r="172">
      <c r="A172" s="0" t="s">
        <v>297</v>
      </c>
      <c r="B172" s="0" t="s">
        <v>34</v>
      </c>
      <c r="C172" s="0" t="s">
        <v>35</v>
      </c>
      <c r="D172" s="0" t="s">
        <v>35</v>
      </c>
      <c r="E172" s="0" t="s">
        <v>35</v>
      </c>
    </row>
    <row r="173">
      <c r="A173" s="0" t="s">
        <v>298</v>
      </c>
      <c r="B173" s="0" t="s">
        <v>35</v>
      </c>
      <c r="C173" s="0" t="s">
        <v>35</v>
      </c>
      <c r="D173" s="0" t="s">
        <v>34</v>
      </c>
      <c r="E173" s="0" t="s">
        <v>35</v>
      </c>
      <c r="F173" s="0" t="s">
        <v>35</v>
      </c>
      <c r="G173" s="0" t="s">
        <v>534</v>
      </c>
    </row>
    <row r="174">
      <c r="A174" s="0" t="s">
        <v>299</v>
      </c>
      <c r="B174" s="0" t="s">
        <v>34</v>
      </c>
      <c r="C174" s="0" t="s">
        <v>34</v>
      </c>
      <c r="D174" s="0" t="s">
        <v>35</v>
      </c>
      <c r="E174" s="0" t="s">
        <v>35</v>
      </c>
      <c r="F174" s="0" t="s">
        <v>35</v>
      </c>
      <c r="G174" s="0" t="s">
        <v>35</v>
      </c>
    </row>
    <row r="175">
      <c r="A175" s="0" t="s">
        <v>300</v>
      </c>
      <c r="B175" s="0" t="s">
        <v>35</v>
      </c>
      <c r="C175" s="0" t="s">
        <v>35</v>
      </c>
      <c r="D175" s="0" t="s">
        <v>34</v>
      </c>
      <c r="E175" s="0" t="s">
        <v>35</v>
      </c>
      <c r="F175" s="0" t="s">
        <v>35</v>
      </c>
      <c r="G175" s="0" t="s">
        <v>34</v>
      </c>
    </row>
    <row r="176">
      <c r="A176" s="0" t="s">
        <v>7</v>
      </c>
      <c r="B176" s="0" t="s">
        <v>34</v>
      </c>
      <c r="C176" s="0" t="s">
        <v>34</v>
      </c>
      <c r="D176" s="0" t="s">
        <v>35</v>
      </c>
      <c r="E176" s="0" t="s">
        <v>35</v>
      </c>
      <c r="F176" s="0" t="s">
        <v>35</v>
      </c>
      <c r="G176" s="0" t="s">
        <v>35</v>
      </c>
    </row>
    <row r="177">
      <c r="A177" s="0" t="s">
        <v>301</v>
      </c>
      <c r="B177" s="0" t="s">
        <v>34</v>
      </c>
      <c r="C177" s="0" t="s">
        <v>34</v>
      </c>
      <c r="D177" s="0" t="s">
        <v>35</v>
      </c>
      <c r="E177" s="0" t="s">
        <v>35</v>
      </c>
      <c r="F177" s="0" t="s">
        <v>35</v>
      </c>
      <c r="G177" s="0" t="s">
        <v>35</v>
      </c>
    </row>
    <row r="178">
      <c r="A178" s="0" t="s">
        <v>302</v>
      </c>
      <c r="B178" s="0" t="s">
        <v>535</v>
      </c>
      <c r="C178" s="0" t="s">
        <v>536</v>
      </c>
      <c r="D178" s="0" t="s">
        <v>529</v>
      </c>
      <c r="E178" s="0" t="s">
        <v>35</v>
      </c>
      <c r="F178" s="0" t="s">
        <v>376</v>
      </c>
      <c r="G178" s="0" t="s">
        <v>370</v>
      </c>
    </row>
    <row r="179">
      <c r="A179" s="0" t="s">
        <v>303</v>
      </c>
      <c r="B179" s="0" t="s">
        <v>535</v>
      </c>
      <c r="C179" s="0" t="s">
        <v>536</v>
      </c>
      <c r="D179" s="0" t="s">
        <v>529</v>
      </c>
      <c r="E179" s="0" t="s">
        <v>35</v>
      </c>
      <c r="F179" s="0" t="s">
        <v>376</v>
      </c>
      <c r="G179" s="0" t="s">
        <v>370</v>
      </c>
    </row>
    <row r="180">
      <c r="A180" s="0" t="s">
        <v>304</v>
      </c>
      <c r="B180" s="0" t="s">
        <v>34</v>
      </c>
      <c r="C180" s="0" t="s">
        <v>34</v>
      </c>
      <c r="D180" s="0" t="s">
        <v>376</v>
      </c>
      <c r="E180" s="0" t="s">
        <v>376</v>
      </c>
      <c r="F180" s="0" t="s">
        <v>35</v>
      </c>
      <c r="G180" s="0" t="s">
        <v>35</v>
      </c>
    </row>
    <row r="181">
      <c r="A181" s="0" t="s">
        <v>537</v>
      </c>
      <c r="B181" s="0" t="s">
        <v>34</v>
      </c>
      <c r="C181" s="0" t="s">
        <v>34</v>
      </c>
      <c r="D181" s="0" t="s">
        <v>376</v>
      </c>
      <c r="E181" s="0" t="s">
        <v>35</v>
      </c>
      <c r="F181" s="0" t="s">
        <v>35</v>
      </c>
      <c r="G181" s="0" t="s">
        <v>376</v>
      </c>
    </row>
    <row r="182">
      <c r="A182" s="0" t="s">
        <v>305</v>
      </c>
      <c r="B182" s="0" t="s">
        <v>34</v>
      </c>
      <c r="C182" s="0" t="s">
        <v>376</v>
      </c>
      <c r="D182" s="0" t="s">
        <v>35</v>
      </c>
      <c r="E182" s="0" t="s">
        <v>35</v>
      </c>
      <c r="F182" s="0" t="s">
        <v>376</v>
      </c>
      <c r="G182" s="0" t="s">
        <v>34</v>
      </c>
    </row>
    <row r="183">
      <c r="A183" s="0" t="s">
        <v>306</v>
      </c>
      <c r="B183" s="0" t="s">
        <v>385</v>
      </c>
    </row>
    <row r="184">
      <c r="A184" s="0" t="s">
        <v>538</v>
      </c>
      <c r="B184" s="0" t="s">
        <v>517</v>
      </c>
      <c r="C184" s="0" t="s">
        <v>517</v>
      </c>
      <c r="D184" s="0" t="s">
        <v>517</v>
      </c>
      <c r="E184" s="0" t="s">
        <v>517</v>
      </c>
    </row>
    <row r="185">
      <c r="A185" s="0" t="s">
        <v>539</v>
      </c>
      <c r="B185" s="0" t="s">
        <v>34</v>
      </c>
      <c r="C185" s="0" t="s">
        <v>380</v>
      </c>
      <c r="D185" s="0" t="s">
        <v>380</v>
      </c>
    </row>
    <row r="186">
      <c r="A186" s="0" t="s">
        <v>307</v>
      </c>
      <c r="B186" s="0" t="s">
        <v>35</v>
      </c>
      <c r="C186" s="0" t="s">
        <v>34</v>
      </c>
      <c r="D186" s="0" t="s">
        <v>35</v>
      </c>
    </row>
    <row r="187">
      <c r="A187" s="0" t="s">
        <v>308</v>
      </c>
      <c r="B187" s="0" t="s">
        <v>35</v>
      </c>
      <c r="C187" s="0" t="s">
        <v>34</v>
      </c>
      <c r="D187" s="0" t="s">
        <v>35</v>
      </c>
    </row>
    <row r="188">
      <c r="A188" s="0" t="s">
        <v>309</v>
      </c>
      <c r="B188" s="0" t="s">
        <v>34</v>
      </c>
      <c r="C188" s="0" t="s">
        <v>380</v>
      </c>
      <c r="D188" s="0" t="s">
        <v>380</v>
      </c>
    </row>
    <row r="189">
      <c r="A189" s="0" t="s">
        <v>310</v>
      </c>
      <c r="B189" s="0" t="s">
        <v>35</v>
      </c>
      <c r="C189" s="0" t="s">
        <v>34</v>
      </c>
      <c r="D189" s="0" t="s">
        <v>35</v>
      </c>
    </row>
    <row r="190">
      <c r="A190" s="0" t="s">
        <v>540</v>
      </c>
      <c r="B190" s="0" t="s">
        <v>34</v>
      </c>
      <c r="C190" s="0" t="s">
        <v>35</v>
      </c>
      <c r="D190" s="0" t="s">
        <v>35</v>
      </c>
    </row>
    <row r="191">
      <c r="A191" s="0" t="s">
        <v>311</v>
      </c>
      <c r="B191" s="0" t="s">
        <v>541</v>
      </c>
    </row>
    <row r="192">
      <c r="A192" s="0" t="s">
        <v>312</v>
      </c>
      <c r="B192" s="0" t="s">
        <v>391</v>
      </c>
      <c r="C192" s="0" t="s">
        <v>449</v>
      </c>
    </row>
    <row r="193">
      <c r="A193" s="0" t="s">
        <v>542</v>
      </c>
      <c r="B193" s="0" t="s">
        <v>391</v>
      </c>
      <c r="C193" s="0" t="s">
        <v>449</v>
      </c>
      <c r="D193" s="0" t="s">
        <v>35</v>
      </c>
    </row>
    <row r="194">
      <c r="A194" s="0" t="s">
        <v>313</v>
      </c>
      <c r="B194" s="0" t="s">
        <v>543</v>
      </c>
    </row>
    <row r="195">
      <c r="A195" s="0" t="s">
        <v>314</v>
      </c>
      <c r="B195" s="0" t="s">
        <v>371</v>
      </c>
    </row>
    <row r="196">
      <c r="A196" s="0" t="s">
        <v>315</v>
      </c>
      <c r="B196" s="0" t="s">
        <v>382</v>
      </c>
      <c r="C196" s="0" t="s">
        <v>382</v>
      </c>
    </row>
    <row r="197">
      <c r="A197" s="0" t="s">
        <v>316</v>
      </c>
      <c r="B197" s="0" t="s">
        <v>382</v>
      </c>
      <c r="C197" s="0" t="s">
        <v>382</v>
      </c>
    </row>
    <row r="198">
      <c r="A198" s="0" t="s">
        <v>317</v>
      </c>
      <c r="B198" s="0" t="s">
        <v>382</v>
      </c>
      <c r="C198" s="0" t="s">
        <v>366</v>
      </c>
      <c r="D198" s="0" t="s">
        <v>382</v>
      </c>
    </row>
    <row r="199">
      <c r="A199" s="0" t="s">
        <v>318</v>
      </c>
      <c r="B199" s="0" t="s">
        <v>380</v>
      </c>
      <c r="C199" s="0" t="s">
        <v>380</v>
      </c>
    </row>
    <row r="200">
      <c r="A200" s="0" t="s">
        <v>544</v>
      </c>
      <c r="B200" s="0" t="s">
        <v>380</v>
      </c>
      <c r="C200" s="0" t="s">
        <v>380</v>
      </c>
      <c r="D200" s="0" t="s">
        <v>380</v>
      </c>
    </row>
    <row r="201">
      <c r="A201" s="0" t="s">
        <v>319</v>
      </c>
      <c r="B201" s="0" t="s">
        <v>374</v>
      </c>
      <c r="C201" s="0" t="s">
        <v>35</v>
      </c>
      <c r="D201" s="0" t="s">
        <v>35</v>
      </c>
    </row>
    <row r="202">
      <c r="A202" s="0" t="s">
        <v>320</v>
      </c>
      <c r="B202" s="0" t="s">
        <v>382</v>
      </c>
    </row>
    <row r="203">
      <c r="A203" s="0" t="s">
        <v>321</v>
      </c>
      <c r="B203" s="0" t="s">
        <v>382</v>
      </c>
    </row>
    <row r="204">
      <c r="A204" s="0" t="s">
        <v>322</v>
      </c>
      <c r="B204" s="0" t="s">
        <v>371</v>
      </c>
    </row>
    <row r="205">
      <c r="A205" s="0" t="s">
        <v>323</v>
      </c>
      <c r="B205" s="0" t="s">
        <v>371</v>
      </c>
    </row>
    <row r="206">
      <c r="A206" s="0" t="s">
        <v>545</v>
      </c>
      <c r="B206" s="0" t="s">
        <v>371</v>
      </c>
    </row>
    <row r="207">
      <c r="A207" s="0" t="s">
        <v>546</v>
      </c>
      <c r="B207" s="0" t="s">
        <v>371</v>
      </c>
      <c r="C207" s="0" t="s">
        <v>371</v>
      </c>
    </row>
    <row r="208">
      <c r="A208" s="0" t="s">
        <v>547</v>
      </c>
      <c r="B208" s="0" t="s">
        <v>371</v>
      </c>
    </row>
    <row r="209">
      <c r="A209" s="0" t="s">
        <v>324</v>
      </c>
      <c r="B209" s="0" t="s">
        <v>371</v>
      </c>
    </row>
    <row r="210">
      <c r="A210" s="0" t="s">
        <v>325</v>
      </c>
      <c r="B210" s="0" t="s">
        <v>35</v>
      </c>
      <c r="C210" s="0" t="s">
        <v>374</v>
      </c>
      <c r="D210" s="0" t="s">
        <v>35</v>
      </c>
    </row>
    <row r="211">
      <c r="A211" s="0" t="s">
        <v>548</v>
      </c>
      <c r="B211" s="0" t="s">
        <v>35</v>
      </c>
      <c r="C211" s="0" t="s">
        <v>374</v>
      </c>
      <c r="D211" s="0" t="s">
        <v>35</v>
      </c>
    </row>
    <row r="212">
      <c r="A212" s="0" t="s">
        <v>326</v>
      </c>
      <c r="B212" s="0" t="s">
        <v>549</v>
      </c>
    </row>
    <row r="213">
      <c r="A213" s="0" t="s">
        <v>550</v>
      </c>
      <c r="B213" s="0" t="s">
        <v>366</v>
      </c>
      <c r="C213" s="0" t="s">
        <v>551</v>
      </c>
      <c r="D213" s="0" t="s">
        <v>551</v>
      </c>
      <c r="E213" s="0" t="s">
        <v>35</v>
      </c>
      <c r="F213" s="0" t="s">
        <v>35</v>
      </c>
    </row>
    <row r="214">
      <c r="A214" s="0" t="s">
        <v>327</v>
      </c>
      <c r="B214" s="0" t="s">
        <v>436</v>
      </c>
    </row>
    <row r="215">
      <c r="A215" s="0" t="s">
        <v>328</v>
      </c>
      <c r="B215" s="0" t="s">
        <v>385</v>
      </c>
    </row>
    <row r="216">
      <c r="A216" s="0" t="s">
        <v>329</v>
      </c>
      <c r="B216" s="0" t="s">
        <v>418</v>
      </c>
      <c r="C216" s="0" t="s">
        <v>552</v>
      </c>
    </row>
    <row r="217">
      <c r="A217" s="0" t="s">
        <v>553</v>
      </c>
      <c r="B217" s="0" t="s">
        <v>371</v>
      </c>
      <c r="C217" s="0" t="s">
        <v>409</v>
      </c>
      <c r="D217" s="0" t="s">
        <v>371</v>
      </c>
    </row>
    <row r="218">
      <c r="A218" s="0" t="s">
        <v>330</v>
      </c>
      <c r="B218" s="0" t="s">
        <v>371</v>
      </c>
      <c r="C218" s="0" t="s">
        <v>366</v>
      </c>
      <c r="D218" s="0" t="s">
        <v>371</v>
      </c>
    </row>
    <row r="219">
      <c r="A219" s="0" t="s">
        <v>331</v>
      </c>
      <c r="B219" s="0" t="s">
        <v>500</v>
      </c>
      <c r="C219" s="0" t="s">
        <v>380</v>
      </c>
      <c r="D219" s="0" t="s">
        <v>380</v>
      </c>
    </row>
    <row r="220">
      <c r="A220" s="0" t="s">
        <v>332</v>
      </c>
      <c r="B220" s="0" t="s">
        <v>374</v>
      </c>
      <c r="C220" s="0" t="s">
        <v>554</v>
      </c>
      <c r="D220" s="0" t="s">
        <v>554</v>
      </c>
      <c r="E220" s="0" t="s">
        <v>35</v>
      </c>
      <c r="F220" s="0" t="s">
        <v>35</v>
      </c>
    </row>
    <row r="221">
      <c r="A221" s="0" t="s">
        <v>333</v>
      </c>
      <c r="B221" s="0" t="s">
        <v>374</v>
      </c>
      <c r="C221" s="0" t="s">
        <v>35</v>
      </c>
      <c r="D221" s="0" t="s">
        <v>35</v>
      </c>
      <c r="E221" s="0" t="s">
        <v>35</v>
      </c>
      <c r="F221" s="0" t="s">
        <v>35</v>
      </c>
    </row>
    <row r="222">
      <c r="A222" s="0" t="s">
        <v>555</v>
      </c>
      <c r="B222" s="0" t="s">
        <v>382</v>
      </c>
      <c r="C222" s="0" t="s">
        <v>366</v>
      </c>
      <c r="D222" s="0" t="s">
        <v>382</v>
      </c>
    </row>
    <row r="223">
      <c r="A223" s="0" t="s">
        <v>334</v>
      </c>
      <c r="B223" s="0" t="s">
        <v>382</v>
      </c>
      <c r="C223" s="0" t="s">
        <v>382</v>
      </c>
      <c r="D223" s="0" t="s">
        <v>366</v>
      </c>
    </row>
    <row r="224">
      <c r="A224" s="0" t="s">
        <v>335</v>
      </c>
      <c r="B224" s="0" t="s">
        <v>374</v>
      </c>
      <c r="C224" s="0" t="s">
        <v>380</v>
      </c>
      <c r="D224" s="0" t="s">
        <v>380</v>
      </c>
    </row>
    <row r="225">
      <c r="A225" s="0" t="s">
        <v>336</v>
      </c>
      <c r="B225" s="0" t="s">
        <v>371</v>
      </c>
      <c r="C225" s="0" t="s">
        <v>536</v>
      </c>
    </row>
    <row r="226">
      <c r="A226" s="0" t="s">
        <v>556</v>
      </c>
      <c r="B226" s="0" t="s">
        <v>380</v>
      </c>
    </row>
    <row r="227">
      <c r="A227" s="0" t="s">
        <v>337</v>
      </c>
      <c r="B227" s="0" t="s">
        <v>366</v>
      </c>
    </row>
    <row r="228">
      <c r="A228" s="0" t="s">
        <v>557</v>
      </c>
      <c r="B228" s="0" t="s">
        <v>380</v>
      </c>
      <c r="C228" s="0" t="s">
        <v>366</v>
      </c>
    </row>
    <row r="229">
      <c r="A229" s="0" t="s">
        <v>338</v>
      </c>
      <c r="B229" s="0" t="s">
        <v>382</v>
      </c>
      <c r="C229" s="0" t="s">
        <v>366</v>
      </c>
    </row>
    <row r="230">
      <c r="A230" s="0" t="s">
        <v>339</v>
      </c>
      <c r="B230" s="0" t="s">
        <v>382</v>
      </c>
      <c r="C230" s="0" t="s">
        <v>382</v>
      </c>
      <c r="D230" s="0" t="s">
        <v>366</v>
      </c>
    </row>
    <row r="231">
      <c r="A231" s="0" t="s">
        <v>558</v>
      </c>
      <c r="B231" s="0" t="s">
        <v>380</v>
      </c>
      <c r="C231" s="0" t="s">
        <v>366</v>
      </c>
      <c r="D231" s="0" t="s">
        <v>380</v>
      </c>
    </row>
    <row r="232">
      <c r="A232" s="0" t="s">
        <v>340</v>
      </c>
      <c r="B232" s="0" t="s">
        <v>382</v>
      </c>
      <c r="C232" s="0" t="s">
        <v>382</v>
      </c>
      <c r="D232" s="0" t="s">
        <v>366</v>
      </c>
    </row>
    <row r="233">
      <c r="A233" s="0" t="s">
        <v>341</v>
      </c>
      <c r="B233" s="0" t="s">
        <v>382</v>
      </c>
      <c r="C233" s="0" t="s">
        <v>382</v>
      </c>
      <c r="D233" s="0" t="s">
        <v>366</v>
      </c>
    </row>
    <row r="234">
      <c r="A234" s="0" t="s">
        <v>559</v>
      </c>
      <c r="B234" s="0" t="s">
        <v>366</v>
      </c>
      <c r="C234" s="0" t="s">
        <v>382</v>
      </c>
    </row>
    <row r="235">
      <c r="A235" s="0" t="s">
        <v>560</v>
      </c>
      <c r="B235" s="0" t="s">
        <v>366</v>
      </c>
      <c r="C235" s="0" t="s">
        <v>382</v>
      </c>
    </row>
    <row r="236">
      <c r="A236" s="0" t="s">
        <v>561</v>
      </c>
      <c r="B236" s="0" t="s">
        <v>370</v>
      </c>
      <c r="C236" s="0" t="s">
        <v>371</v>
      </c>
    </row>
    <row r="237">
      <c r="A237" s="0" t="s">
        <v>562</v>
      </c>
      <c r="B237" s="0" t="s">
        <v>400</v>
      </c>
    </row>
    <row r="238">
      <c r="A238" s="0" t="s">
        <v>563</v>
      </c>
      <c r="B238" s="0" t="s">
        <v>506</v>
      </c>
      <c r="C238" s="0" t="s">
        <v>506</v>
      </c>
      <c r="D238" s="0" t="s">
        <v>380</v>
      </c>
      <c r="E238" s="0" t="s">
        <v>380</v>
      </c>
    </row>
    <row r="239">
      <c r="A239" s="0" t="s">
        <v>342</v>
      </c>
      <c r="B239" s="0" t="s">
        <v>366</v>
      </c>
    </row>
    <row r="240">
      <c r="A240" s="0" t="s">
        <v>343</v>
      </c>
      <c r="B240" s="0" t="s">
        <v>371</v>
      </c>
    </row>
    <row r="241">
      <c r="A241" s="0" t="s">
        <v>344</v>
      </c>
      <c r="B241" s="0" t="s">
        <v>371</v>
      </c>
    </row>
    <row r="242">
      <c r="A242" s="0" t="s">
        <v>345</v>
      </c>
      <c r="B242" s="0" t="s">
        <v>371</v>
      </c>
    </row>
    <row r="243">
      <c r="A243" s="0" t="s">
        <v>564</v>
      </c>
      <c r="B243" s="0" t="s">
        <v>565</v>
      </c>
    </row>
    <row r="244">
      <c r="A244" s="0" t="s">
        <v>346</v>
      </c>
      <c r="B244" s="0" t="s">
        <v>418</v>
      </c>
      <c r="C244" s="0" t="s">
        <v>371</v>
      </c>
      <c r="D244" s="0" t="s">
        <v>418</v>
      </c>
      <c r="E244" s="0" t="s">
        <v>371</v>
      </c>
    </row>
    <row r="245">
      <c r="A245" s="0" t="s">
        <v>347</v>
      </c>
      <c r="B245" s="0" t="s">
        <v>409</v>
      </c>
      <c r="C245" s="0" t="s">
        <v>409</v>
      </c>
    </row>
    <row r="246">
      <c r="A246" s="0" t="s">
        <v>566</v>
      </c>
      <c r="B246" s="0" t="s">
        <v>418</v>
      </c>
      <c r="C246" s="0" t="s">
        <v>371</v>
      </c>
    </row>
    <row r="247">
      <c r="A247" s="0" t="s">
        <v>348</v>
      </c>
      <c r="B247" s="0" t="s">
        <v>371</v>
      </c>
      <c r="C247" s="0" t="s">
        <v>418</v>
      </c>
      <c r="D247" s="0" t="s">
        <v>371</v>
      </c>
    </row>
    <row r="248">
      <c r="A248" s="0" t="s">
        <v>349</v>
      </c>
      <c r="B248" s="0" t="s">
        <v>371</v>
      </c>
      <c r="C248" s="0" t="s">
        <v>371</v>
      </c>
      <c r="D248" s="0" t="s">
        <v>418</v>
      </c>
    </row>
    <row r="249">
      <c r="A249" s="0" t="s">
        <v>567</v>
      </c>
      <c r="B249" s="0" t="s">
        <v>506</v>
      </c>
      <c r="C249" s="0" t="s">
        <v>506</v>
      </c>
      <c r="D249" s="0" t="s">
        <v>506</v>
      </c>
      <c r="E249" s="0" t="s">
        <v>35</v>
      </c>
      <c r="F249" s="0" t="s">
        <v>35</v>
      </c>
      <c r="G249" s="0" t="s">
        <v>35</v>
      </c>
      <c r="H249" s="0" t="s">
        <v>35</v>
      </c>
      <c r="I249" s="0" t="s">
        <v>35</v>
      </c>
      <c r="J249" s="0" t="s">
        <v>35</v>
      </c>
    </row>
    <row r="250">
      <c r="A250" s="0" t="s">
        <v>350</v>
      </c>
      <c r="B250" s="0" t="s">
        <v>506</v>
      </c>
      <c r="C250" s="0" t="s">
        <v>506</v>
      </c>
      <c r="D250" s="0" t="s">
        <v>35</v>
      </c>
      <c r="E250" s="0" t="s">
        <v>35</v>
      </c>
      <c r="F250" s="0" t="s">
        <v>35</v>
      </c>
      <c r="G250" s="0" t="s">
        <v>35</v>
      </c>
    </row>
    <row r="251">
      <c r="A251" s="0" t="s">
        <v>352</v>
      </c>
      <c r="B251" s="0" t="s">
        <v>506</v>
      </c>
      <c r="C251" s="0" t="s">
        <v>506</v>
      </c>
      <c r="D251" s="0" t="s">
        <v>551</v>
      </c>
      <c r="E251" s="0" t="s">
        <v>551</v>
      </c>
      <c r="F251" s="0" t="s">
        <v>536</v>
      </c>
      <c r="G251" s="0" t="s">
        <v>376</v>
      </c>
      <c r="H251" s="0" t="s">
        <v>376</v>
      </c>
      <c r="I251" s="0" t="s">
        <v>536</v>
      </c>
    </row>
    <row r="252">
      <c r="A252" s="0" t="s">
        <v>353</v>
      </c>
      <c r="B252" s="0" t="s">
        <v>506</v>
      </c>
      <c r="C252" s="0" t="s">
        <v>506</v>
      </c>
      <c r="D252" s="0" t="s">
        <v>551</v>
      </c>
      <c r="E252" s="0" t="s">
        <v>551</v>
      </c>
      <c r="F252" s="0" t="s">
        <v>536</v>
      </c>
      <c r="G252" s="0" t="s">
        <v>376</v>
      </c>
      <c r="H252" s="0" t="s">
        <v>536</v>
      </c>
      <c r="I252" s="0" t="s">
        <v>376</v>
      </c>
    </row>
    <row r="253">
      <c r="A253" s="0" t="s">
        <v>354</v>
      </c>
      <c r="B253" s="0" t="s">
        <v>506</v>
      </c>
      <c r="C253" s="0" t="s">
        <v>551</v>
      </c>
      <c r="D253" s="0" t="s">
        <v>551</v>
      </c>
      <c r="E253" s="0" t="s">
        <v>35</v>
      </c>
      <c r="F253" s="0" t="s">
        <v>35</v>
      </c>
    </row>
    <row r="254">
      <c r="A254" s="0" t="s">
        <v>355</v>
      </c>
      <c r="B254" s="0" t="s">
        <v>506</v>
      </c>
      <c r="C254" s="0" t="s">
        <v>35</v>
      </c>
      <c r="D254" s="0" t="s">
        <v>35</v>
      </c>
      <c r="E254" s="0" t="s">
        <v>35</v>
      </c>
      <c r="F254" s="0" t="s">
        <v>35</v>
      </c>
    </row>
    <row r="255">
      <c r="A255" s="0" t="s">
        <v>356</v>
      </c>
      <c r="B255" s="0" t="s">
        <v>506</v>
      </c>
      <c r="C255" s="0" t="s">
        <v>35</v>
      </c>
      <c r="D255" s="0" t="s">
        <v>35</v>
      </c>
      <c r="E255" s="0" t="s">
        <v>35</v>
      </c>
      <c r="F255" s="0" t="s">
        <v>35</v>
      </c>
    </row>
    <row r="256">
      <c r="A256" s="0" t="s">
        <v>568</v>
      </c>
      <c r="B256" s="0" t="s">
        <v>506</v>
      </c>
      <c r="C256" s="0" t="s">
        <v>506</v>
      </c>
      <c r="D256" s="0" t="s">
        <v>35</v>
      </c>
      <c r="E256" s="0" t="s">
        <v>376</v>
      </c>
      <c r="F256" s="0" t="s">
        <v>376</v>
      </c>
      <c r="G256" s="0" t="s">
        <v>35</v>
      </c>
    </row>
    <row r="257">
      <c r="A257" s="0" t="s">
        <v>357</v>
      </c>
      <c r="B257" s="0" t="s">
        <v>418</v>
      </c>
      <c r="C257" s="0" t="s">
        <v>382</v>
      </c>
      <c r="D257" s="0" t="s">
        <v>382</v>
      </c>
    </row>
    <row r="258">
      <c r="A258" s="0" t="s">
        <v>358</v>
      </c>
      <c r="B258" s="0" t="s">
        <v>371</v>
      </c>
      <c r="C258" s="0" t="s">
        <v>418</v>
      </c>
      <c r="D258" s="0" t="s">
        <v>371</v>
      </c>
      <c r="E258" s="0" t="s">
        <v>418</v>
      </c>
    </row>
    <row r="259">
      <c r="A259" s="0" t="s">
        <v>359</v>
      </c>
      <c r="B259" s="0" t="s">
        <v>366</v>
      </c>
      <c r="C259" s="0" t="s">
        <v>371</v>
      </c>
      <c r="D259" s="0" t="s">
        <v>371</v>
      </c>
    </row>
    <row r="260">
      <c r="A260" s="0" t="s">
        <v>360</v>
      </c>
      <c r="B260" s="0" t="s">
        <v>366</v>
      </c>
      <c r="C260" s="0" t="s">
        <v>371</v>
      </c>
      <c r="D260" s="0" t="s">
        <v>371</v>
      </c>
    </row>
    <row r="261">
      <c r="A261" s="0" t="s">
        <v>569</v>
      </c>
      <c r="B261" s="0" t="s">
        <v>374</v>
      </c>
      <c r="C261" s="0" t="s">
        <v>380</v>
      </c>
      <c r="D261" s="0" t="s">
        <v>380</v>
      </c>
    </row>
    <row r="262">
      <c r="A262" s="0" t="s">
        <v>361</v>
      </c>
      <c r="B262" s="0" t="s">
        <v>374</v>
      </c>
      <c r="C262" s="0" t="s">
        <v>374</v>
      </c>
      <c r="D262" s="0" t="s">
        <v>380</v>
      </c>
      <c r="E262" s="0" t="s">
        <v>380</v>
      </c>
      <c r="F262" s="0" t="s">
        <v>380</v>
      </c>
      <c r="G262" s="0" t="s">
        <v>380</v>
      </c>
    </row>
    <row r="263">
      <c r="A263" s="0" t="s">
        <v>570</v>
      </c>
      <c r="B263" s="0" t="s">
        <v>371</v>
      </c>
      <c r="C263" s="0" t="s">
        <v>409</v>
      </c>
      <c r="D263" s="0" t="s">
        <v>371</v>
      </c>
      <c r="E263" s="0" t="s">
        <v>409</v>
      </c>
    </row>
    <row r="264">
      <c r="A264" s="0" t="s">
        <v>362</v>
      </c>
      <c r="B264" s="0" t="s">
        <v>391</v>
      </c>
      <c r="C264" s="0" t="s">
        <v>385</v>
      </c>
      <c r="D264" s="0" t="s">
        <v>391</v>
      </c>
      <c r="E264" s="0" t="s">
        <v>385</v>
      </c>
      <c r="F264" s="0" t="s">
        <v>449</v>
      </c>
    </row>
    <row r="265">
      <c r="A265" s="0" t="s">
        <v>363</v>
      </c>
      <c r="B265" s="0" t="s">
        <v>35</v>
      </c>
    </row>
    <row r="266">
      <c r="A266" s="0" t="s">
        <v>364</v>
      </c>
      <c r="B266" s="0" t="s">
        <v>35</v>
      </c>
    </row>
    <row r="267">
      <c r="A267" s="0" t="s">
        <v>571</v>
      </c>
      <c r="B267" s="0" t="s">
        <v>35</v>
      </c>
      <c r="C267" s="0" t="s">
        <v>35</v>
      </c>
    </row>
    <row r="268">
      <c r="A268" s="0" t="s">
        <v>365</v>
      </c>
      <c r="B268" s="0" t="s">
        <v>371</v>
      </c>
    </row>
    <row r="269">
      <c r="A269" s="0" t="s">
        <v>572</v>
      </c>
      <c r="B269" s="0" t="s">
        <v>541</v>
      </c>
    </row>
  </sheetData>
  <headerFooter/>
</worksheet>
</file>

<file path=xl/worksheets/sheet32.xml><?xml version="1.0" encoding="utf-8"?>
<worksheet xmlns:r="http://schemas.openxmlformats.org/officeDocument/2006/relationships" xmlns="http://schemas.openxmlformats.org/spreadsheetml/2006/main" xmlns:xr="http://schemas.microsoft.com/office/spreadsheetml/2014/revision" xmlns:mc="http://schemas.openxmlformats.org/markup-compatibility/2006" mc:Ignorable="xr">
  <sheetPr codeName="AntennasPortName"/>
  <dimension ref="A1:J269"/>
  <sheetViews>
    <sheetView workbookViewId="0"/>
  </sheetViews>
  <sheetFormatPr defaultRowHeight="15"/>
  <sheetData>
    <row r="1">
      <c r="A1" s="0" t="s">
        <v>251</v>
      </c>
      <c r="B1" s="0" t="s">
        <v>962</v>
      </c>
      <c r="C1" s="0" t="s">
        <v>963</v>
      </c>
    </row>
    <row r="2">
      <c r="A2" s="0" t="s">
        <v>252</v>
      </c>
      <c r="B2" s="0" t="s">
        <v>964</v>
      </c>
      <c r="C2" s="0" t="s">
        <v>965</v>
      </c>
    </row>
    <row r="3">
      <c r="A3" s="0" t="s">
        <v>368</v>
      </c>
      <c r="B3" s="0" t="s">
        <v>541</v>
      </c>
    </row>
    <row r="4">
      <c r="A4" s="0" t="s">
        <v>369</v>
      </c>
      <c r="B4" s="0" t="s">
        <v>541</v>
      </c>
      <c r="C4" s="0" t="s">
        <v>541</v>
      </c>
    </row>
    <row r="5">
      <c r="A5" s="0" t="s">
        <v>372</v>
      </c>
      <c r="B5" s="0" t="s">
        <v>541</v>
      </c>
      <c r="C5" s="0" t="s">
        <v>541</v>
      </c>
      <c r="D5" s="0" t="s">
        <v>541</v>
      </c>
    </row>
    <row r="6">
      <c r="A6" s="0" t="s">
        <v>373</v>
      </c>
      <c r="B6" s="0" t="s">
        <v>966</v>
      </c>
      <c r="C6" s="0" t="s">
        <v>967</v>
      </c>
      <c r="D6" s="0" t="s">
        <v>968</v>
      </c>
      <c r="E6" s="0" t="s">
        <v>969</v>
      </c>
    </row>
    <row r="7">
      <c r="A7" s="0" t="s">
        <v>375</v>
      </c>
      <c r="B7" s="0" t="s">
        <v>969</v>
      </c>
      <c r="C7" s="0" t="s">
        <v>967</v>
      </c>
      <c r="D7" s="0" t="s">
        <v>968</v>
      </c>
      <c r="E7" s="0" t="s">
        <v>966</v>
      </c>
    </row>
    <row r="8">
      <c r="A8" s="0" t="s">
        <v>377</v>
      </c>
      <c r="B8" s="0" t="s">
        <v>970</v>
      </c>
      <c r="C8" s="0" t="s">
        <v>967</v>
      </c>
      <c r="D8" s="0" t="s">
        <v>966</v>
      </c>
      <c r="E8" s="0" t="s">
        <v>968</v>
      </c>
      <c r="F8" s="0" t="s">
        <v>969</v>
      </c>
    </row>
    <row r="9">
      <c r="A9" s="0" t="s">
        <v>378</v>
      </c>
      <c r="B9" s="0" t="s">
        <v>971</v>
      </c>
      <c r="C9" s="0" t="s">
        <v>970</v>
      </c>
      <c r="D9" s="0" t="s">
        <v>967</v>
      </c>
      <c r="E9" s="0" t="s">
        <v>966</v>
      </c>
      <c r="F9" s="0" t="s">
        <v>968</v>
      </c>
      <c r="G9" s="0" t="s">
        <v>969</v>
      </c>
    </row>
    <row r="10">
      <c r="A10" s="0" t="s">
        <v>253</v>
      </c>
      <c r="B10" s="0" t="s">
        <v>972</v>
      </c>
      <c r="C10" s="0" t="s">
        <v>973</v>
      </c>
      <c r="D10" s="0" t="s">
        <v>974</v>
      </c>
      <c r="E10" s="0" t="s">
        <v>975</v>
      </c>
      <c r="F10" s="0" t="s">
        <v>976</v>
      </c>
    </row>
    <row r="11">
      <c r="A11" s="0" t="s">
        <v>381</v>
      </c>
      <c r="B11" s="0" t="s">
        <v>541</v>
      </c>
      <c r="C11" s="0" t="s">
        <v>541</v>
      </c>
      <c r="D11" s="0" t="s">
        <v>541</v>
      </c>
      <c r="E11" s="0" t="s">
        <v>541</v>
      </c>
      <c r="F11" s="0" t="s">
        <v>541</v>
      </c>
    </row>
    <row r="12">
      <c r="A12" s="0" t="s">
        <v>383</v>
      </c>
      <c r="B12" s="0" t="s">
        <v>541</v>
      </c>
    </row>
    <row r="13">
      <c r="A13" s="0" t="s">
        <v>384</v>
      </c>
      <c r="B13" s="0" t="s">
        <v>541</v>
      </c>
    </row>
    <row r="14">
      <c r="A14" s="0" t="s">
        <v>386</v>
      </c>
      <c r="B14" s="0" t="s">
        <v>541</v>
      </c>
    </row>
    <row r="15">
      <c r="A15" s="0" t="s">
        <v>387</v>
      </c>
      <c r="B15" s="0" t="s">
        <v>541</v>
      </c>
    </row>
    <row r="16">
      <c r="A16" s="0" t="s">
        <v>388</v>
      </c>
      <c r="B16" s="0" t="s">
        <v>541</v>
      </c>
    </row>
    <row r="17">
      <c r="A17" s="0" t="s">
        <v>390</v>
      </c>
      <c r="B17" s="0" t="s">
        <v>541</v>
      </c>
    </row>
    <row r="18">
      <c r="A18" s="0" t="s">
        <v>392</v>
      </c>
      <c r="B18" s="0" t="s">
        <v>541</v>
      </c>
    </row>
    <row r="19">
      <c r="A19" s="0" t="s">
        <v>393</v>
      </c>
      <c r="B19" s="0" t="s">
        <v>541</v>
      </c>
    </row>
    <row r="20">
      <c r="A20" s="0" t="s">
        <v>395</v>
      </c>
      <c r="B20" s="0" t="s">
        <v>541</v>
      </c>
    </row>
    <row r="21">
      <c r="A21" s="0" t="s">
        <v>396</v>
      </c>
      <c r="B21" s="0" t="s">
        <v>541</v>
      </c>
    </row>
    <row r="22">
      <c r="A22" s="0" t="s">
        <v>398</v>
      </c>
      <c r="B22" s="0" t="s">
        <v>541</v>
      </c>
    </row>
    <row r="23">
      <c r="A23" s="0" t="s">
        <v>399</v>
      </c>
      <c r="B23" s="0" t="s">
        <v>541</v>
      </c>
    </row>
    <row r="24">
      <c r="A24" s="0" t="s">
        <v>401</v>
      </c>
      <c r="B24" s="0" t="s">
        <v>541</v>
      </c>
    </row>
    <row r="25">
      <c r="A25" s="0" t="s">
        <v>403</v>
      </c>
      <c r="B25" s="0" t="s">
        <v>541</v>
      </c>
    </row>
    <row r="26">
      <c r="A26" s="0" t="s">
        <v>404</v>
      </c>
      <c r="B26" s="0" t="s">
        <v>541</v>
      </c>
    </row>
    <row r="27">
      <c r="A27" s="0" t="s">
        <v>406</v>
      </c>
      <c r="B27" s="0" t="s">
        <v>541</v>
      </c>
    </row>
    <row r="28">
      <c r="A28" s="0" t="s">
        <v>408</v>
      </c>
      <c r="B28" s="0" t="s">
        <v>541</v>
      </c>
    </row>
    <row r="29">
      <c r="A29" s="0" t="s">
        <v>410</v>
      </c>
      <c r="B29" s="0" t="s">
        <v>541</v>
      </c>
    </row>
    <row r="30">
      <c r="A30" s="0" t="s">
        <v>411</v>
      </c>
      <c r="B30" s="0" t="s">
        <v>541</v>
      </c>
    </row>
    <row r="31">
      <c r="A31" s="0" t="s">
        <v>412</v>
      </c>
      <c r="B31" s="0" t="s">
        <v>541</v>
      </c>
    </row>
    <row r="32">
      <c r="A32" s="0" t="s">
        <v>413</v>
      </c>
      <c r="B32" s="0" t="s">
        <v>541</v>
      </c>
    </row>
    <row r="33">
      <c r="A33" s="0" t="s">
        <v>414</v>
      </c>
      <c r="B33" s="0" t="s">
        <v>541</v>
      </c>
    </row>
    <row r="34">
      <c r="A34" s="0" t="s">
        <v>415</v>
      </c>
      <c r="B34" s="0" t="s">
        <v>541</v>
      </c>
    </row>
    <row r="35">
      <c r="A35" s="0" t="s">
        <v>416</v>
      </c>
      <c r="B35" s="0" t="s">
        <v>541</v>
      </c>
    </row>
    <row r="36">
      <c r="A36" s="0" t="s">
        <v>417</v>
      </c>
      <c r="B36" s="0" t="s">
        <v>541</v>
      </c>
    </row>
    <row r="37">
      <c r="A37" s="0" t="s">
        <v>419</v>
      </c>
      <c r="B37" s="0" t="s">
        <v>541</v>
      </c>
    </row>
    <row r="38">
      <c r="A38" s="0" t="s">
        <v>420</v>
      </c>
      <c r="B38" s="0" t="s">
        <v>541</v>
      </c>
    </row>
    <row r="39">
      <c r="A39" s="0" t="s">
        <v>421</v>
      </c>
      <c r="B39" s="0" t="s">
        <v>541</v>
      </c>
    </row>
    <row r="40">
      <c r="A40" s="0" t="s">
        <v>422</v>
      </c>
      <c r="B40" s="0" t="s">
        <v>541</v>
      </c>
    </row>
    <row r="41">
      <c r="A41" s="0" t="s">
        <v>423</v>
      </c>
      <c r="B41" s="0" t="s">
        <v>541</v>
      </c>
    </row>
    <row r="42">
      <c r="A42" s="0" t="s">
        <v>424</v>
      </c>
      <c r="B42" s="0" t="s">
        <v>541</v>
      </c>
    </row>
    <row r="43">
      <c r="A43" s="0" t="s">
        <v>425</v>
      </c>
      <c r="B43" s="0" t="s">
        <v>541</v>
      </c>
    </row>
    <row r="44">
      <c r="A44" s="0" t="s">
        <v>426</v>
      </c>
      <c r="B44" s="0" t="s">
        <v>541</v>
      </c>
    </row>
    <row r="45">
      <c r="A45" s="0" t="s">
        <v>427</v>
      </c>
      <c r="B45" s="0" t="s">
        <v>541</v>
      </c>
    </row>
    <row r="46">
      <c r="A46" s="0" t="s">
        <v>428</v>
      </c>
      <c r="B46" s="0" t="s">
        <v>541</v>
      </c>
    </row>
    <row r="47">
      <c r="A47" s="0" t="s">
        <v>429</v>
      </c>
      <c r="B47" s="0" t="s">
        <v>541</v>
      </c>
    </row>
    <row r="48">
      <c r="A48" s="0" t="s">
        <v>430</v>
      </c>
      <c r="B48" s="0" t="s">
        <v>541</v>
      </c>
    </row>
    <row r="49">
      <c r="A49" s="0" t="s">
        <v>431</v>
      </c>
      <c r="B49" s="0" t="s">
        <v>541</v>
      </c>
    </row>
    <row r="50">
      <c r="A50" s="0" t="s">
        <v>432</v>
      </c>
      <c r="B50" s="0" t="s">
        <v>541</v>
      </c>
    </row>
    <row r="51">
      <c r="A51" s="0" t="s">
        <v>254</v>
      </c>
      <c r="B51" s="0" t="s">
        <v>541</v>
      </c>
    </row>
    <row r="52">
      <c r="A52" s="0" t="s">
        <v>435</v>
      </c>
      <c r="B52" s="0" t="s">
        <v>541</v>
      </c>
    </row>
    <row r="53">
      <c r="A53" s="0" t="s">
        <v>437</v>
      </c>
      <c r="B53" s="0" t="s">
        <v>541</v>
      </c>
    </row>
    <row r="54">
      <c r="A54" s="0" t="s">
        <v>438</v>
      </c>
      <c r="B54" s="0" t="s">
        <v>541</v>
      </c>
    </row>
    <row r="55">
      <c r="A55" s="0" t="s">
        <v>439</v>
      </c>
      <c r="B55" s="0" t="s">
        <v>541</v>
      </c>
    </row>
    <row r="56">
      <c r="A56" s="0" t="s">
        <v>440</v>
      </c>
      <c r="B56" s="0" t="s">
        <v>541</v>
      </c>
    </row>
    <row r="57">
      <c r="A57" s="0" t="s">
        <v>255</v>
      </c>
      <c r="B57" s="0" t="s">
        <v>541</v>
      </c>
    </row>
    <row r="58">
      <c r="A58" s="0" t="s">
        <v>442</v>
      </c>
      <c r="B58" s="0" t="s">
        <v>541</v>
      </c>
    </row>
    <row r="59">
      <c r="A59" s="0" t="s">
        <v>444</v>
      </c>
      <c r="B59" s="0" t="s">
        <v>541</v>
      </c>
      <c r="C59" s="0" t="s">
        <v>541</v>
      </c>
    </row>
    <row r="60">
      <c r="A60" s="0" t="s">
        <v>445</v>
      </c>
      <c r="B60" s="0" t="s">
        <v>541</v>
      </c>
      <c r="C60" s="0" t="s">
        <v>541</v>
      </c>
      <c r="D60" s="0" t="s">
        <v>541</v>
      </c>
    </row>
    <row r="61">
      <c r="A61" s="0" t="s">
        <v>256</v>
      </c>
      <c r="B61" s="0" t="s">
        <v>541</v>
      </c>
      <c r="C61" s="0" t="s">
        <v>541</v>
      </c>
    </row>
    <row r="62">
      <c r="A62" s="0" t="s">
        <v>446</v>
      </c>
      <c r="B62" s="0" t="s">
        <v>541</v>
      </c>
      <c r="C62" s="0" t="s">
        <v>541</v>
      </c>
    </row>
    <row r="63">
      <c r="A63" s="0" t="s">
        <v>257</v>
      </c>
      <c r="B63" s="0" t="s">
        <v>541</v>
      </c>
      <c r="C63" s="0" t="s">
        <v>541</v>
      </c>
    </row>
    <row r="64">
      <c r="A64" s="0" t="s">
        <v>447</v>
      </c>
      <c r="B64" s="0" t="s">
        <v>541</v>
      </c>
      <c r="C64" s="0" t="s">
        <v>541</v>
      </c>
    </row>
    <row r="65">
      <c r="A65" s="0" t="s">
        <v>258</v>
      </c>
      <c r="B65" s="0" t="s">
        <v>541</v>
      </c>
      <c r="C65" s="0" t="s">
        <v>541</v>
      </c>
    </row>
    <row r="66">
      <c r="A66" s="0" t="s">
        <v>259</v>
      </c>
      <c r="B66" s="0" t="s">
        <v>541</v>
      </c>
      <c r="C66" s="0" t="s">
        <v>541</v>
      </c>
    </row>
    <row r="67">
      <c r="A67" s="0" t="s">
        <v>260</v>
      </c>
      <c r="B67" s="0" t="s">
        <v>541</v>
      </c>
      <c r="C67" s="0" t="s">
        <v>541</v>
      </c>
    </row>
    <row r="68">
      <c r="A68" s="0" t="s">
        <v>448</v>
      </c>
      <c r="B68" s="0" t="s">
        <v>541</v>
      </c>
      <c r="C68" s="0" t="s">
        <v>541</v>
      </c>
      <c r="D68" s="0" t="s">
        <v>541</v>
      </c>
    </row>
    <row r="69">
      <c r="A69" s="0" t="s">
        <v>261</v>
      </c>
      <c r="B69" s="0" t="s">
        <v>541</v>
      </c>
      <c r="C69" s="0" t="s">
        <v>541</v>
      </c>
      <c r="D69" s="0" t="s">
        <v>541</v>
      </c>
    </row>
    <row r="70">
      <c r="A70" s="0" t="s">
        <v>450</v>
      </c>
      <c r="B70" s="0" t="s">
        <v>541</v>
      </c>
      <c r="C70" s="0" t="s">
        <v>541</v>
      </c>
      <c r="D70" s="0" t="s">
        <v>541</v>
      </c>
    </row>
    <row r="71">
      <c r="A71" s="0" t="s">
        <v>451</v>
      </c>
      <c r="B71" s="0" t="s">
        <v>541</v>
      </c>
      <c r="C71" s="0" t="s">
        <v>541</v>
      </c>
      <c r="D71" s="0" t="s">
        <v>541</v>
      </c>
    </row>
    <row r="72">
      <c r="A72" s="0" t="s">
        <v>452</v>
      </c>
      <c r="B72" s="0" t="s">
        <v>541</v>
      </c>
      <c r="C72" s="0" t="s">
        <v>541</v>
      </c>
      <c r="D72" s="0" t="s">
        <v>541</v>
      </c>
    </row>
    <row r="73">
      <c r="A73" s="0" t="s">
        <v>453</v>
      </c>
      <c r="B73" s="0" t="s">
        <v>541</v>
      </c>
    </row>
    <row r="74">
      <c r="A74" s="0" t="s">
        <v>454</v>
      </c>
      <c r="B74" s="0" t="s">
        <v>541</v>
      </c>
      <c r="C74" s="0" t="s">
        <v>541</v>
      </c>
    </row>
    <row r="75">
      <c r="A75" s="0" t="s">
        <v>262</v>
      </c>
      <c r="B75" s="0" t="s">
        <v>541</v>
      </c>
      <c r="C75" s="0" t="s">
        <v>541</v>
      </c>
    </row>
    <row r="76">
      <c r="A76" s="0" t="s">
        <v>455</v>
      </c>
      <c r="B76" s="0" t="s">
        <v>541</v>
      </c>
    </row>
    <row r="77">
      <c r="A77" s="0" t="s">
        <v>456</v>
      </c>
      <c r="B77" s="0" t="s">
        <v>541</v>
      </c>
    </row>
    <row r="78">
      <c r="A78" s="0" t="s">
        <v>458</v>
      </c>
      <c r="B78" s="0" t="s">
        <v>541</v>
      </c>
    </row>
    <row r="79">
      <c r="A79" s="0" t="s">
        <v>459</v>
      </c>
      <c r="B79" s="0" t="s">
        <v>541</v>
      </c>
    </row>
    <row r="80">
      <c r="A80" s="0" t="s">
        <v>461</v>
      </c>
      <c r="B80" s="0" t="s">
        <v>541</v>
      </c>
    </row>
    <row r="81">
      <c r="A81" s="0" t="s">
        <v>463</v>
      </c>
      <c r="B81" s="0" t="s">
        <v>541</v>
      </c>
      <c r="C81" s="0" t="s">
        <v>541</v>
      </c>
    </row>
    <row r="82">
      <c r="A82" s="0" t="s">
        <v>263</v>
      </c>
      <c r="B82" s="0" t="s">
        <v>541</v>
      </c>
      <c r="C82" s="0" t="s">
        <v>541</v>
      </c>
      <c r="D82" s="0" t="s">
        <v>541</v>
      </c>
    </row>
    <row r="83">
      <c r="A83" s="0" t="s">
        <v>464</v>
      </c>
      <c r="B83" s="0" t="s">
        <v>541</v>
      </c>
      <c r="C83" s="0" t="s">
        <v>541</v>
      </c>
      <c r="D83" s="0" t="s">
        <v>541</v>
      </c>
    </row>
    <row r="84">
      <c r="A84" s="0" t="s">
        <v>264</v>
      </c>
      <c r="B84" s="0" t="s">
        <v>541</v>
      </c>
      <c r="C84" s="0" t="s">
        <v>541</v>
      </c>
      <c r="D84" s="0" t="s">
        <v>541</v>
      </c>
    </row>
    <row r="85">
      <c r="A85" s="0" t="s">
        <v>265</v>
      </c>
      <c r="B85" s="0" t="s">
        <v>541</v>
      </c>
      <c r="C85" s="0" t="s">
        <v>541</v>
      </c>
      <c r="D85" s="0" t="s">
        <v>541</v>
      </c>
    </row>
    <row r="86">
      <c r="A86" s="0" t="s">
        <v>266</v>
      </c>
      <c r="B86" s="0" t="s">
        <v>541</v>
      </c>
      <c r="C86" s="0" t="s">
        <v>541</v>
      </c>
      <c r="D86" s="0" t="s">
        <v>541</v>
      </c>
    </row>
    <row r="87">
      <c r="A87" s="0" t="s">
        <v>465</v>
      </c>
      <c r="B87" s="0" t="s">
        <v>541</v>
      </c>
    </row>
    <row r="88">
      <c r="A88" s="0" t="s">
        <v>466</v>
      </c>
      <c r="B88" s="0" t="s">
        <v>541</v>
      </c>
    </row>
    <row r="89">
      <c r="A89" s="0" t="s">
        <v>267</v>
      </c>
      <c r="B89" s="0" t="s">
        <v>541</v>
      </c>
    </row>
    <row r="90">
      <c r="A90" s="0" t="s">
        <v>268</v>
      </c>
      <c r="B90" s="0" t="s">
        <v>541</v>
      </c>
    </row>
    <row r="91">
      <c r="A91" s="0" t="s">
        <v>467</v>
      </c>
      <c r="B91" s="0" t="s">
        <v>541</v>
      </c>
    </row>
    <row r="92">
      <c r="A92" s="0" t="s">
        <v>269</v>
      </c>
      <c r="B92" s="0" t="s">
        <v>541</v>
      </c>
    </row>
    <row r="93">
      <c r="A93" s="0" t="s">
        <v>468</v>
      </c>
      <c r="B93" s="0" t="s">
        <v>541</v>
      </c>
    </row>
    <row r="94">
      <c r="A94" s="0" t="s">
        <v>469</v>
      </c>
      <c r="B94" s="0" t="s">
        <v>541</v>
      </c>
    </row>
    <row r="95">
      <c r="A95" s="0" t="s">
        <v>470</v>
      </c>
      <c r="B95" s="0" t="s">
        <v>541</v>
      </c>
    </row>
    <row r="96">
      <c r="A96" s="0" t="s">
        <v>471</v>
      </c>
      <c r="B96" s="0" t="s">
        <v>541</v>
      </c>
    </row>
    <row r="97">
      <c r="A97" s="0" t="s">
        <v>473</v>
      </c>
      <c r="B97" s="0" t="s">
        <v>541</v>
      </c>
    </row>
    <row r="98">
      <c r="A98" s="0" t="s">
        <v>270</v>
      </c>
      <c r="B98" s="0" t="s">
        <v>541</v>
      </c>
    </row>
    <row r="99">
      <c r="A99" s="0" t="s">
        <v>474</v>
      </c>
      <c r="B99" s="0" t="s">
        <v>541</v>
      </c>
    </row>
    <row r="100">
      <c r="A100" s="0" t="s">
        <v>476</v>
      </c>
      <c r="B100" s="0" t="s">
        <v>541</v>
      </c>
      <c r="C100" s="0" t="s">
        <v>541</v>
      </c>
      <c r="D100" s="0" t="s">
        <v>541</v>
      </c>
    </row>
    <row r="101">
      <c r="A101" s="0" t="s">
        <v>477</v>
      </c>
      <c r="B101" s="0" t="s">
        <v>541</v>
      </c>
    </row>
    <row r="102">
      <c r="A102" s="0" t="s">
        <v>478</v>
      </c>
      <c r="B102" s="0" t="s">
        <v>541</v>
      </c>
      <c r="C102" s="0" t="s">
        <v>541</v>
      </c>
    </row>
    <row r="103">
      <c r="A103" s="0" t="s">
        <v>271</v>
      </c>
      <c r="B103" s="0" t="s">
        <v>541</v>
      </c>
      <c r="C103" s="0" t="s">
        <v>541</v>
      </c>
    </row>
    <row r="104">
      <c r="A104" s="0" t="s">
        <v>479</v>
      </c>
      <c r="B104" s="0" t="s">
        <v>541</v>
      </c>
      <c r="C104" s="0" t="s">
        <v>541</v>
      </c>
    </row>
    <row r="105">
      <c r="A105" s="0" t="s">
        <v>272</v>
      </c>
      <c r="B105" s="0" t="s">
        <v>541</v>
      </c>
    </row>
    <row r="106">
      <c r="A106" s="0" t="s">
        <v>480</v>
      </c>
      <c r="B106" s="0" t="s">
        <v>968</v>
      </c>
      <c r="C106" s="0" t="s">
        <v>966</v>
      </c>
    </row>
    <row r="107">
      <c r="A107" s="0" t="s">
        <v>481</v>
      </c>
      <c r="B107" s="0" t="s">
        <v>541</v>
      </c>
    </row>
    <row r="108">
      <c r="A108" s="0" t="s">
        <v>483</v>
      </c>
      <c r="B108" s="0" t="s">
        <v>541</v>
      </c>
      <c r="C108" s="0" t="s">
        <v>541</v>
      </c>
    </row>
    <row r="109">
      <c r="A109" s="0" t="s">
        <v>484</v>
      </c>
      <c r="B109" s="0" t="s">
        <v>968</v>
      </c>
      <c r="C109" s="0" t="s">
        <v>969</v>
      </c>
    </row>
    <row r="110">
      <c r="A110" s="0" t="s">
        <v>273</v>
      </c>
      <c r="B110" s="0" t="s">
        <v>969</v>
      </c>
      <c r="C110" s="0" t="s">
        <v>968</v>
      </c>
    </row>
    <row r="111">
      <c r="A111" s="0" t="s">
        <v>485</v>
      </c>
      <c r="B111" s="0" t="s">
        <v>541</v>
      </c>
    </row>
    <row r="112">
      <c r="A112" s="0" t="s">
        <v>486</v>
      </c>
      <c r="B112" s="0" t="s">
        <v>541</v>
      </c>
    </row>
    <row r="113">
      <c r="A113" s="0" t="s">
        <v>487</v>
      </c>
      <c r="B113" s="0" t="s">
        <v>968</v>
      </c>
      <c r="C113" s="0" t="s">
        <v>966</v>
      </c>
    </row>
    <row r="114">
      <c r="A114" s="0" t="s">
        <v>488</v>
      </c>
      <c r="B114" s="0" t="s">
        <v>541</v>
      </c>
      <c r="C114" s="0" t="s">
        <v>541</v>
      </c>
      <c r="D114" s="0" t="s">
        <v>541</v>
      </c>
    </row>
    <row r="115">
      <c r="A115" s="0" t="s">
        <v>274</v>
      </c>
      <c r="B115" s="0" t="s">
        <v>969</v>
      </c>
      <c r="C115" s="0" t="s">
        <v>968</v>
      </c>
      <c r="D115" s="0" t="s">
        <v>966</v>
      </c>
    </row>
    <row r="116">
      <c r="A116" s="0" t="s">
        <v>489</v>
      </c>
      <c r="B116" s="0" t="s">
        <v>541</v>
      </c>
      <c r="C116" s="0" t="s">
        <v>541</v>
      </c>
      <c r="D116" s="0" t="s">
        <v>541</v>
      </c>
    </row>
    <row r="117">
      <c r="A117" s="0" t="s">
        <v>275</v>
      </c>
      <c r="B117" s="0" t="s">
        <v>969</v>
      </c>
      <c r="C117" s="0" t="s">
        <v>968</v>
      </c>
      <c r="D117" s="0" t="s">
        <v>966</v>
      </c>
    </row>
    <row r="118">
      <c r="A118" s="0" t="s">
        <v>490</v>
      </c>
      <c r="B118" s="0" t="s">
        <v>541</v>
      </c>
    </row>
    <row r="119">
      <c r="A119" s="0" t="s">
        <v>491</v>
      </c>
      <c r="B119" s="0" t="s">
        <v>541</v>
      </c>
    </row>
    <row r="120">
      <c r="A120" s="0" t="s">
        <v>493</v>
      </c>
      <c r="B120" s="0" t="s">
        <v>541</v>
      </c>
    </row>
    <row r="121">
      <c r="A121" s="0" t="s">
        <v>494</v>
      </c>
      <c r="B121" s="0" t="s">
        <v>541</v>
      </c>
      <c r="C121" s="0" t="s">
        <v>541</v>
      </c>
    </row>
    <row r="122">
      <c r="A122" s="0" t="s">
        <v>495</v>
      </c>
      <c r="B122" s="0" t="s">
        <v>541</v>
      </c>
      <c r="C122" s="0" t="s">
        <v>541</v>
      </c>
      <c r="D122" s="0" t="s">
        <v>541</v>
      </c>
      <c r="E122" s="0" t="s">
        <v>541</v>
      </c>
    </row>
    <row r="123">
      <c r="A123" s="0" t="s">
        <v>496</v>
      </c>
      <c r="B123" s="0" t="s">
        <v>977</v>
      </c>
      <c r="C123" s="0" t="s">
        <v>967</v>
      </c>
      <c r="D123" s="0" t="s">
        <v>978</v>
      </c>
      <c r="E123" s="0" t="s">
        <v>969</v>
      </c>
    </row>
    <row r="124">
      <c r="A124" s="0" t="s">
        <v>497</v>
      </c>
      <c r="B124" s="0" t="s">
        <v>541</v>
      </c>
    </row>
    <row r="125">
      <c r="A125" s="0" t="s">
        <v>498</v>
      </c>
      <c r="B125" s="0" t="s">
        <v>541</v>
      </c>
    </row>
    <row r="126">
      <c r="A126" s="0" t="s">
        <v>499</v>
      </c>
      <c r="B126" s="0" t="s">
        <v>969</v>
      </c>
      <c r="C126" s="0" t="s">
        <v>966</v>
      </c>
      <c r="D126" s="0" t="s">
        <v>968</v>
      </c>
    </row>
    <row r="127">
      <c r="A127" s="0" t="s">
        <v>501</v>
      </c>
      <c r="B127" s="0" t="s">
        <v>969</v>
      </c>
      <c r="C127" s="0" t="s">
        <v>968</v>
      </c>
      <c r="D127" s="0" t="s">
        <v>966</v>
      </c>
    </row>
    <row r="128">
      <c r="A128" s="0" t="s">
        <v>276</v>
      </c>
      <c r="B128" s="0" t="s">
        <v>969</v>
      </c>
      <c r="C128" s="0" t="s">
        <v>968</v>
      </c>
      <c r="D128" s="0" t="s">
        <v>966</v>
      </c>
      <c r="E128" s="0" t="s">
        <v>970</v>
      </c>
      <c r="F128" s="0" t="s">
        <v>971</v>
      </c>
    </row>
    <row r="129">
      <c r="A129" s="0" t="s">
        <v>502</v>
      </c>
      <c r="B129" s="0" t="s">
        <v>969</v>
      </c>
      <c r="C129" s="0" t="s">
        <v>967</v>
      </c>
      <c r="D129" s="0" t="s">
        <v>968</v>
      </c>
      <c r="E129" s="0" t="s">
        <v>966</v>
      </c>
      <c r="F129" s="0" t="s">
        <v>970</v>
      </c>
      <c r="G129" s="0" t="s">
        <v>971</v>
      </c>
    </row>
    <row r="130">
      <c r="A130" s="0" t="s">
        <v>504</v>
      </c>
      <c r="B130" s="0" t="s">
        <v>969</v>
      </c>
      <c r="C130" s="0" t="s">
        <v>967</v>
      </c>
    </row>
    <row r="131">
      <c r="A131" s="0" t="s">
        <v>505</v>
      </c>
      <c r="B131" s="0" t="s">
        <v>969</v>
      </c>
      <c r="C131" s="0" t="s">
        <v>967</v>
      </c>
      <c r="D131" s="0" t="s">
        <v>968</v>
      </c>
      <c r="E131" s="0" t="s">
        <v>966</v>
      </c>
    </row>
    <row r="132">
      <c r="A132" s="0" t="s">
        <v>507</v>
      </c>
      <c r="B132" s="0" t="s">
        <v>970</v>
      </c>
      <c r="C132" s="0" t="s">
        <v>971</v>
      </c>
      <c r="D132" s="0" t="s">
        <v>967</v>
      </c>
      <c r="E132" s="0" t="s">
        <v>969</v>
      </c>
      <c r="F132" s="0" t="s">
        <v>968</v>
      </c>
      <c r="G132" s="0" t="s">
        <v>966</v>
      </c>
    </row>
    <row r="133">
      <c r="A133" s="0" t="s">
        <v>508</v>
      </c>
      <c r="B133" s="0" t="s">
        <v>969</v>
      </c>
      <c r="C133" s="0" t="s">
        <v>967</v>
      </c>
      <c r="D133" s="0" t="s">
        <v>968</v>
      </c>
      <c r="E133" s="0" t="s">
        <v>966</v>
      </c>
      <c r="F133" s="0" t="s">
        <v>970</v>
      </c>
      <c r="G133" s="0" t="s">
        <v>971</v>
      </c>
    </row>
    <row r="134">
      <c r="A134" s="0" t="s">
        <v>509</v>
      </c>
      <c r="B134" s="0" t="s">
        <v>969</v>
      </c>
      <c r="C134" s="0" t="s">
        <v>968</v>
      </c>
      <c r="D134" s="0" t="s">
        <v>966</v>
      </c>
      <c r="E134" s="0" t="s">
        <v>970</v>
      </c>
    </row>
    <row r="135">
      <c r="A135" s="0" t="s">
        <v>510</v>
      </c>
      <c r="B135" s="0" t="s">
        <v>969</v>
      </c>
      <c r="C135" s="0" t="s">
        <v>968</v>
      </c>
      <c r="D135" s="0" t="s">
        <v>966</v>
      </c>
      <c r="E135" s="0" t="s">
        <v>970</v>
      </c>
      <c r="F135" s="0" t="s">
        <v>971</v>
      </c>
    </row>
    <row r="136">
      <c r="A136" s="0" t="s">
        <v>511</v>
      </c>
      <c r="B136" s="0" t="s">
        <v>969</v>
      </c>
      <c r="C136" s="0" t="s">
        <v>967</v>
      </c>
      <c r="D136" s="0" t="s">
        <v>968</v>
      </c>
      <c r="E136" s="0" t="s">
        <v>966</v>
      </c>
      <c r="F136" s="0" t="s">
        <v>970</v>
      </c>
      <c r="G136" s="0" t="s">
        <v>971</v>
      </c>
    </row>
    <row r="137">
      <c r="A137" s="0" t="s">
        <v>513</v>
      </c>
      <c r="B137" s="0" t="s">
        <v>969</v>
      </c>
      <c r="C137" s="0" t="s">
        <v>967</v>
      </c>
      <c r="D137" s="0" t="s">
        <v>968</v>
      </c>
      <c r="E137" s="0" t="s">
        <v>966</v>
      </c>
    </row>
    <row r="138">
      <c r="A138" s="0" t="s">
        <v>514</v>
      </c>
      <c r="B138" s="0" t="s">
        <v>969</v>
      </c>
      <c r="C138" s="0" t="s">
        <v>967</v>
      </c>
      <c r="D138" s="0" t="s">
        <v>968</v>
      </c>
      <c r="E138" s="0" t="s">
        <v>966</v>
      </c>
    </row>
    <row r="139">
      <c r="A139" s="0" t="s">
        <v>515</v>
      </c>
      <c r="B139" s="0" t="s">
        <v>969</v>
      </c>
      <c r="C139" s="0" t="s">
        <v>967</v>
      </c>
      <c r="D139" s="0" t="s">
        <v>968</v>
      </c>
      <c r="E139" s="0" t="s">
        <v>966</v>
      </c>
      <c r="F139" s="0" t="s">
        <v>970</v>
      </c>
      <c r="G139" s="0" t="s">
        <v>971</v>
      </c>
    </row>
    <row r="140">
      <c r="A140" s="0" t="s">
        <v>516</v>
      </c>
      <c r="B140" s="0" t="s">
        <v>969</v>
      </c>
      <c r="C140" s="0" t="s">
        <v>967</v>
      </c>
      <c r="D140" s="0" t="s">
        <v>968</v>
      </c>
      <c r="E140" s="0" t="s">
        <v>966</v>
      </c>
      <c r="F140" s="0" t="s">
        <v>970</v>
      </c>
      <c r="G140" s="0" t="s">
        <v>971</v>
      </c>
    </row>
    <row r="141">
      <c r="A141" s="0" t="s">
        <v>277</v>
      </c>
      <c r="B141" s="0" t="s">
        <v>979</v>
      </c>
      <c r="C141" s="0" t="s">
        <v>980</v>
      </c>
      <c r="D141" s="0" t="s">
        <v>981</v>
      </c>
      <c r="E141" s="0" t="s">
        <v>982</v>
      </c>
      <c r="F141" s="0" t="s">
        <v>983</v>
      </c>
      <c r="G141" s="0" t="s">
        <v>984</v>
      </c>
    </row>
    <row r="142">
      <c r="A142" s="0" t="s">
        <v>278</v>
      </c>
      <c r="B142" s="0" t="s">
        <v>979</v>
      </c>
      <c r="C142" s="0" t="s">
        <v>980</v>
      </c>
      <c r="D142" s="0" t="s">
        <v>981</v>
      </c>
      <c r="E142" s="0" t="s">
        <v>982</v>
      </c>
      <c r="F142" s="0" t="s">
        <v>983</v>
      </c>
      <c r="G142" s="0" t="s">
        <v>984</v>
      </c>
    </row>
    <row r="143">
      <c r="A143" s="0" t="s">
        <v>518</v>
      </c>
      <c r="B143" s="0" t="s">
        <v>26</v>
      </c>
      <c r="C143" s="0" t="s">
        <v>27</v>
      </c>
      <c r="D143" s="0" t="s">
        <v>985</v>
      </c>
      <c r="E143" s="0" t="s">
        <v>986</v>
      </c>
      <c r="F143" s="0" t="s">
        <v>987</v>
      </c>
      <c r="G143" s="0" t="s">
        <v>988</v>
      </c>
      <c r="H143" s="0" t="s">
        <v>984</v>
      </c>
    </row>
    <row r="144">
      <c r="A144" s="0" t="s">
        <v>520</v>
      </c>
      <c r="B144" s="0" t="s">
        <v>26</v>
      </c>
      <c r="C144" s="0" t="s">
        <v>27</v>
      </c>
      <c r="D144" s="0" t="s">
        <v>985</v>
      </c>
      <c r="E144" s="0" t="s">
        <v>986</v>
      </c>
      <c r="F144" s="0" t="s">
        <v>987</v>
      </c>
      <c r="G144" s="0" t="s">
        <v>988</v>
      </c>
      <c r="H144" s="0" t="s">
        <v>984</v>
      </c>
    </row>
    <row r="145">
      <c r="A145" s="0" t="s">
        <v>279</v>
      </c>
      <c r="B145" s="0" t="s">
        <v>541</v>
      </c>
    </row>
    <row r="146">
      <c r="A146" s="0" t="s">
        <v>521</v>
      </c>
      <c r="B146" s="0" t="s">
        <v>541</v>
      </c>
    </row>
    <row r="147">
      <c r="A147" s="0" t="s">
        <v>522</v>
      </c>
      <c r="B147" s="0" t="s">
        <v>989</v>
      </c>
    </row>
    <row r="148">
      <c r="A148" s="0" t="s">
        <v>523</v>
      </c>
      <c r="B148" s="0" t="s">
        <v>989</v>
      </c>
    </row>
    <row r="149">
      <c r="A149" s="0" t="s">
        <v>183</v>
      </c>
      <c r="B149" s="0" t="s">
        <v>541</v>
      </c>
    </row>
    <row r="150">
      <c r="A150" s="0" t="s">
        <v>280</v>
      </c>
      <c r="B150" s="0" t="s">
        <v>541</v>
      </c>
    </row>
    <row r="151">
      <c r="A151" s="0" t="s">
        <v>173</v>
      </c>
      <c r="B151" s="0" t="s">
        <v>541</v>
      </c>
    </row>
    <row r="152">
      <c r="A152" s="0" t="s">
        <v>281</v>
      </c>
      <c r="B152" s="0" t="s">
        <v>541</v>
      </c>
    </row>
    <row r="153">
      <c r="A153" s="0" t="s">
        <v>282</v>
      </c>
      <c r="B153" s="0" t="s">
        <v>541</v>
      </c>
    </row>
    <row r="154">
      <c r="A154" s="0" t="s">
        <v>528</v>
      </c>
      <c r="B154" s="0" t="s">
        <v>969</v>
      </c>
      <c r="C154" s="0" t="s">
        <v>968</v>
      </c>
    </row>
    <row r="155">
      <c r="A155" s="0" t="s">
        <v>283</v>
      </c>
      <c r="B155" s="0" t="s">
        <v>541</v>
      </c>
      <c r="C155" s="0" t="s">
        <v>541</v>
      </c>
    </row>
    <row r="156">
      <c r="A156" s="0" t="s">
        <v>284</v>
      </c>
      <c r="B156" s="0" t="s">
        <v>26</v>
      </c>
      <c r="C156" s="0" t="s">
        <v>27</v>
      </c>
    </row>
    <row r="157">
      <c r="A157" s="0" t="s">
        <v>285</v>
      </c>
      <c r="B157" s="0" t="s">
        <v>989</v>
      </c>
      <c r="C157" s="0" t="s">
        <v>990</v>
      </c>
    </row>
    <row r="158">
      <c r="A158" s="0" t="s">
        <v>286</v>
      </c>
      <c r="B158" s="0" t="s">
        <v>989</v>
      </c>
      <c r="C158" s="0" t="s">
        <v>990</v>
      </c>
    </row>
    <row r="159">
      <c r="A159" s="0" t="s">
        <v>287</v>
      </c>
      <c r="B159" s="0" t="s">
        <v>985</v>
      </c>
      <c r="C159" s="0" t="s">
        <v>991</v>
      </c>
    </row>
    <row r="160">
      <c r="A160" s="0" t="s">
        <v>288</v>
      </c>
      <c r="B160" s="0" t="s">
        <v>979</v>
      </c>
      <c r="C160" s="0" t="s">
        <v>992</v>
      </c>
      <c r="D160" s="0" t="s">
        <v>980</v>
      </c>
      <c r="E160" s="0" t="s">
        <v>981</v>
      </c>
      <c r="F160" s="0" t="s">
        <v>982</v>
      </c>
      <c r="G160" s="0" t="s">
        <v>983</v>
      </c>
    </row>
    <row r="161">
      <c r="A161" s="0" t="s">
        <v>289</v>
      </c>
      <c r="B161" s="0" t="s">
        <v>993</v>
      </c>
      <c r="C161" s="0" t="s">
        <v>26</v>
      </c>
      <c r="D161" s="0" t="s">
        <v>28</v>
      </c>
      <c r="E161" s="0" t="s">
        <v>994</v>
      </c>
      <c r="F161" s="0" t="s">
        <v>995</v>
      </c>
      <c r="G161" s="0" t="s">
        <v>996</v>
      </c>
      <c r="H161" s="0" t="s">
        <v>997</v>
      </c>
      <c r="I161" s="0" t="s">
        <v>29</v>
      </c>
    </row>
    <row r="162">
      <c r="A162" s="0" t="s">
        <v>530</v>
      </c>
      <c r="B162" s="0" t="s">
        <v>26</v>
      </c>
      <c r="C162" s="0" t="s">
        <v>27</v>
      </c>
      <c r="D162" s="0" t="s">
        <v>28</v>
      </c>
      <c r="E162" s="0" t="s">
        <v>29</v>
      </c>
      <c r="F162" s="0" t="s">
        <v>998</v>
      </c>
      <c r="G162" s="0" t="s">
        <v>999</v>
      </c>
      <c r="H162" s="0" t="s">
        <v>1000</v>
      </c>
      <c r="I162" s="0" t="s">
        <v>1001</v>
      </c>
    </row>
    <row r="163">
      <c r="A163" s="0" t="s">
        <v>290</v>
      </c>
      <c r="B163" s="0" t="s">
        <v>995</v>
      </c>
      <c r="C163" s="0" t="s">
        <v>1002</v>
      </c>
      <c r="D163" s="0" t="s">
        <v>979</v>
      </c>
      <c r="E163" s="0" t="s">
        <v>29</v>
      </c>
      <c r="F163" s="0" t="s">
        <v>28</v>
      </c>
    </row>
    <row r="164">
      <c r="A164" s="0" t="s">
        <v>531</v>
      </c>
      <c r="B164" s="0" t="s">
        <v>969</v>
      </c>
      <c r="C164" s="0" t="s">
        <v>967</v>
      </c>
      <c r="D164" s="0" t="s">
        <v>968</v>
      </c>
      <c r="E164" s="0" t="s">
        <v>966</v>
      </c>
    </row>
    <row r="165">
      <c r="A165" s="0" t="s">
        <v>291</v>
      </c>
      <c r="B165" s="0" t="s">
        <v>26</v>
      </c>
      <c r="C165" s="0" t="s">
        <v>27</v>
      </c>
      <c r="D165" s="0" t="s">
        <v>985</v>
      </c>
      <c r="E165" s="0" t="s">
        <v>991</v>
      </c>
    </row>
    <row r="166">
      <c r="A166" s="0" t="s">
        <v>292</v>
      </c>
      <c r="B166" s="0" t="s">
        <v>26</v>
      </c>
      <c r="C166" s="0" t="s">
        <v>27</v>
      </c>
      <c r="D166" s="0" t="s">
        <v>985</v>
      </c>
      <c r="E166" s="0" t="s">
        <v>991</v>
      </c>
    </row>
    <row r="167">
      <c r="A167" s="0" t="s">
        <v>293</v>
      </c>
      <c r="B167" s="0" t="s">
        <v>541</v>
      </c>
      <c r="C167" s="0" t="s">
        <v>541</v>
      </c>
      <c r="D167" s="0" t="s">
        <v>541</v>
      </c>
      <c r="E167" s="0" t="s">
        <v>541</v>
      </c>
    </row>
    <row r="168">
      <c r="A168" s="0" t="s">
        <v>294</v>
      </c>
      <c r="B168" s="0" t="s">
        <v>991</v>
      </c>
      <c r="C168" s="0" t="s">
        <v>27</v>
      </c>
      <c r="D168" s="0" t="s">
        <v>26</v>
      </c>
      <c r="E168" s="0" t="s">
        <v>985</v>
      </c>
    </row>
    <row r="169">
      <c r="A169" s="0" t="s">
        <v>295</v>
      </c>
      <c r="B169" s="0" t="s">
        <v>26</v>
      </c>
      <c r="C169" s="0" t="s">
        <v>27</v>
      </c>
      <c r="D169" s="0" t="s">
        <v>985</v>
      </c>
      <c r="E169" s="0" t="s">
        <v>991</v>
      </c>
    </row>
    <row r="170">
      <c r="A170" s="0" t="s">
        <v>296</v>
      </c>
      <c r="B170" s="0" t="s">
        <v>989</v>
      </c>
      <c r="C170" s="0" t="s">
        <v>1003</v>
      </c>
      <c r="D170" s="0" t="s">
        <v>1004</v>
      </c>
      <c r="E170" s="0" t="s">
        <v>1005</v>
      </c>
    </row>
    <row r="171">
      <c r="A171" s="0" t="s">
        <v>533</v>
      </c>
      <c r="B171" s="0" t="s">
        <v>26</v>
      </c>
      <c r="C171" s="0" t="s">
        <v>27</v>
      </c>
      <c r="D171" s="0" t="s">
        <v>985</v>
      </c>
      <c r="E171" s="0" t="s">
        <v>991</v>
      </c>
    </row>
    <row r="172">
      <c r="A172" s="0" t="s">
        <v>297</v>
      </c>
      <c r="B172" s="0" t="s">
        <v>979</v>
      </c>
      <c r="C172" s="0" t="s">
        <v>1006</v>
      </c>
      <c r="D172" s="0" t="s">
        <v>1007</v>
      </c>
      <c r="E172" s="0" t="s">
        <v>985</v>
      </c>
    </row>
    <row r="173">
      <c r="A173" s="0" t="s">
        <v>298</v>
      </c>
      <c r="B173" s="0" t="s">
        <v>28</v>
      </c>
      <c r="C173" s="0" t="s">
        <v>29</v>
      </c>
      <c r="D173" s="0" t="s">
        <v>26</v>
      </c>
      <c r="E173" s="0" t="s">
        <v>31</v>
      </c>
      <c r="F173" s="0" t="s">
        <v>30</v>
      </c>
      <c r="G173" s="0" t="s">
        <v>27</v>
      </c>
    </row>
    <row r="174">
      <c r="A174" s="0" t="s">
        <v>299</v>
      </c>
      <c r="B174" s="0" t="s">
        <v>26</v>
      </c>
      <c r="C174" s="0" t="s">
        <v>27</v>
      </c>
      <c r="D174" s="0" t="s">
        <v>28</v>
      </c>
      <c r="E174" s="0" t="s">
        <v>29</v>
      </c>
      <c r="F174" s="0" t="s">
        <v>30</v>
      </c>
      <c r="G174" s="0" t="s">
        <v>31</v>
      </c>
    </row>
    <row r="175">
      <c r="A175" s="0" t="s">
        <v>300</v>
      </c>
      <c r="B175" s="0" t="s">
        <v>29</v>
      </c>
      <c r="C175" s="0" t="s">
        <v>28</v>
      </c>
      <c r="D175" s="0" t="s">
        <v>26</v>
      </c>
      <c r="E175" s="0" t="s">
        <v>30</v>
      </c>
      <c r="F175" s="0" t="s">
        <v>31</v>
      </c>
      <c r="G175" s="0" t="s">
        <v>27</v>
      </c>
    </row>
    <row r="176">
      <c r="A176" s="0" t="s">
        <v>7</v>
      </c>
      <c r="B176" s="0" t="s">
        <v>26</v>
      </c>
      <c r="C176" s="0" t="s">
        <v>27</v>
      </c>
      <c r="D176" s="0" t="s">
        <v>28</v>
      </c>
      <c r="E176" s="0" t="s">
        <v>29</v>
      </c>
      <c r="F176" s="0" t="s">
        <v>30</v>
      </c>
      <c r="G176" s="0" t="s">
        <v>31</v>
      </c>
    </row>
    <row r="177">
      <c r="A177" s="0" t="s">
        <v>301</v>
      </c>
      <c r="B177" s="0" t="s">
        <v>26</v>
      </c>
      <c r="C177" s="0" t="s">
        <v>27</v>
      </c>
      <c r="D177" s="0" t="s">
        <v>28</v>
      </c>
      <c r="E177" s="0" t="s">
        <v>29</v>
      </c>
      <c r="F177" s="0" t="s">
        <v>30</v>
      </c>
      <c r="G177" s="0" t="s">
        <v>31</v>
      </c>
    </row>
    <row r="178">
      <c r="A178" s="0" t="s">
        <v>302</v>
      </c>
      <c r="B178" s="0" t="s">
        <v>1008</v>
      </c>
      <c r="C178" s="0" t="s">
        <v>985</v>
      </c>
      <c r="D178" s="0" t="s">
        <v>979</v>
      </c>
      <c r="E178" s="0" t="s">
        <v>1009</v>
      </c>
      <c r="F178" s="0" t="s">
        <v>994</v>
      </c>
      <c r="G178" s="0" t="s">
        <v>992</v>
      </c>
    </row>
    <row r="179">
      <c r="A179" s="0" t="s">
        <v>303</v>
      </c>
      <c r="B179" s="0" t="s">
        <v>1008</v>
      </c>
      <c r="C179" s="0" t="s">
        <v>985</v>
      </c>
      <c r="D179" s="0" t="s">
        <v>979</v>
      </c>
      <c r="E179" s="0" t="s">
        <v>1009</v>
      </c>
      <c r="F179" s="0" t="s">
        <v>1010</v>
      </c>
      <c r="G179" s="0" t="s">
        <v>992</v>
      </c>
    </row>
    <row r="180">
      <c r="A180" s="0" t="s">
        <v>304</v>
      </c>
      <c r="B180" s="0" t="s">
        <v>26</v>
      </c>
      <c r="C180" s="0" t="s">
        <v>27</v>
      </c>
      <c r="D180" s="0" t="s">
        <v>28</v>
      </c>
      <c r="E180" s="0" t="s">
        <v>29</v>
      </c>
      <c r="F180" s="0" t="s">
        <v>30</v>
      </c>
      <c r="G180" s="0" t="s">
        <v>31</v>
      </c>
    </row>
    <row r="181">
      <c r="A181" s="0" t="s">
        <v>537</v>
      </c>
      <c r="B181" s="0" t="s">
        <v>969</v>
      </c>
      <c r="C181" s="0" t="s">
        <v>967</v>
      </c>
      <c r="D181" s="0" t="s">
        <v>968</v>
      </c>
      <c r="E181" s="0" t="s">
        <v>966</v>
      </c>
      <c r="F181" s="0" t="s">
        <v>970</v>
      </c>
      <c r="G181" s="0" t="s">
        <v>971</v>
      </c>
    </row>
    <row r="182">
      <c r="A182" s="0" t="s">
        <v>305</v>
      </c>
      <c r="B182" s="0" t="s">
        <v>26</v>
      </c>
      <c r="C182" s="0" t="s">
        <v>985</v>
      </c>
      <c r="D182" s="0" t="s">
        <v>986</v>
      </c>
      <c r="E182" s="0" t="s">
        <v>987</v>
      </c>
      <c r="F182" s="0" t="s">
        <v>988</v>
      </c>
      <c r="G182" s="0" t="s">
        <v>1011</v>
      </c>
    </row>
    <row r="183">
      <c r="A183" s="0" t="s">
        <v>306</v>
      </c>
      <c r="B183" s="0" t="s">
        <v>541</v>
      </c>
    </row>
    <row r="184">
      <c r="A184" s="0" t="s">
        <v>538</v>
      </c>
      <c r="B184" s="0" t="s">
        <v>1012</v>
      </c>
      <c r="C184" s="0" t="s">
        <v>1013</v>
      </c>
      <c r="D184" s="0" t="s">
        <v>1014</v>
      </c>
      <c r="E184" s="0" t="s">
        <v>1015</v>
      </c>
    </row>
    <row r="185">
      <c r="A185" s="0" t="s">
        <v>539</v>
      </c>
      <c r="B185" s="0" t="s">
        <v>989</v>
      </c>
      <c r="C185" s="0" t="s">
        <v>1004</v>
      </c>
      <c r="D185" s="0" t="s">
        <v>1005</v>
      </c>
    </row>
    <row r="186">
      <c r="A186" s="0" t="s">
        <v>307</v>
      </c>
      <c r="B186" s="0" t="s">
        <v>991</v>
      </c>
      <c r="C186" s="0" t="s">
        <v>979</v>
      </c>
      <c r="D186" s="0" t="s">
        <v>985</v>
      </c>
    </row>
    <row r="187">
      <c r="A187" s="0" t="s">
        <v>308</v>
      </c>
      <c r="B187" s="0" t="s">
        <v>991</v>
      </c>
      <c r="C187" s="0" t="s">
        <v>979</v>
      </c>
      <c r="D187" s="0" t="s">
        <v>985</v>
      </c>
    </row>
    <row r="188">
      <c r="A188" s="0" t="s">
        <v>309</v>
      </c>
      <c r="B188" s="0" t="s">
        <v>989</v>
      </c>
      <c r="C188" s="0" t="s">
        <v>1004</v>
      </c>
      <c r="D188" s="0" t="s">
        <v>1005</v>
      </c>
    </row>
    <row r="189">
      <c r="A189" s="0" t="s">
        <v>310</v>
      </c>
      <c r="B189" s="0" t="s">
        <v>985</v>
      </c>
      <c r="C189" s="0" t="s">
        <v>979</v>
      </c>
      <c r="D189" s="0" t="s">
        <v>991</v>
      </c>
    </row>
    <row r="190">
      <c r="A190" s="0" t="s">
        <v>540</v>
      </c>
      <c r="B190" s="0" t="s">
        <v>969</v>
      </c>
      <c r="C190" s="0" t="s">
        <v>968</v>
      </c>
      <c r="D190" s="0" t="s">
        <v>966</v>
      </c>
    </row>
    <row r="191">
      <c r="A191" s="0" t="s">
        <v>311</v>
      </c>
      <c r="B191" s="0" t="s">
        <v>541</v>
      </c>
    </row>
    <row r="192">
      <c r="A192" s="0" t="s">
        <v>312</v>
      </c>
      <c r="B192" s="0" t="s">
        <v>541</v>
      </c>
      <c r="C192" s="0" t="s">
        <v>541</v>
      </c>
    </row>
    <row r="193">
      <c r="A193" s="0" t="s">
        <v>542</v>
      </c>
      <c r="B193" s="0" t="s">
        <v>541</v>
      </c>
      <c r="C193" s="0" t="s">
        <v>541</v>
      </c>
      <c r="D193" s="0" t="s">
        <v>541</v>
      </c>
    </row>
    <row r="194">
      <c r="A194" s="0" t="s">
        <v>313</v>
      </c>
      <c r="B194" s="0" t="s">
        <v>541</v>
      </c>
    </row>
    <row r="195">
      <c r="A195" s="0" t="s">
        <v>314</v>
      </c>
      <c r="B195" s="0" t="s">
        <v>541</v>
      </c>
    </row>
    <row r="196">
      <c r="A196" s="0" t="s">
        <v>315</v>
      </c>
      <c r="B196" s="0" t="s">
        <v>541</v>
      </c>
      <c r="C196" s="0" t="s">
        <v>541</v>
      </c>
    </row>
    <row r="197">
      <c r="A197" s="0" t="s">
        <v>316</v>
      </c>
      <c r="B197" s="0" t="s">
        <v>541</v>
      </c>
      <c r="C197" s="0" t="s">
        <v>541</v>
      </c>
    </row>
    <row r="198">
      <c r="A198" s="0" t="s">
        <v>317</v>
      </c>
      <c r="B198" s="0" t="s">
        <v>1016</v>
      </c>
      <c r="C198" s="0" t="s">
        <v>1017</v>
      </c>
      <c r="D198" s="0" t="s">
        <v>1018</v>
      </c>
    </row>
    <row r="199">
      <c r="A199" s="0" t="s">
        <v>318</v>
      </c>
      <c r="B199" s="0" t="s">
        <v>541</v>
      </c>
      <c r="C199" s="0" t="s">
        <v>541</v>
      </c>
    </row>
    <row r="200">
      <c r="A200" s="0" t="s">
        <v>544</v>
      </c>
      <c r="B200" s="0" t="s">
        <v>541</v>
      </c>
      <c r="C200" s="0" t="s">
        <v>541</v>
      </c>
      <c r="D200" s="0" t="s">
        <v>541</v>
      </c>
    </row>
    <row r="201">
      <c r="A201" s="0" t="s">
        <v>319</v>
      </c>
      <c r="B201" s="0" t="s">
        <v>969</v>
      </c>
      <c r="C201" s="0" t="s">
        <v>968</v>
      </c>
      <c r="D201" s="0" t="s">
        <v>966</v>
      </c>
    </row>
    <row r="202">
      <c r="A202" s="0" t="s">
        <v>320</v>
      </c>
      <c r="B202" s="0" t="s">
        <v>541</v>
      </c>
    </row>
    <row r="203">
      <c r="A203" s="0" t="s">
        <v>321</v>
      </c>
      <c r="B203" s="0" t="s">
        <v>541</v>
      </c>
    </row>
    <row r="204">
      <c r="A204" s="0" t="s">
        <v>322</v>
      </c>
      <c r="B204" s="0" t="s">
        <v>541</v>
      </c>
    </row>
    <row r="205">
      <c r="A205" s="0" t="s">
        <v>323</v>
      </c>
      <c r="B205" s="0" t="s">
        <v>541</v>
      </c>
    </row>
    <row r="206">
      <c r="A206" s="0" t="s">
        <v>545</v>
      </c>
      <c r="B206" s="0" t="s">
        <v>541</v>
      </c>
    </row>
    <row r="207">
      <c r="A207" s="0" t="s">
        <v>546</v>
      </c>
      <c r="B207" s="0" t="s">
        <v>541</v>
      </c>
      <c r="C207" s="0" t="s">
        <v>541</v>
      </c>
    </row>
    <row r="208">
      <c r="A208" s="0" t="s">
        <v>547</v>
      </c>
      <c r="B208" s="0" t="s">
        <v>541</v>
      </c>
    </row>
    <row r="209">
      <c r="A209" s="0" t="s">
        <v>324</v>
      </c>
      <c r="B209" s="0" t="s">
        <v>541</v>
      </c>
    </row>
    <row r="210">
      <c r="A210" s="0" t="s">
        <v>325</v>
      </c>
      <c r="B210" s="0" t="s">
        <v>1019</v>
      </c>
      <c r="C210" s="0" t="s">
        <v>1020</v>
      </c>
      <c r="D210" s="0" t="s">
        <v>1021</v>
      </c>
    </row>
    <row r="211">
      <c r="A211" s="0" t="s">
        <v>548</v>
      </c>
      <c r="B211" s="0" t="s">
        <v>966</v>
      </c>
      <c r="C211" s="0" t="s">
        <v>969</v>
      </c>
      <c r="D211" s="0" t="s">
        <v>968</v>
      </c>
    </row>
    <row r="212">
      <c r="A212" s="0" t="s">
        <v>326</v>
      </c>
      <c r="B212" s="0" t="s">
        <v>541</v>
      </c>
    </row>
    <row r="213">
      <c r="A213" s="0" t="s">
        <v>550</v>
      </c>
      <c r="B213" s="0" t="s">
        <v>969</v>
      </c>
      <c r="C213" s="0" t="s">
        <v>1022</v>
      </c>
      <c r="D213" s="0" t="s">
        <v>1023</v>
      </c>
      <c r="E213" s="0" t="s">
        <v>968</v>
      </c>
      <c r="F213" s="0" t="s">
        <v>966</v>
      </c>
    </row>
    <row r="214">
      <c r="A214" s="0" t="s">
        <v>327</v>
      </c>
      <c r="B214" s="0" t="s">
        <v>541</v>
      </c>
    </row>
    <row r="215">
      <c r="A215" s="0" t="s">
        <v>328</v>
      </c>
      <c r="B215" s="0" t="s">
        <v>541</v>
      </c>
    </row>
    <row r="216">
      <c r="A216" s="0" t="s">
        <v>329</v>
      </c>
      <c r="B216" s="0" t="s">
        <v>969</v>
      </c>
      <c r="C216" s="0" t="s">
        <v>978</v>
      </c>
    </row>
    <row r="217">
      <c r="A217" s="0" t="s">
        <v>553</v>
      </c>
      <c r="B217" s="0" t="s">
        <v>541</v>
      </c>
      <c r="C217" s="0" t="s">
        <v>541</v>
      </c>
      <c r="D217" s="0" t="s">
        <v>541</v>
      </c>
    </row>
    <row r="218">
      <c r="A218" s="0" t="s">
        <v>330</v>
      </c>
      <c r="B218" s="0" t="s">
        <v>541</v>
      </c>
      <c r="C218" s="0" t="s">
        <v>541</v>
      </c>
      <c r="D218" s="0" t="s">
        <v>541</v>
      </c>
    </row>
    <row r="219">
      <c r="A219" s="0" t="s">
        <v>331</v>
      </c>
      <c r="B219" s="0" t="s">
        <v>969</v>
      </c>
      <c r="C219" s="0" t="s">
        <v>968</v>
      </c>
      <c r="D219" s="0" t="s">
        <v>966</v>
      </c>
    </row>
    <row r="220">
      <c r="A220" s="0" t="s">
        <v>332</v>
      </c>
      <c r="B220" s="0" t="s">
        <v>969</v>
      </c>
      <c r="C220" s="0" t="s">
        <v>968</v>
      </c>
      <c r="D220" s="0" t="s">
        <v>966</v>
      </c>
      <c r="E220" s="0" t="s">
        <v>970</v>
      </c>
      <c r="F220" s="0" t="s">
        <v>971</v>
      </c>
    </row>
    <row r="221">
      <c r="A221" s="0" t="s">
        <v>333</v>
      </c>
      <c r="B221" s="0" t="s">
        <v>969</v>
      </c>
      <c r="C221" s="0" t="s">
        <v>968</v>
      </c>
      <c r="D221" s="0" t="s">
        <v>966</v>
      </c>
      <c r="E221" s="0" t="s">
        <v>970</v>
      </c>
      <c r="F221" s="0" t="s">
        <v>971</v>
      </c>
    </row>
    <row r="222">
      <c r="A222" s="0" t="s">
        <v>555</v>
      </c>
      <c r="B222" s="0" t="s">
        <v>541</v>
      </c>
      <c r="C222" s="0" t="s">
        <v>541</v>
      </c>
      <c r="D222" s="0" t="s">
        <v>541</v>
      </c>
    </row>
    <row r="223">
      <c r="A223" s="0" t="s">
        <v>334</v>
      </c>
      <c r="B223" s="0" t="s">
        <v>541</v>
      </c>
      <c r="C223" s="0" t="s">
        <v>541</v>
      </c>
      <c r="D223" s="0" t="s">
        <v>541</v>
      </c>
    </row>
    <row r="224">
      <c r="A224" s="0" t="s">
        <v>335</v>
      </c>
      <c r="B224" s="0" t="s">
        <v>969</v>
      </c>
      <c r="C224" s="0" t="s">
        <v>968</v>
      </c>
      <c r="D224" s="0" t="s">
        <v>966</v>
      </c>
    </row>
    <row r="225">
      <c r="A225" s="0" t="s">
        <v>336</v>
      </c>
      <c r="B225" s="0" t="s">
        <v>978</v>
      </c>
      <c r="C225" s="0" t="s">
        <v>968</v>
      </c>
    </row>
    <row r="226">
      <c r="A226" s="0" t="s">
        <v>556</v>
      </c>
      <c r="B226" s="0" t="s">
        <v>541</v>
      </c>
    </row>
    <row r="227">
      <c r="A227" s="0" t="s">
        <v>337</v>
      </c>
      <c r="B227" s="0" t="s">
        <v>541</v>
      </c>
    </row>
    <row r="228">
      <c r="A228" s="0" t="s">
        <v>557</v>
      </c>
      <c r="B228" s="0" t="s">
        <v>541</v>
      </c>
      <c r="C228" s="0" t="s">
        <v>541</v>
      </c>
    </row>
    <row r="229">
      <c r="A229" s="0" t="s">
        <v>338</v>
      </c>
      <c r="B229" s="0" t="s">
        <v>541</v>
      </c>
      <c r="C229" s="0" t="s">
        <v>541</v>
      </c>
    </row>
    <row r="230">
      <c r="A230" s="0" t="s">
        <v>339</v>
      </c>
      <c r="B230" s="0" t="s">
        <v>541</v>
      </c>
      <c r="C230" s="0" t="s">
        <v>541</v>
      </c>
      <c r="D230" s="0" t="s">
        <v>541</v>
      </c>
    </row>
    <row r="231">
      <c r="A231" s="0" t="s">
        <v>558</v>
      </c>
      <c r="B231" s="0" t="s">
        <v>541</v>
      </c>
      <c r="C231" s="0" t="s">
        <v>541</v>
      </c>
      <c r="D231" s="0" t="s">
        <v>541</v>
      </c>
    </row>
    <row r="232">
      <c r="A232" s="0" t="s">
        <v>340</v>
      </c>
      <c r="B232" s="0" t="s">
        <v>541</v>
      </c>
      <c r="C232" s="0" t="s">
        <v>541</v>
      </c>
      <c r="D232" s="0" t="s">
        <v>541</v>
      </c>
    </row>
    <row r="233">
      <c r="A233" s="0" t="s">
        <v>341</v>
      </c>
      <c r="B233" s="0" t="s">
        <v>1024</v>
      </c>
      <c r="C233" s="0" t="s">
        <v>1025</v>
      </c>
      <c r="D233" s="0" t="s">
        <v>541</v>
      </c>
    </row>
    <row r="234">
      <c r="A234" s="0" t="s">
        <v>559</v>
      </c>
      <c r="B234" s="0" t="s">
        <v>541</v>
      </c>
      <c r="C234" s="0" t="s">
        <v>541</v>
      </c>
    </row>
    <row r="235">
      <c r="A235" s="0" t="s">
        <v>560</v>
      </c>
      <c r="B235" s="0" t="s">
        <v>541</v>
      </c>
      <c r="C235" s="0" t="s">
        <v>541</v>
      </c>
    </row>
    <row r="236">
      <c r="A236" s="0" t="s">
        <v>561</v>
      </c>
      <c r="B236" s="0" t="s">
        <v>541</v>
      </c>
      <c r="C236" s="0" t="s">
        <v>541</v>
      </c>
    </row>
    <row r="237">
      <c r="A237" s="0" t="s">
        <v>562</v>
      </c>
      <c r="B237" s="0" t="s">
        <v>541</v>
      </c>
    </row>
    <row r="238">
      <c r="A238" s="0" t="s">
        <v>563</v>
      </c>
      <c r="B238" s="0" t="s">
        <v>969</v>
      </c>
      <c r="C238" s="0" t="s">
        <v>967</v>
      </c>
      <c r="D238" s="0" t="s">
        <v>968</v>
      </c>
      <c r="E238" s="0" t="s">
        <v>966</v>
      </c>
    </row>
    <row r="239">
      <c r="A239" s="0" t="s">
        <v>342</v>
      </c>
      <c r="B239" s="0" t="s">
        <v>541</v>
      </c>
    </row>
    <row r="240">
      <c r="A240" s="0" t="s">
        <v>343</v>
      </c>
      <c r="B240" s="0" t="s">
        <v>541</v>
      </c>
    </row>
    <row r="241">
      <c r="A241" s="0" t="s">
        <v>344</v>
      </c>
      <c r="B241" s="0" t="s">
        <v>541</v>
      </c>
    </row>
    <row r="242">
      <c r="A242" s="0" t="s">
        <v>345</v>
      </c>
      <c r="B242" s="0" t="s">
        <v>541</v>
      </c>
    </row>
    <row r="243">
      <c r="A243" s="0" t="s">
        <v>564</v>
      </c>
      <c r="B243" s="0" t="s">
        <v>541</v>
      </c>
    </row>
    <row r="244">
      <c r="A244" s="0" t="s">
        <v>346</v>
      </c>
      <c r="B244" s="0" t="s">
        <v>541</v>
      </c>
      <c r="C244" s="0" t="s">
        <v>541</v>
      </c>
      <c r="D244" s="0" t="s">
        <v>541</v>
      </c>
      <c r="E244" s="0" t="s">
        <v>541</v>
      </c>
    </row>
    <row r="245">
      <c r="A245" s="0" t="s">
        <v>347</v>
      </c>
      <c r="B245" s="0" t="s">
        <v>541</v>
      </c>
      <c r="C245" s="0" t="s">
        <v>541</v>
      </c>
    </row>
    <row r="246">
      <c r="A246" s="0" t="s">
        <v>566</v>
      </c>
      <c r="B246" s="0" t="s">
        <v>541</v>
      </c>
      <c r="C246" s="0" t="s">
        <v>541</v>
      </c>
    </row>
    <row r="247">
      <c r="A247" s="0" t="s">
        <v>348</v>
      </c>
      <c r="B247" s="0" t="s">
        <v>541</v>
      </c>
      <c r="C247" s="0" t="s">
        <v>541</v>
      </c>
      <c r="D247" s="0" t="s">
        <v>541</v>
      </c>
    </row>
    <row r="248">
      <c r="A248" s="0" t="s">
        <v>349</v>
      </c>
      <c r="B248" s="0" t="s">
        <v>541</v>
      </c>
      <c r="C248" s="0" t="s">
        <v>541</v>
      </c>
      <c r="D248" s="0" t="s">
        <v>541</v>
      </c>
    </row>
    <row r="249">
      <c r="A249" s="0" t="s">
        <v>567</v>
      </c>
      <c r="B249" s="0" t="s">
        <v>969</v>
      </c>
      <c r="C249" s="0" t="s">
        <v>967</v>
      </c>
      <c r="D249" s="0" t="s">
        <v>1026</v>
      </c>
      <c r="E249" s="0" t="s">
        <v>968</v>
      </c>
      <c r="F249" s="0" t="s">
        <v>966</v>
      </c>
      <c r="G249" s="0" t="s">
        <v>970</v>
      </c>
      <c r="H249" s="0" t="s">
        <v>971</v>
      </c>
      <c r="I249" s="0" t="s">
        <v>1027</v>
      </c>
      <c r="J249" s="0" t="s">
        <v>1028</v>
      </c>
    </row>
    <row r="250">
      <c r="A250" s="0" t="s">
        <v>350</v>
      </c>
      <c r="B250" s="0" t="s">
        <v>969</v>
      </c>
      <c r="C250" s="0" t="s">
        <v>967</v>
      </c>
      <c r="D250" s="0" t="s">
        <v>968</v>
      </c>
      <c r="E250" s="0" t="s">
        <v>966</v>
      </c>
      <c r="F250" s="0" t="s">
        <v>970</v>
      </c>
      <c r="G250" s="0" t="s">
        <v>971</v>
      </c>
    </row>
    <row r="251">
      <c r="A251" s="0" t="s">
        <v>352</v>
      </c>
      <c r="B251" s="0" t="s">
        <v>969</v>
      </c>
      <c r="C251" s="0" t="s">
        <v>967</v>
      </c>
      <c r="D251" s="0" t="s">
        <v>978</v>
      </c>
      <c r="E251" s="0" t="s">
        <v>977</v>
      </c>
      <c r="F251" s="0" t="s">
        <v>968</v>
      </c>
      <c r="G251" s="0" t="s">
        <v>966</v>
      </c>
      <c r="H251" s="0" t="s">
        <v>970</v>
      </c>
      <c r="I251" s="0" t="s">
        <v>971</v>
      </c>
    </row>
    <row r="252">
      <c r="A252" s="0" t="s">
        <v>353</v>
      </c>
      <c r="B252" s="0" t="s">
        <v>969</v>
      </c>
      <c r="C252" s="0" t="s">
        <v>967</v>
      </c>
      <c r="D252" s="0" t="s">
        <v>978</v>
      </c>
      <c r="E252" s="0" t="s">
        <v>977</v>
      </c>
      <c r="F252" s="0" t="s">
        <v>968</v>
      </c>
      <c r="G252" s="0" t="s">
        <v>966</v>
      </c>
      <c r="H252" s="0" t="s">
        <v>970</v>
      </c>
      <c r="I252" s="0" t="s">
        <v>971</v>
      </c>
    </row>
    <row r="253">
      <c r="A253" s="0" t="s">
        <v>354</v>
      </c>
      <c r="B253" s="0" t="s">
        <v>969</v>
      </c>
      <c r="C253" s="0" t="s">
        <v>1022</v>
      </c>
      <c r="D253" s="0" t="s">
        <v>1023</v>
      </c>
      <c r="E253" s="0" t="s">
        <v>968</v>
      </c>
      <c r="F253" s="0" t="s">
        <v>966</v>
      </c>
    </row>
    <row r="254">
      <c r="A254" s="0" t="s">
        <v>355</v>
      </c>
      <c r="B254" s="0" t="s">
        <v>969</v>
      </c>
      <c r="C254" s="0" t="s">
        <v>1029</v>
      </c>
      <c r="D254" s="0" t="s">
        <v>1030</v>
      </c>
      <c r="E254" s="0" t="s">
        <v>1031</v>
      </c>
      <c r="F254" s="0" t="s">
        <v>1032</v>
      </c>
    </row>
    <row r="255">
      <c r="A255" s="0" t="s">
        <v>356</v>
      </c>
      <c r="B255" s="0" t="s">
        <v>969</v>
      </c>
      <c r="C255" s="0" t="s">
        <v>1029</v>
      </c>
      <c r="D255" s="0" t="s">
        <v>1030</v>
      </c>
      <c r="E255" s="0" t="s">
        <v>1031</v>
      </c>
      <c r="F255" s="0" t="s">
        <v>1032</v>
      </c>
    </row>
    <row r="256">
      <c r="A256" s="0" t="s">
        <v>568</v>
      </c>
      <c r="B256" s="0" t="s">
        <v>969</v>
      </c>
      <c r="C256" s="0" t="s">
        <v>967</v>
      </c>
      <c r="D256" s="0" t="s">
        <v>968</v>
      </c>
      <c r="E256" s="0" t="s">
        <v>966</v>
      </c>
      <c r="F256" s="0" t="s">
        <v>970</v>
      </c>
      <c r="G256" s="0" t="s">
        <v>971</v>
      </c>
    </row>
    <row r="257">
      <c r="A257" s="0" t="s">
        <v>357</v>
      </c>
      <c r="B257" s="0" t="s">
        <v>541</v>
      </c>
      <c r="C257" s="0" t="s">
        <v>541</v>
      </c>
      <c r="D257" s="0" t="s">
        <v>541</v>
      </c>
    </row>
    <row r="258">
      <c r="A258" s="0" t="s">
        <v>358</v>
      </c>
      <c r="B258" s="0" t="s">
        <v>541</v>
      </c>
      <c r="C258" s="0" t="s">
        <v>541</v>
      </c>
      <c r="D258" s="0" t="s">
        <v>541</v>
      </c>
      <c r="E258" s="0" t="s">
        <v>541</v>
      </c>
    </row>
    <row r="259">
      <c r="A259" s="0" t="s">
        <v>359</v>
      </c>
      <c r="B259" s="0" t="s">
        <v>969</v>
      </c>
      <c r="C259" s="0" t="s">
        <v>978</v>
      </c>
      <c r="D259" s="0" t="s">
        <v>977</v>
      </c>
    </row>
    <row r="260">
      <c r="A260" s="0" t="s">
        <v>360</v>
      </c>
      <c r="B260" s="0" t="s">
        <v>969</v>
      </c>
      <c r="C260" s="0" t="s">
        <v>978</v>
      </c>
      <c r="D260" s="0" t="s">
        <v>977</v>
      </c>
    </row>
    <row r="261">
      <c r="A261" s="0" t="s">
        <v>569</v>
      </c>
      <c r="B261" s="0" t="s">
        <v>969</v>
      </c>
      <c r="C261" s="0" t="s">
        <v>968</v>
      </c>
      <c r="D261" s="0" t="s">
        <v>966</v>
      </c>
    </row>
    <row r="262">
      <c r="A262" s="0" t="s">
        <v>361</v>
      </c>
      <c r="B262" s="0" t="s">
        <v>969</v>
      </c>
      <c r="C262" s="0" t="s">
        <v>967</v>
      </c>
      <c r="D262" s="0" t="s">
        <v>968</v>
      </c>
      <c r="E262" s="0" t="s">
        <v>966</v>
      </c>
      <c r="F262" s="0" t="s">
        <v>970</v>
      </c>
      <c r="G262" s="0" t="s">
        <v>971</v>
      </c>
    </row>
    <row r="263">
      <c r="A263" s="0" t="s">
        <v>570</v>
      </c>
      <c r="B263" s="0" t="s">
        <v>541</v>
      </c>
      <c r="C263" s="0" t="s">
        <v>541</v>
      </c>
      <c r="D263" s="0" t="s">
        <v>541</v>
      </c>
      <c r="E263" s="0" t="s">
        <v>541</v>
      </c>
    </row>
    <row r="264">
      <c r="A264" s="0" t="s">
        <v>362</v>
      </c>
      <c r="B264" s="0" t="s">
        <v>541</v>
      </c>
      <c r="C264" s="0" t="s">
        <v>541</v>
      </c>
      <c r="D264" s="0" t="s">
        <v>541</v>
      </c>
      <c r="E264" s="0" t="s">
        <v>541</v>
      </c>
      <c r="F264" s="0" t="s">
        <v>541</v>
      </c>
    </row>
    <row r="265">
      <c r="A265" s="0" t="s">
        <v>363</v>
      </c>
      <c r="B265" s="0" t="s">
        <v>541</v>
      </c>
    </row>
    <row r="266">
      <c r="A266" s="0" t="s">
        <v>364</v>
      </c>
      <c r="B266" s="0" t="s">
        <v>541</v>
      </c>
    </row>
    <row r="267">
      <c r="A267" s="0" t="s">
        <v>571</v>
      </c>
      <c r="B267" s="0" t="s">
        <v>968</v>
      </c>
      <c r="C267" s="0" t="s">
        <v>966</v>
      </c>
    </row>
    <row r="268">
      <c r="A268" s="0" t="s">
        <v>365</v>
      </c>
      <c r="B268" s="0" t="s">
        <v>541</v>
      </c>
    </row>
    <row r="269">
      <c r="A269" s="0" t="s">
        <v>572</v>
      </c>
      <c r="B269" s="0" t="s">
        <v>541</v>
      </c>
    </row>
  </sheetData>
  <headerFooter/>
</worksheet>
</file>

<file path=xl/worksheets/sheet33.xml><?xml version="1.0" encoding="utf-8"?>
<worksheet xmlns:r="http://schemas.openxmlformats.org/officeDocument/2006/relationships" xmlns="http://schemas.openxmlformats.org/spreadsheetml/2006/main" xmlns:xr="http://schemas.microsoft.com/office/spreadsheetml/2014/revision" xmlns:mc="http://schemas.openxmlformats.org/markup-compatibility/2006" mc:Ignorable="xr">
  <sheetPr codeName="RRUs"/>
  <dimension ref="A1:A29"/>
  <sheetViews>
    <sheetView workbookViewId="0"/>
  </sheetViews>
  <sheetFormatPr defaultRowHeight="15"/>
  <sheetData>
    <row r="1">
      <c r="A1" s="0" t="s">
        <v>1033</v>
      </c>
    </row>
    <row r="2">
      <c r="A2" s="0" t="s">
        <v>1034</v>
      </c>
    </row>
    <row r="3">
      <c r="A3" s="0" t="s">
        <v>1035</v>
      </c>
    </row>
    <row r="4">
      <c r="A4" s="0" t="s">
        <v>1036</v>
      </c>
    </row>
    <row r="5">
      <c r="A5" s="0" t="s">
        <v>1037</v>
      </c>
    </row>
    <row r="6">
      <c r="A6" s="0" t="s">
        <v>1038</v>
      </c>
    </row>
    <row r="7">
      <c r="A7" s="0" t="s">
        <v>1039</v>
      </c>
    </row>
    <row r="8">
      <c r="A8" s="0" t="s">
        <v>1040</v>
      </c>
    </row>
    <row r="9">
      <c r="A9" s="0" t="s">
        <v>1041</v>
      </c>
    </row>
    <row r="10">
      <c r="A10" s="0" t="s">
        <v>1042</v>
      </c>
    </row>
    <row r="11">
      <c r="A11" s="0" t="s">
        <v>1043</v>
      </c>
    </row>
    <row r="12">
      <c r="A12" s="0" t="s">
        <v>1044</v>
      </c>
    </row>
    <row r="13">
      <c r="A13" s="0" t="s">
        <v>1045</v>
      </c>
    </row>
    <row r="14">
      <c r="A14" s="0" t="s">
        <v>1046</v>
      </c>
    </row>
    <row r="15">
      <c r="A15" s="0" t="s">
        <v>1047</v>
      </c>
    </row>
    <row r="16">
      <c r="A16" s="0" t="s">
        <v>1048</v>
      </c>
    </row>
    <row r="17">
      <c r="A17" s="0" t="s">
        <v>611</v>
      </c>
    </row>
    <row r="18">
      <c r="A18" s="0" t="s">
        <v>1049</v>
      </c>
    </row>
    <row r="19">
      <c r="A19" s="0" t="s">
        <v>1050</v>
      </c>
    </row>
    <row r="20">
      <c r="A20" s="0" t="s">
        <v>1051</v>
      </c>
    </row>
    <row r="21">
      <c r="A21" s="0" t="s">
        <v>1052</v>
      </c>
    </row>
    <row r="22">
      <c r="A22" s="0" t="s">
        <v>1053</v>
      </c>
    </row>
    <row r="23">
      <c r="A23" s="0" t="s">
        <v>1054</v>
      </c>
    </row>
    <row r="24">
      <c r="A24" s="0" t="s">
        <v>1055</v>
      </c>
    </row>
    <row r="25">
      <c r="A25" s="0" t="s">
        <v>1056</v>
      </c>
    </row>
    <row r="26">
      <c r="A26" s="0" t="s">
        <v>1057</v>
      </c>
    </row>
    <row r="27">
      <c r="A27" s="0" t="s">
        <v>1058</v>
      </c>
    </row>
    <row r="28">
      <c r="A28" s="0" t="s">
        <v>1059</v>
      </c>
    </row>
    <row r="29">
      <c r="A29" s="0" t="s">
        <v>62</v>
      </c>
    </row>
  </sheetData>
  <headerFooter/>
</worksheet>
</file>

<file path=xl/worksheets/sheet34.xml><?xml version="1.0" encoding="utf-8"?>
<worksheet xmlns:r="http://schemas.openxmlformats.org/officeDocument/2006/relationships" xmlns="http://schemas.openxmlformats.org/spreadsheetml/2006/main" xmlns:xr="http://schemas.microsoft.com/office/spreadsheetml/2014/revision" xmlns:mc="http://schemas.openxmlformats.org/markup-compatibility/2006" mc:Ignorable="xr">
  <sheetPr codeName="Combiners"/>
  <dimension ref="A1:A44"/>
  <sheetViews>
    <sheetView workbookViewId="0"/>
  </sheetViews>
  <sheetFormatPr defaultRowHeight="15"/>
  <sheetData>
    <row r="1">
      <c r="A1" s="0" t="s">
        <v>1060</v>
      </c>
    </row>
    <row r="2">
      <c r="A2" s="0" t="s">
        <v>1061</v>
      </c>
    </row>
    <row r="3">
      <c r="A3" s="0" t="s">
        <v>1062</v>
      </c>
    </row>
    <row r="4">
      <c r="A4" s="0" t="s">
        <v>1063</v>
      </c>
    </row>
    <row r="5">
      <c r="A5" s="0" t="s">
        <v>1064</v>
      </c>
    </row>
    <row r="6">
      <c r="A6" s="0" t="s">
        <v>1065</v>
      </c>
    </row>
    <row r="7">
      <c r="A7" s="0" t="s">
        <v>1066</v>
      </c>
    </row>
    <row r="8">
      <c r="A8" s="0" t="s">
        <v>1067</v>
      </c>
    </row>
    <row r="9">
      <c r="A9" s="0" t="s">
        <v>1068</v>
      </c>
    </row>
    <row r="10">
      <c r="A10" s="0" t="s">
        <v>1069</v>
      </c>
    </row>
    <row r="11">
      <c r="A11" s="0" t="s">
        <v>1070</v>
      </c>
    </row>
    <row r="12">
      <c r="A12" s="0" t="s">
        <v>1071</v>
      </c>
    </row>
    <row r="13">
      <c r="A13" s="0" t="s">
        <v>1072</v>
      </c>
    </row>
    <row r="14">
      <c r="A14" s="0" t="s">
        <v>1073</v>
      </c>
    </row>
    <row r="15">
      <c r="A15" s="0" t="s">
        <v>1074</v>
      </c>
    </row>
    <row r="16">
      <c r="A16" s="0" t="s">
        <v>1075</v>
      </c>
    </row>
    <row r="17">
      <c r="A17" s="0" t="s">
        <v>1076</v>
      </c>
    </row>
    <row r="18">
      <c r="A18" s="0" t="s">
        <v>1077</v>
      </c>
    </row>
    <row r="19">
      <c r="A19" s="0" t="s">
        <v>63</v>
      </c>
    </row>
    <row r="20">
      <c r="A20" s="0" t="s">
        <v>1078</v>
      </c>
    </row>
    <row r="21">
      <c r="A21" s="0" t="s">
        <v>1079</v>
      </c>
    </row>
    <row r="22">
      <c r="A22" s="0" t="s">
        <v>70</v>
      </c>
    </row>
    <row r="23">
      <c r="A23" s="0" t="s">
        <v>1080</v>
      </c>
    </row>
    <row r="24">
      <c r="A24" s="0" t="s">
        <v>1081</v>
      </c>
    </row>
    <row r="25">
      <c r="A25" s="0" t="s">
        <v>1082</v>
      </c>
    </row>
    <row r="26">
      <c r="A26" s="0" t="s">
        <v>1083</v>
      </c>
    </row>
    <row r="27">
      <c r="A27" s="0" t="s">
        <v>1084</v>
      </c>
    </row>
    <row r="28">
      <c r="A28" s="0" t="s">
        <v>1085</v>
      </c>
    </row>
    <row r="29">
      <c r="A29" s="0" t="s">
        <v>1086</v>
      </c>
    </row>
    <row r="30">
      <c r="A30" s="0" t="s">
        <v>1087</v>
      </c>
    </row>
    <row r="31">
      <c r="A31" s="0" t="s">
        <v>1088</v>
      </c>
    </row>
    <row r="32">
      <c r="A32" s="0" t="s">
        <v>1089</v>
      </c>
    </row>
    <row r="33">
      <c r="A33" s="0" t="s">
        <v>1090</v>
      </c>
    </row>
    <row r="34">
      <c r="A34" s="0" t="s">
        <v>1091</v>
      </c>
    </row>
    <row r="35">
      <c r="A35" s="0" t="s">
        <v>1092</v>
      </c>
    </row>
    <row r="36">
      <c r="A36" s="0" t="s">
        <v>1093</v>
      </c>
    </row>
    <row r="37">
      <c r="A37" s="0" t="s">
        <v>1094</v>
      </c>
    </row>
    <row r="38">
      <c r="A38" s="0" t="s">
        <v>1095</v>
      </c>
    </row>
    <row r="39">
      <c r="A39" s="0" t="s">
        <v>1096</v>
      </c>
    </row>
    <row r="40">
      <c r="A40" s="0" t="s">
        <v>726</v>
      </c>
    </row>
    <row r="41">
      <c r="A41" s="0" t="s">
        <v>742</v>
      </c>
    </row>
    <row r="42">
      <c r="A42" s="0" t="s">
        <v>1097</v>
      </c>
    </row>
    <row r="43">
      <c r="A43" s="0" t="s">
        <v>62</v>
      </c>
    </row>
    <row r="44">
      <c r="A44" s="0" t="s">
        <v>1098</v>
      </c>
    </row>
  </sheetData>
  <headerFooter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13</vt:i4>
      </vt:variant>
    </vt:vector>
  </HeadingPairs>
  <TitlesOfParts>
    <vt:vector size="13" baseType="lpstr">
      <vt:lpstr>Common</vt:lpstr>
      <vt:lpstr>Sector 1</vt:lpstr>
      <vt:lpstr>Sector 2</vt:lpstr>
      <vt:lpstr>Sector 3</vt:lpstr>
      <vt:lpstr>Sector 4</vt:lpstr>
      <vt:lpstr>Sector 5</vt:lpstr>
      <vt:lpstr>Sector 6</vt:lpstr>
      <vt:lpstr>Sector 7</vt:lpstr>
      <vt:lpstr>Sector 8</vt:lpstr>
      <vt:lpstr>Sector 9</vt:lpstr>
      <vt:lpstr>Equipment BOM</vt:lpstr>
      <vt:lpstr>Site List</vt:lpstr>
      <vt:lpstr>Antennas Scrap Info</vt:lpstr>
    </vt:vector>
  </TitlesOfParts>
  <Company/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user</dc:creator>
  <cp:lastModifiedBy>Stefan Velinov</cp:lastModifiedBy>
  <cp:lastPrinted>2016-12-02T09:09:24Z</cp:lastPrinted>
  <dcterms:created xsi:type="dcterms:W3CDTF">2016-04-08T09:50:24Z</dcterms:created>
  <dcterms:modified xsi:type="dcterms:W3CDTF">2023-10-09T06:56:14Z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MSIP_Label_2768f796-9400-4b68-a5dd-e1fad25f2364_Enabled">
    <vt:lpwstr>true</vt:lpwstr>
  </property>
  <property fmtid="{D5CDD505-2E9C-101B-9397-08002B2CF9AE}" pid="3" name="MSIP_Label_2768f796-9400-4b68-a5dd-e1fad25f2364_SetDate">
    <vt:lpwstr>2022-05-11T07:48:08Z</vt:lpwstr>
  </property>
  <property fmtid="{D5CDD505-2E9C-101B-9397-08002B2CF9AE}" pid="4" name="MSIP_Label_2768f796-9400-4b68-a5dd-e1fad25f2364_Method">
    <vt:lpwstr>Standard</vt:lpwstr>
  </property>
  <property fmtid="{D5CDD505-2E9C-101B-9397-08002B2CF9AE}" pid="5" name="MSIP_Label_2768f796-9400-4b68-a5dd-e1fad25f2364_Name">
    <vt:lpwstr>2768f796-9400-4b68-a5dd-e1fad25f2364</vt:lpwstr>
  </property>
  <property fmtid="{D5CDD505-2E9C-101B-9397-08002B2CF9AE}" pid="6" name="MSIP_Label_2768f796-9400-4b68-a5dd-e1fad25f2364_SiteId">
    <vt:lpwstr>2e318a00-b44f-4acd-ade2-4c9e434f9644</vt:lpwstr>
  </property>
  <property fmtid="{D5CDD505-2E9C-101B-9397-08002B2CF9AE}" pid="7" name="MSIP_Label_2768f796-9400-4b68-a5dd-e1fad25f2364_ActionId">
    <vt:lpwstr>6ad2551a-e110-4caa-a895-adbfdf2fb66b</vt:lpwstr>
  </property>
  <property fmtid="{D5CDD505-2E9C-101B-9397-08002B2CF9AE}" pid="8" name="MSIP_Label_2768f796-9400-4b68-a5dd-e1fad25f2364_ContentBits">
    <vt:lpwstr>0</vt:lpwstr>
  </property>
</Properties>
</file>