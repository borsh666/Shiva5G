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image/png" Extension="png"/>
  <Default ContentType="application/vnd.openxmlformats-package.relationships+xml" Extension="rels"/>
  <Default ContentType="application/xml" Extension="xml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  <Override ContentType="application/vnd.openxmlformats-officedocument.spreadsheetml.worksheet+xml" PartName="/xl/worksheets/sheet6.xml"/>
  <Override ContentType="application/vnd.openxmlformats-officedocument.spreadsheetml.worksheet+xml" PartName="/xl/worksheets/sheet7.xml"/>
  <Override ContentType="application/vnd.openxmlformats-officedocument.spreadsheetml.worksheet+xml" PartName="/xl/worksheets/sheet8.xml"/>
  <Override ContentType="application/vnd.openxmlformats-officedocument.spreadsheetml.worksheet+xml" PartName="/xl/worksheets/sheet9.xml"/>
  <Override ContentType="application/vnd.openxmlformats-officedocument.spreadsheetml.worksheet+xml" PartName="/xl/worksheets/sheet10.xml"/>
  <Override ContentType="application/vnd.openxmlformats-officedocument.spreadsheetml.worksheet+xml" PartName="/xl/worksheets/sheet11.xml"/>
  <Override ContentType="application/vnd.openxmlformats-officedocument.spreadsheetml.worksheet+xml" PartName="/xl/worksheets/sheet12.xml"/>
  <Override ContentType="application/vnd.openxmlformats-officedocument.spreadsheetml.worksheet+xml" PartName="/xl/worksheets/sheet13.xml"/>
  <Override ContentType="application/vnd.openxmlformats-officedocument.theme+xml" PartName="/xl/theme/theme1.xml"/>
  <Override ContentType="application/vnd.openxmlformats-officedocument.spreadsheetml.styles+xml" PartName="/xl/styles.xml"/>
  <Override ContentType="application/vnd.openxmlformats-officedocument.spreadsheetml.worksheet+xml" PartName="/xl/worksheets/sheet31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spreadsheetml.table+xml" PartName="/xl/tables/table1.xml"/>
  <Override ContentType="application/vnd.openxmlformats-officedocument.spreadsheetml.table+xml" PartName="/xl/tables/table2.xml"/>
  <Override ContentType="application/vnd.openxmlformats-officedocument.spreadsheetml.sharedStrings+xml" PartName="/xl/sharedStrings.xml"/>
  <Override ContentType="application/vnd.ms-office.vbaProject" PartName="/xl/vbaProject.bin"/>
  <Override ContentType="application/vnd.openxmlformats-package.core-properties+xml" PartName="/docProps/core.xml"/>
  <Override ContentType="application/vnd.openxmlformats-officedocument.extended-properties+xml" PartName="/docProps/app.xml"/>
  <Override ContentType="application/vnd.openxmlformats-officedocument.custom-properties+xml" PartName="/docProps/custom.xml"/>
  <Override ContentType="application/vnd.openxmlformats-officedocument.spreadsheetml.worksheet+xml" PartName="/xl/worksheets/sheet32.xml"/>
  <Override ContentType="application/vnd.openxmlformats-officedocument.spreadsheetml.worksheet+xml" PartName="/xl/worksheets/sheet33.xml"/>
  <Override ContentType="application/vnd.openxmlformats-officedocument.spreadsheetml.worksheet+xml" PartName="/xl/worksheets/sheet34.xml"/>
</Types>
</file>

<file path=_rels/.rels><?xml version="1.0" encoding="UTF-8" standalone="yes"?>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D:\Projects\SV\Shiva_5G_Atoll\Shiva_5G\BLL_Atoll\Resources\"/>
    </mc:Choice>
  </mc:AlternateContent>
  <bookViews>
    <workbookView xWindow="-120" yWindow="-120" windowWidth="27270" windowHeight="16440" tabRatio="866" activeTab="10"/>
  </bookViews>
  <sheets>
    <sheet name="Common" sheetId="13" r:id="rId1"/>
    <sheet name="Sector 1" sheetId="8" r:id="rId2"/>
    <sheet name="Sector 2" sheetId="11" r:id="rId3"/>
    <sheet name="Sector 3" sheetId="12" state="hidden" r:id="rId4"/>
    <sheet name="Sector 4" sheetId="14" state="hidden" r:id="rId5"/>
    <sheet name="Sector 5" sheetId="24" state="hidden" r:id="rId6"/>
    <sheet name="Sector 6" sheetId="25" state="hidden" r:id="rId7"/>
    <sheet name="Sector 7" sheetId="26" state="hidden" r:id="rId8"/>
    <sheet name="Sector 8" sheetId="27" state="hidden" r:id="rId9"/>
    <sheet name="Sector 9" sheetId="28" state="hidden" r:id="rId10"/>
    <sheet name="Equipment BOM" sheetId="23" r:id="rId11"/>
    <sheet name="Site List" sheetId="29" r:id="rId12"/>
    <sheet name="Antennas Scrap Info" sheetId="30" state="hidden" r:id="rId13"/>
    <sheet name="Antennas" sheetId="31" r:id="rId19" state="hidden"/>
    <sheet name="AntennasPortName" sheetId="32" r:id="rId20" state="hidden"/>
    <sheet name="RRUs" sheetId="33" r:id="rId21" state="hidden"/>
    <sheet name="Combiners" sheetId="34" r:id="rId22" state="hidden"/>
  </sheets>
  <functionGroups builtInGroupCount="18"/>
  <definedNames>
    <definedName name="BSC">#REF!</definedName>
    <definedName name="Candidate">#REF!</definedName>
    <definedName name="GSM_equip_type">#REF!</definedName>
    <definedName name="Install_type">#REF!</definedName>
    <definedName name="revision">#REF!</definedName>
    <definedName name="RNC">#REF!</definedName>
    <definedName name="Structure_type">#REF!</definedName>
    <definedName name="_xlnm._FilterDatabase" localSheetId="1" hidden="1">'Sector 1'!#REF!</definedName>
    <definedName name="BSC" localSheetId="1">#REF!</definedName>
    <definedName name="Candidate" localSheetId="1">#REF!</definedName>
    <definedName name="GSM_equip_type" localSheetId="1">#REF!</definedName>
    <definedName name="Install_type" localSheetId="1">#REF!</definedName>
    <definedName name="revision" localSheetId="1">#REF!</definedName>
    <definedName name="RNC" localSheetId="1">#REF!</definedName>
    <definedName name="Structure_type" localSheetId="1">#REF!</definedName>
    <definedName name="_xlnm._FilterDatabase" localSheetId="2" hidden="1">'Sector 2'!#REF!</definedName>
    <definedName name="BSC" localSheetId="2">#REF!</definedName>
    <definedName name="Candidate" localSheetId="2">#REF!</definedName>
    <definedName name="GSM_equip_type" localSheetId="2">#REF!</definedName>
    <definedName name="Install_type" localSheetId="2">#REF!</definedName>
    <definedName name="revision" localSheetId="2">#REF!</definedName>
    <definedName name="RNC" localSheetId="2">#REF!</definedName>
    <definedName name="Structure_type" localSheetId="2">#REF!</definedName>
    <definedName name="_xlnm._FilterDatabase" localSheetId="3" hidden="1">'Sector 3'!#REF!</definedName>
    <definedName name="BSC" localSheetId="3">#REF!</definedName>
    <definedName name="Candidate" localSheetId="3">#REF!</definedName>
    <definedName name="GSM_equip_type" localSheetId="3">#REF!</definedName>
    <definedName name="Install_type" localSheetId="3">#REF!</definedName>
    <definedName name="revision" localSheetId="3">#REF!</definedName>
    <definedName name="RNC" localSheetId="3">#REF!</definedName>
    <definedName name="Structure_type" localSheetId="3">#REF!</definedName>
    <definedName name="_xlnm._FilterDatabase" localSheetId="4" hidden="1">'Sector 4'!#REF!</definedName>
    <definedName name="BSC" localSheetId="4">#REF!</definedName>
    <definedName name="Candidate" localSheetId="4">#REF!</definedName>
    <definedName name="GSM_equip_type" localSheetId="4">#REF!</definedName>
    <definedName name="Install_type" localSheetId="4">#REF!</definedName>
    <definedName name="revision" localSheetId="4">#REF!</definedName>
    <definedName name="RNC" localSheetId="4">#REF!</definedName>
    <definedName name="Structure_type" localSheetId="4">#REF!</definedName>
    <definedName name="_xlnm._FilterDatabase" localSheetId="10" hidden="1">'Equipment BOM'!$A$1:$D$234</definedName>
  </definedNames>
  <calcPr calcId="152511" fullCalcOnLoad="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<sst xmlns="http://schemas.openxmlformats.org/spreadsheetml/2006/main" count="1093" uniqueCount="1093">
  <si>
    <t>Sector 3</t>
  </si>
  <si>
    <t>Antenna #</t>
  </si>
  <si>
    <t>Pole Current</t>
  </si>
  <si>
    <t>Pole New</t>
  </si>
  <si>
    <t>Azimuth Current</t>
  </si>
  <si>
    <t>Azimuth New</t>
  </si>
  <si>
    <t xml:space="preserve">AntennaType Current </t>
  </si>
  <si>
    <t xml:space="preserve">AntennaType New </t>
  </si>
  <si>
    <t>AntennaMount Current</t>
  </si>
  <si>
    <t>AntennaMount New</t>
  </si>
  <si>
    <t>AGL Current</t>
  </si>
  <si>
    <t>AGL New</t>
  </si>
  <si>
    <t>ARTL Current</t>
  </si>
  <si>
    <t>ARTL New</t>
  </si>
  <si>
    <t>MechanicalTilt Current</t>
  </si>
  <si>
    <t>MechanicalTilt New</t>
  </si>
  <si>
    <t>Antenna port #</t>
  </si>
  <si>
    <t>1-2</t>
  </si>
  <si>
    <t>3-4</t>
  </si>
  <si>
    <t>5-6</t>
  </si>
  <si>
    <t>7-8</t>
  </si>
  <si>
    <t>9-10</t>
  </si>
  <si>
    <t>11-12</t>
  </si>
  <si>
    <t>PortName Current</t>
  </si>
  <si>
    <t>PortName New</t>
  </si>
  <si>
    <t>BandRange Current</t>
  </si>
  <si>
    <t>BandRange New</t>
  </si>
  <si>
    <t>Port occupancy</t>
  </si>
  <si>
    <t>Collocation party</t>
  </si>
  <si>
    <t>Technology Current</t>
  </si>
  <si>
    <t>Technology New</t>
  </si>
  <si>
    <t>Etilt Current</t>
  </si>
  <si>
    <t>Etilt New</t>
  </si>
  <si>
    <t>RET Current</t>
  </si>
  <si>
    <t>RET New</t>
  </si>
  <si>
    <t>Feeder_Type Current</t>
  </si>
  <si>
    <t>Feeder_Type New</t>
  </si>
  <si>
    <t>Feeder_Length Current</t>
  </si>
  <si>
    <t>Feeder_Length New</t>
  </si>
  <si>
    <t>RRU_Type Current</t>
  </si>
  <si>
    <t>RRU_Type New</t>
  </si>
  <si>
    <t>TMA Type Current</t>
  </si>
  <si>
    <t>TMA Type New</t>
  </si>
  <si>
    <t>Combiner_Splitter Current</t>
  </si>
  <si>
    <t>Combiner_Splitter New</t>
  </si>
  <si>
    <t>Sec_Combiner_Splitter Current</t>
  </si>
  <si>
    <t>Sec_Combiner_Splitter New</t>
  </si>
  <si>
    <r xmlns="http://schemas.openxmlformats.org/spreadsheetml/2006/main">
      <t>Request</t>
    </r>
    <r xmlns="http://schemas.openxmlformats.org/spreadsheetml/2006/main">
      <rPr>
        <b/>
        <sz val="12"/>
        <color theme="0"/>
        <rFont val="Calibri"/>
        <family val="2"/>
        <charset val="204"/>
        <scheme val="minor"/>
      </rPr>
      <t>_</t>
    </r>
    <r xmlns="http://schemas.openxmlformats.org/spreadsheetml/2006/main">
      <rPr>
        <b/>
        <sz val="12"/>
        <color rgb="FFFF0000"/>
        <rFont val="Calibri"/>
        <family val="2"/>
        <scheme val="minor"/>
      </rPr>
      <t>Remarks</t>
    </r>
  </si>
  <si>
    <t>Sector 1</t>
  </si>
  <si>
    <t>ATR4518R13v06</t>
  </si>
  <si>
    <t>STK</t>
  </si>
  <si>
    <t>Ry2</t>
  </si>
  <si>
    <t>r1</t>
  </si>
  <si>
    <t>Ly1</t>
  </si>
  <si>
    <t>1695-2690</t>
  </si>
  <si>
    <t>690-960</t>
  </si>
  <si>
    <t>L G U</t>
  </si>
  <si>
    <t>Free</t>
  </si>
  <si>
    <t/>
  </si>
  <si>
    <t>2x3936-9 3953-18</t>
  </si>
  <si>
    <t>No</t>
  </si>
  <si>
    <t>None</t>
  </si>
  <si>
    <t>Sector 2</t>
  </si>
  <si>
    <t>SiteID</t>
  </si>
  <si>
    <t>VN4802</t>
  </si>
  <si>
    <t>Cell#</t>
  </si>
  <si>
    <t>TRX#</t>
  </si>
  <si>
    <t>Candidate</t>
  </si>
  <si>
    <t>B</t>
  </si>
  <si>
    <t>Current</t>
  </si>
  <si>
    <t>New</t>
  </si>
  <si>
    <r xmlns="http://schemas.openxmlformats.org/spreadsheetml/2006/main">
      <t>Document</t>
    </r>
    <r xmlns="http://schemas.openxmlformats.org/spreadsheetml/2006/main">
      <rPr>
        <sz val="16"/>
        <color theme="0"/>
        <rFont val="Arial"/>
        <family val="2"/>
        <charset val="204"/>
      </rPr>
      <t>_</t>
    </r>
    <r xmlns="http://schemas.openxmlformats.org/spreadsheetml/2006/main">
      <rPr>
        <sz val="16"/>
        <rFont val="Arial"/>
        <family val="2"/>
      </rPr>
      <t>Type</t>
    </r>
  </si>
  <si>
    <t>SRF</t>
  </si>
  <si>
    <r xmlns="http://schemas.openxmlformats.org/spreadsheetml/2006/main">
      <t>LTE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theme="1"/>
        <rFont val="Arial"/>
        <family val="2"/>
        <charset val="204"/>
      </rPr>
      <t>90</t>
    </r>
    <r xmlns="http://schemas.openxmlformats.org/spreadsheetml/2006/main">
      <rPr>
        <sz val="10"/>
        <rFont val="Arial"/>
        <family val="2"/>
      </rPr>
      <t>0</t>
    </r>
  </si>
  <si>
    <r xmlns="http://schemas.openxmlformats.org/spreadsheetml/2006/main">
      <t>LTE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rgb="FFFF0000"/>
        <rFont val="Arial"/>
        <family val="2"/>
        <charset val="204"/>
      </rPr>
      <t>9</t>
    </r>
    <r xmlns="http://schemas.openxmlformats.org/spreadsheetml/2006/main">
      <rPr>
        <sz val="10"/>
        <color rgb="FFFF0000"/>
        <rFont val="Arial"/>
        <family val="2"/>
      </rPr>
      <t>00</t>
    </r>
    <r xmlns="http://schemas.openxmlformats.org/spreadsheetml/2006/main">
      <rPr>
        <sz val="10"/>
        <color theme="0"/>
        <rFont val="Arial"/>
        <family val="2"/>
        <charset val="204"/>
      </rPr>
      <t>N</t>
    </r>
  </si>
  <si>
    <r xmlns="http://schemas.openxmlformats.org/spreadsheetml/2006/main">
      <t>GSM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rFont val="Arial"/>
        <family val="2"/>
      </rPr>
      <t>900</t>
    </r>
  </si>
  <si>
    <r xmlns="http://schemas.openxmlformats.org/spreadsheetml/2006/main">
      <t>GSM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rgb="FFFF0000"/>
        <rFont val="Arial"/>
        <family val="2"/>
      </rPr>
      <t>900</t>
    </r>
    <r xmlns="http://schemas.openxmlformats.org/spreadsheetml/2006/main">
      <rPr>
        <sz val="10"/>
        <color theme="0"/>
        <rFont val="Arial"/>
        <family val="2"/>
        <charset val="204"/>
      </rPr>
      <t>N</t>
    </r>
  </si>
  <si>
    <r xmlns="http://schemas.openxmlformats.org/spreadsheetml/2006/main">
      <t>UMTS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rFont val="Arial"/>
        <family val="2"/>
      </rPr>
      <t>900</t>
    </r>
  </si>
  <si>
    <r xmlns="http://schemas.openxmlformats.org/spreadsheetml/2006/main">
      <t>UMTS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rgb="FFFF0000"/>
        <rFont val="Arial"/>
        <family val="2"/>
      </rPr>
      <t>900</t>
    </r>
    <r xmlns="http://schemas.openxmlformats.org/spreadsheetml/2006/main">
      <rPr>
        <sz val="10"/>
        <color theme="0"/>
        <rFont val="Arial"/>
        <family val="2"/>
        <charset val="204"/>
      </rPr>
      <t>N</t>
    </r>
  </si>
  <si>
    <r xmlns="http://schemas.openxmlformats.org/spreadsheetml/2006/main">
      <t>GSM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rFont val="Arial"/>
        <family val="2"/>
      </rPr>
      <t>1800</t>
    </r>
  </si>
  <si>
    <r xmlns="http://schemas.openxmlformats.org/spreadsheetml/2006/main">
      <t>GSM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rgb="FFFF0000"/>
        <rFont val="Arial"/>
        <family val="2"/>
      </rPr>
      <t>1800</t>
    </r>
    <r xmlns="http://schemas.openxmlformats.org/spreadsheetml/2006/main">
      <rPr>
        <sz val="10"/>
        <color theme="0"/>
        <rFont val="Arial"/>
        <family val="2"/>
        <charset val="204"/>
      </rPr>
      <t>N</t>
    </r>
  </si>
  <si>
    <r xmlns="http://schemas.openxmlformats.org/spreadsheetml/2006/main">
      <t>LTE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rFont val="Arial"/>
        <family val="2"/>
      </rPr>
      <t>1800</t>
    </r>
  </si>
  <si>
    <r xmlns="http://schemas.openxmlformats.org/spreadsheetml/2006/main">
      <t>LTE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rgb="FFFF0000"/>
        <rFont val="Arial"/>
        <family val="2"/>
      </rPr>
      <t>1800</t>
    </r>
    <r xmlns="http://schemas.openxmlformats.org/spreadsheetml/2006/main">
      <rPr>
        <sz val="10"/>
        <color theme="0"/>
        <rFont val="Arial"/>
        <family val="2"/>
        <charset val="204"/>
      </rPr>
      <t>N</t>
    </r>
  </si>
  <si>
    <r xmlns="http://schemas.openxmlformats.org/spreadsheetml/2006/main">
      <t>DSS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rFont val="Arial"/>
        <family val="2"/>
      </rPr>
      <t>1800</t>
    </r>
  </si>
  <si>
    <r xmlns="http://schemas.openxmlformats.org/spreadsheetml/2006/main">
      <t>DSS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rgb="FFFF0000"/>
        <rFont val="Arial"/>
        <family val="2"/>
      </rPr>
      <t>1800</t>
    </r>
    <r xmlns="http://schemas.openxmlformats.org/spreadsheetml/2006/main">
      <rPr>
        <sz val="10"/>
        <color theme="0"/>
        <rFont val="Arial"/>
        <family val="2"/>
        <charset val="204"/>
      </rPr>
      <t>N</t>
    </r>
  </si>
  <si>
    <r xmlns="http://schemas.openxmlformats.org/spreadsheetml/2006/main">
      <t>UMTS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rFont val="Arial"/>
        <family val="2"/>
      </rPr>
      <t>2100</t>
    </r>
  </si>
  <si>
    <r xmlns="http://schemas.openxmlformats.org/spreadsheetml/2006/main">
      <t>UMTS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rgb="FFFF0000"/>
        <rFont val="Arial"/>
        <family val="2"/>
      </rPr>
      <t>2100</t>
    </r>
    <r xmlns="http://schemas.openxmlformats.org/spreadsheetml/2006/main">
      <rPr>
        <sz val="10"/>
        <color theme="0"/>
        <rFont val="Arial"/>
        <family val="2"/>
        <charset val="204"/>
      </rPr>
      <t>N</t>
    </r>
  </si>
  <si>
    <r xmlns="http://schemas.openxmlformats.org/spreadsheetml/2006/main">
      <t>LTE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rFont val="Arial"/>
        <family val="2"/>
      </rPr>
      <t>2100</t>
    </r>
  </si>
  <si>
    <r xmlns="http://schemas.openxmlformats.org/spreadsheetml/2006/main">
      <t>LTE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rgb="FFFF0000"/>
        <rFont val="Arial"/>
        <family val="2"/>
      </rPr>
      <t>2100</t>
    </r>
    <r xmlns="http://schemas.openxmlformats.org/spreadsheetml/2006/main">
      <rPr>
        <sz val="10"/>
        <color theme="0"/>
        <rFont val="Arial"/>
        <family val="2"/>
        <charset val="204"/>
      </rPr>
      <t>N</t>
    </r>
  </si>
  <si>
    <r xmlns="http://schemas.openxmlformats.org/spreadsheetml/2006/main">
      <t>LTE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theme="1"/>
        <rFont val="Arial"/>
        <family val="2"/>
        <charset val="204"/>
      </rPr>
      <t>260</t>
    </r>
    <r xmlns="http://schemas.openxmlformats.org/spreadsheetml/2006/main">
      <rPr>
        <sz val="10"/>
        <rFont val="Arial"/>
        <family val="2"/>
      </rPr>
      <t>0</t>
    </r>
  </si>
  <si>
    <r xmlns="http://schemas.openxmlformats.org/spreadsheetml/2006/main">
      <t>LTE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rgb="FFFF0000"/>
        <rFont val="Arial"/>
        <family val="2"/>
        <charset val="204"/>
      </rPr>
      <t>26</t>
    </r>
    <r xmlns="http://schemas.openxmlformats.org/spreadsheetml/2006/main">
      <rPr>
        <sz val="10"/>
        <color rgb="FFFF0000"/>
        <rFont val="Arial"/>
        <family val="2"/>
      </rPr>
      <t>00</t>
    </r>
    <r xmlns="http://schemas.openxmlformats.org/spreadsheetml/2006/main">
      <rPr>
        <sz val="10"/>
        <color theme="0"/>
        <rFont val="Arial"/>
        <family val="2"/>
        <charset val="204"/>
      </rPr>
      <t>N</t>
    </r>
  </si>
  <si>
    <t>NR-TDD 3600</t>
  </si>
  <si>
    <t>NR-TDD 3600N</t>
  </si>
  <si>
    <t>SRF №</t>
  </si>
  <si>
    <t>DateTime</t>
  </si>
  <si>
    <t>2023-10-31</t>
  </si>
  <si>
    <t>Revision</t>
  </si>
  <si>
    <t>SiteName</t>
  </si>
  <si>
    <t>Rouzhitsa</t>
  </si>
  <si>
    <t>Sector 4</t>
  </si>
  <si>
    <t>SiteAddress</t>
  </si>
  <si>
    <t>Nikola KozlevoRouzhitsa village</t>
  </si>
  <si>
    <t>Sector 5</t>
  </si>
  <si>
    <t>SiteOwner</t>
  </si>
  <si>
    <t>TAWAL</t>
  </si>
  <si>
    <t>Sector 6</t>
  </si>
  <si>
    <t>ColocationType</t>
  </si>
  <si>
    <t>NO</t>
  </si>
  <si>
    <t>Sector 7</t>
  </si>
  <si>
    <t>Latitude</t>
  </si>
  <si>
    <t>Sector 8</t>
  </si>
  <si>
    <t>Longitude</t>
  </si>
  <si>
    <t>Sector 9</t>
  </si>
  <si>
    <t>StructureType</t>
  </si>
  <si>
    <t>RT</t>
  </si>
  <si>
    <t>StructureHeight</t>
  </si>
  <si>
    <t>BSC</t>
  </si>
  <si>
    <t>BSC4</t>
  </si>
  <si>
    <t>RNC</t>
  </si>
  <si>
    <t>RNC4</t>
  </si>
  <si>
    <t>CabinetType</t>
  </si>
  <si>
    <t>TRF</t>
  </si>
  <si>
    <t>Project</t>
  </si>
  <si>
    <t>Process</t>
  </si>
  <si>
    <t>RF_Engineer</t>
  </si>
  <si>
    <t>Vanya.Popova</t>
  </si>
  <si>
    <t>Mobile</t>
  </si>
  <si>
    <t>+359878500445</t>
  </si>
  <si>
    <t>Email</t>
  </si>
  <si>
    <t>Vanya.Popova@vivacom.bg</t>
  </si>
  <si>
    <t xml:space="preserve"> BOM Code</t>
  </si>
  <si>
    <t>SAP Number</t>
  </si>
  <si>
    <t>Type</t>
  </si>
  <si>
    <t>Module</t>
  </si>
  <si>
    <t>Reuse/replace</t>
  </si>
  <si>
    <t>Action</t>
  </si>
  <si>
    <t>De-installation Week</t>
  </si>
  <si>
    <t>Expected Quantity</t>
  </si>
  <si>
    <t>Actual Quantity</t>
  </si>
  <si>
    <t>Remark</t>
  </si>
  <si>
    <t>02311APA</t>
  </si>
  <si>
    <t>RF 1800M</t>
  </si>
  <si>
    <t>RRU3953</t>
  </si>
  <si>
    <t>Reuse</t>
  </si>
  <si>
    <t>dismantled must be returned to SH03 in Schenker against rezervation No.</t>
  </si>
  <si>
    <t>Including 3 PCS bracket and power connector</t>
  </si>
  <si>
    <t>02311PRD</t>
  </si>
  <si>
    <t>RRU5905</t>
  </si>
  <si>
    <t>02311BBK</t>
  </si>
  <si>
    <t>RRU3953w</t>
  </si>
  <si>
    <t>02311UWH</t>
  </si>
  <si>
    <t>RRU5904</t>
  </si>
  <si>
    <t>02311QFY</t>
  </si>
  <si>
    <t>RF 2100M</t>
  </si>
  <si>
    <t>02312CME</t>
  </si>
  <si>
    <t>RF 2600M</t>
  </si>
  <si>
    <t>RRU5304</t>
  </si>
  <si>
    <t>02311HEF</t>
  </si>
  <si>
    <t>RRU3281</t>
  </si>
  <si>
    <t>02311KVB</t>
  </si>
  <si>
    <t>RRU3268</t>
  </si>
  <si>
    <t>02312CHP</t>
  </si>
  <si>
    <t>RF 3500M</t>
  </si>
  <si>
    <t>AAU5613</t>
  </si>
  <si>
    <t>02312DWE</t>
  </si>
  <si>
    <t>AAU5313</t>
  </si>
  <si>
    <t>02311HVE</t>
  </si>
  <si>
    <t>RF 900M</t>
  </si>
  <si>
    <t>02310MNS</t>
  </si>
  <si>
    <t>RRU3936</t>
  </si>
  <si>
    <t>02312BCY</t>
  </si>
  <si>
    <t>02311DYP</t>
  </si>
  <si>
    <t>RF 1800+2100M</t>
  </si>
  <si>
    <t>AAU3940</t>
  </si>
  <si>
    <t>(1) Plastic cap</t>
  </si>
  <si>
    <t>03058542</t>
  </si>
  <si>
    <t>BBP/MPT</t>
  </si>
  <si>
    <t>UMPTg2</t>
  </si>
  <si>
    <t>(2) Standard M10 nut</t>
  </si>
  <si>
    <t>03022HEJ</t>
  </si>
  <si>
    <t>UBBPd3</t>
  </si>
  <si>
    <t>(3) Spring washer</t>
  </si>
  <si>
    <t>03022HEL</t>
  </si>
  <si>
    <t>UBBPd5</t>
  </si>
  <si>
    <t>(4) Thick flat washer</t>
  </si>
  <si>
    <t>03022HEM</t>
  </si>
  <si>
    <t>UBBPd6</t>
  </si>
  <si>
    <t>(5) Square-neck bolt</t>
  </si>
  <si>
    <t>03058707</t>
  </si>
  <si>
    <t>UBBPg2a</t>
  </si>
  <si>
    <t>(6) Hoist clamp on the main bracket</t>
  </si>
  <si>
    <t>02310WYG</t>
  </si>
  <si>
    <t>BBU</t>
  </si>
  <si>
    <t>BBU3910</t>
  </si>
  <si>
    <t>including 1 UPEUd，1 PCS power cable</t>
  </si>
  <si>
    <t>(7) Main bracket</t>
  </si>
  <si>
    <t>no SAP No</t>
  </si>
  <si>
    <t xml:space="preserve">dismantled to be decomposed </t>
  </si>
  <si>
    <t>including 2 UPEUd，2 PCS power cable- to be decomposed</t>
  </si>
  <si>
    <t>(8) Inner hexagon screw</t>
  </si>
  <si>
    <t>02311VBK</t>
  </si>
  <si>
    <t>BBU5900</t>
  </si>
  <si>
    <t>including 1 UPEUe，1 PCS power cable</t>
  </si>
  <si>
    <t>(9) Pole installation bracket</t>
  </si>
  <si>
    <t>including 2 UPEUe，2 PCS power cable- to be decomposed</t>
  </si>
  <si>
    <t>(10) Auxiliary bracket</t>
  </si>
  <si>
    <t>02310SFM</t>
  </si>
  <si>
    <t>UPEUd</t>
  </si>
  <si>
    <t xml:space="preserve">return of  second UPEUd and 1pcs power cable</t>
  </si>
  <si>
    <t>02310MNR</t>
  </si>
  <si>
    <t>02310UPA</t>
  </si>
  <si>
    <t>RRU3826</t>
  </si>
  <si>
    <t>02319897</t>
  </si>
  <si>
    <t>UPEUc</t>
  </si>
  <si>
    <t>02310KKQ</t>
  </si>
  <si>
    <t>02316791</t>
  </si>
  <si>
    <t>RRU3804</t>
  </si>
  <si>
    <t>02310UNY</t>
  </si>
  <si>
    <t>RRU3824</t>
  </si>
  <si>
    <t>02310HFW</t>
  </si>
  <si>
    <t>RRU3926</t>
  </si>
  <si>
    <t>03054885</t>
  </si>
  <si>
    <t>MPT</t>
  </si>
  <si>
    <t>UMPTb1</t>
  </si>
  <si>
    <t>03054886</t>
  </si>
  <si>
    <t>UMPTb2</t>
  </si>
  <si>
    <t>03022ACJ</t>
  </si>
  <si>
    <t>BBP</t>
  </si>
  <si>
    <t>UBRIb</t>
  </si>
  <si>
    <t>03020KWP</t>
  </si>
  <si>
    <t>WBBPb3</t>
  </si>
  <si>
    <t>03020PSS</t>
  </si>
  <si>
    <t>03021HPR</t>
  </si>
  <si>
    <t>WBBPf4</t>
  </si>
  <si>
    <t>02112722</t>
  </si>
  <si>
    <t>BBU3900</t>
  </si>
  <si>
    <t>PDU</t>
  </si>
  <si>
    <t>antenna</t>
  </si>
  <si>
    <t>Scrap</t>
  </si>
  <si>
    <t>YES</t>
  </si>
  <si>
    <t>2CPX208R-V3</t>
  </si>
  <si>
    <t>2H-33A-R2</t>
  </si>
  <si>
    <t>5LPX1106F</t>
  </si>
  <si>
    <t>742192V01</t>
  </si>
  <si>
    <t>742222V01</t>
  </si>
  <si>
    <t>742264V02</t>
  </si>
  <si>
    <t>742265V02</t>
  </si>
  <si>
    <t>742266V00</t>
  </si>
  <si>
    <t>742266V01</t>
  </si>
  <si>
    <t>742266v02</t>
  </si>
  <si>
    <t>742270v03</t>
  </si>
  <si>
    <t>80010123v03</t>
  </si>
  <si>
    <t>80010291V01</t>
  </si>
  <si>
    <t>80010292V01</t>
  </si>
  <si>
    <t>80010292V02</t>
  </si>
  <si>
    <t>80010292V03</t>
  </si>
  <si>
    <t>80010303V02</t>
  </si>
  <si>
    <t>80010306v02</t>
  </si>
  <si>
    <t>80010307V01</t>
  </si>
  <si>
    <t>80010456V02</t>
  </si>
  <si>
    <t>80010517V01</t>
  </si>
  <si>
    <t>80010634V01</t>
  </si>
  <si>
    <t>80010666V01</t>
  </si>
  <si>
    <t>80010691V01</t>
  </si>
  <si>
    <t>80010692V01</t>
  </si>
  <si>
    <t>80010892V01</t>
  </si>
  <si>
    <t>A094519R2v06</t>
  </si>
  <si>
    <t>A094519R3v06</t>
  </si>
  <si>
    <t>A19452101</t>
  </si>
  <si>
    <t>AAU5339W</t>
  </si>
  <si>
    <t>AAU5639</t>
  </si>
  <si>
    <t>AAU5639W</t>
  </si>
  <si>
    <t>ADU451602v01</t>
  </si>
  <si>
    <t>ADU4517R6v06</t>
  </si>
  <si>
    <t>ADU4518R7v06</t>
  </si>
  <si>
    <t>ADU4518R8v06</t>
  </si>
  <si>
    <t>ADU4521R0v06</t>
  </si>
  <si>
    <t>AMB4519R13v06</t>
  </si>
  <si>
    <t>AOC4518R0v06</t>
  </si>
  <si>
    <t>APE4516R1v06</t>
  </si>
  <si>
    <t>AQU4518R24v06</t>
  </si>
  <si>
    <t>AQU4518R24v18</t>
  </si>
  <si>
    <t>AQU4518R25</t>
  </si>
  <si>
    <t>AQU4518R25v06</t>
  </si>
  <si>
    <t>AQU4518R25v18</t>
  </si>
  <si>
    <t>AQU4518R4v06</t>
  </si>
  <si>
    <t>AQU4518R9v06</t>
  </si>
  <si>
    <t>ASI4517R3v06</t>
  </si>
  <si>
    <t>ASI4517R3v18</t>
  </si>
  <si>
    <t>ASI4518R10v06</t>
  </si>
  <si>
    <t>ASI4518R10v18</t>
  </si>
  <si>
    <t>ASI4518R20v06</t>
  </si>
  <si>
    <t>ASI4518R32v06</t>
  </si>
  <si>
    <t>ASI4518R33v06</t>
  </si>
  <si>
    <t>ASI4518R36v06</t>
  </si>
  <si>
    <t>ASI4518R39v06</t>
  </si>
  <si>
    <t>ASPJ 810 Yagi</t>
  </si>
  <si>
    <t>ATR4518R11v06</t>
  </si>
  <si>
    <t>ATR4518R6</t>
  </si>
  <si>
    <t>ATR4518R6v06</t>
  </si>
  <si>
    <t>B08_0868</t>
  </si>
  <si>
    <t>BTS3911E</t>
  </si>
  <si>
    <t>CELLMAX-D-CPUSE-O</t>
  </si>
  <si>
    <t>CMA_3324</t>
  </si>
  <si>
    <t>CMA_BDHH_6521_E0-6</t>
  </si>
  <si>
    <t>CMA_BTHH_3324_E0-6</t>
  </si>
  <si>
    <t>CMA_BTLBHH_6517</t>
  </si>
  <si>
    <t>CMA_UBDHH_6521_E1-10</t>
  </si>
  <si>
    <t>CMA_UBTLBHH_6517_21_21</t>
  </si>
  <si>
    <t>CMAB_3324_E0-6</t>
  </si>
  <si>
    <t>CMAB_6519</t>
  </si>
  <si>
    <t>CMAB_6520</t>
  </si>
  <si>
    <t>CMAB_6521</t>
  </si>
  <si>
    <t>CMA-TRI6515_correct</t>
  </si>
  <si>
    <t>CMA-UBTLBHH_6516_21_21</t>
  </si>
  <si>
    <t>CMMG-7-60-NJ</t>
  </si>
  <si>
    <t>DAS</t>
  </si>
  <si>
    <t>DB842H35E-SY</t>
  </si>
  <si>
    <t>DBXLH-6565C-VTM</t>
  </si>
  <si>
    <t>ECOMS291</t>
  </si>
  <si>
    <t>ECOMS692V01</t>
  </si>
  <si>
    <t>ECOMS892</t>
  </si>
  <si>
    <t>ECOPB892</t>
  </si>
  <si>
    <t>ECOTB292V03</t>
  </si>
  <si>
    <t>ECOTB692V01</t>
  </si>
  <si>
    <t>ECOUB644V01</t>
  </si>
  <si>
    <t>GL_A79451700v02</t>
  </si>
  <si>
    <t>GL_ADU451807v01</t>
  </si>
  <si>
    <t>GL_ATR451602v06</t>
  </si>
  <si>
    <t>GL_ATR451704v01</t>
  </si>
  <si>
    <t>GL_ATR451704v06</t>
  </si>
  <si>
    <t>LBX-6516DS-VMT</t>
  </si>
  <si>
    <t>MCIN</t>
  </si>
  <si>
    <t>NANO</t>
  </si>
  <si>
    <t>Pico3911B</t>
  </si>
  <si>
    <t>PW6517</t>
  </si>
  <si>
    <t>PW7465</t>
  </si>
  <si>
    <t>PW7782</t>
  </si>
  <si>
    <t>PW7785</t>
  </si>
  <si>
    <t>RRV4-65D-R6</t>
  </si>
  <si>
    <t>RRZZHHTT-65A-R6-BM</t>
  </si>
  <si>
    <t>RRZZHHTT-65B-R6H4</t>
  </si>
  <si>
    <t>RRZZHHTT-65D-R6</t>
  </si>
  <si>
    <t>RVV2NPX310.211R</t>
  </si>
  <si>
    <t>SSC-760244562</t>
  </si>
  <si>
    <t>SSC-760245803</t>
  </si>
  <si>
    <t>TBXLHA-6565C</t>
  </si>
  <si>
    <t>TDQ-809017</t>
  </si>
  <si>
    <t>TNA660A10</t>
  </si>
  <si>
    <t>TNA670A10</t>
  </si>
  <si>
    <t>TNA990A10Rx</t>
  </si>
  <si>
    <t>TTB-Q9017</t>
  </si>
  <si>
    <t>V360QS-C3-3XR</t>
  </si>
  <si>
    <t>V65S-C3-1XR</t>
  </si>
  <si>
    <t>W360-17-x</t>
  </si>
  <si>
    <t>790-960</t>
  </si>
  <si>
    <t>1695-2400</t>
  </si>
  <si>
    <t>3X-V65S-C3-3XR</t>
  </si>
  <si>
    <t>5863903</t>
  </si>
  <si>
    <t>880-960</t>
  </si>
  <si>
    <t>1710-2170</t>
  </si>
  <si>
    <t>5880903</t>
  </si>
  <si>
    <t>5961300</t>
  </si>
  <si>
    <t>698-960</t>
  </si>
  <si>
    <t>5961400</t>
  </si>
  <si>
    <t>1427-2690</t>
  </si>
  <si>
    <t>5970300</t>
  </si>
  <si>
    <t>5980300</t>
  </si>
  <si>
    <t>1995-2690</t>
  </si>
  <si>
    <t>1710-2690</t>
  </si>
  <si>
    <t>5NPX1006F</t>
  </si>
  <si>
    <t>1710-2180</t>
  </si>
  <si>
    <t>732267</t>
  </si>
  <si>
    <t>736347</t>
  </si>
  <si>
    <t>870-960</t>
  </si>
  <si>
    <t>736349</t>
  </si>
  <si>
    <t>736350</t>
  </si>
  <si>
    <t>736854</t>
  </si>
  <si>
    <t>872-960</t>
  </si>
  <si>
    <t>737190</t>
  </si>
  <si>
    <t>1710-1880</t>
  </si>
  <si>
    <t>738187</t>
  </si>
  <si>
    <t>738445</t>
  </si>
  <si>
    <t>824-960/1710-2170</t>
  </si>
  <si>
    <t>738446</t>
  </si>
  <si>
    <t>738447</t>
  </si>
  <si>
    <t>694-960/1710-2690</t>
  </si>
  <si>
    <t>738448</t>
  </si>
  <si>
    <t>738449</t>
  </si>
  <si>
    <t>870-960/1710-1880</t>
  </si>
  <si>
    <t>738454</t>
  </si>
  <si>
    <t>1710-2200</t>
  </si>
  <si>
    <t>739489</t>
  </si>
  <si>
    <t>739495</t>
  </si>
  <si>
    <t>1700-1990</t>
  </si>
  <si>
    <t>739496</t>
  </si>
  <si>
    <t>1710-1990</t>
  </si>
  <si>
    <t>739620</t>
  </si>
  <si>
    <t>806-960</t>
  </si>
  <si>
    <t>739622</t>
  </si>
  <si>
    <t>739623</t>
  </si>
  <si>
    <t>739624</t>
  </si>
  <si>
    <t>739630</t>
  </si>
  <si>
    <t>739632</t>
  </si>
  <si>
    <t>739636</t>
  </si>
  <si>
    <t>739637</t>
  </si>
  <si>
    <t>739638</t>
  </si>
  <si>
    <t>824-960</t>
  </si>
  <si>
    <t>739640</t>
  </si>
  <si>
    <t>739649</t>
  </si>
  <si>
    <t>739650</t>
  </si>
  <si>
    <t>739685</t>
  </si>
  <si>
    <t>739686</t>
  </si>
  <si>
    <t>739695</t>
  </si>
  <si>
    <t>741322</t>
  </si>
  <si>
    <t>741717</t>
  </si>
  <si>
    <t>741718</t>
  </si>
  <si>
    <t>741785</t>
  </si>
  <si>
    <t>741794</t>
  </si>
  <si>
    <t>742047</t>
  </si>
  <si>
    <t>742149</t>
  </si>
  <si>
    <t>742192</t>
  </si>
  <si>
    <t>806-2170</t>
  </si>
  <si>
    <t>790-2690</t>
  </si>
  <si>
    <t>742192V02</t>
  </si>
  <si>
    <t>690-2690</t>
  </si>
  <si>
    <t>742210</t>
  </si>
  <si>
    <t>742210V01</t>
  </si>
  <si>
    <t>742211</t>
  </si>
  <si>
    <t>742215</t>
  </si>
  <si>
    <t>790-960/1710-2170</t>
  </si>
  <si>
    <t>742224</t>
  </si>
  <si>
    <t>824-960/1710-2180</t>
  </si>
  <si>
    <t>742225</t>
  </si>
  <si>
    <t>742241</t>
  </si>
  <si>
    <t>742265</t>
  </si>
  <si>
    <t>742266</t>
  </si>
  <si>
    <t>742270</t>
  </si>
  <si>
    <t>1920-2170</t>
  </si>
  <si>
    <t>742271</t>
  </si>
  <si>
    <t>742271V03</t>
  </si>
  <si>
    <t>742272</t>
  </si>
  <si>
    <t>742290</t>
  </si>
  <si>
    <t>80010123</t>
  </si>
  <si>
    <t>80010125</t>
  </si>
  <si>
    <t>80010173</t>
  </si>
  <si>
    <t>876-960/1710-2500</t>
  </si>
  <si>
    <t>80010204</t>
  </si>
  <si>
    <t>80010248</t>
  </si>
  <si>
    <t>806-960/1710-2500</t>
  </si>
  <si>
    <t>80010249</t>
  </si>
  <si>
    <t>790-960/1425-3800/5150-6000</t>
  </si>
  <si>
    <t>80010274</t>
  </si>
  <si>
    <t>80010292</t>
  </si>
  <si>
    <t>80010302</t>
  </si>
  <si>
    <t>80010303</t>
  </si>
  <si>
    <t>80010307</t>
  </si>
  <si>
    <t>80010360</t>
  </si>
  <si>
    <t>80010368</t>
  </si>
  <si>
    <t>80010375</t>
  </si>
  <si>
    <t>80010454</t>
  </si>
  <si>
    <t>806-960/1710-2180</t>
  </si>
  <si>
    <t>80010456</t>
  </si>
  <si>
    <t>80010465</t>
  </si>
  <si>
    <t>790-960/1710-2700</t>
  </si>
  <si>
    <t>80010492</t>
  </si>
  <si>
    <t>80010516</t>
  </si>
  <si>
    <t>80010517</t>
  </si>
  <si>
    <t>80010622</t>
  </si>
  <si>
    <t>80010656</t>
  </si>
  <si>
    <t>80010658</t>
  </si>
  <si>
    <t>870-960/1710-2170</t>
  </si>
  <si>
    <t>80010665</t>
  </si>
  <si>
    <t>80010665V01</t>
  </si>
  <si>
    <t>80010677</t>
  </si>
  <si>
    <t>80010681</t>
  </si>
  <si>
    <t>80010682</t>
  </si>
  <si>
    <t>80010691</t>
  </si>
  <si>
    <t>80010692</t>
  </si>
  <si>
    <t>80010710</t>
  </si>
  <si>
    <t>80010748</t>
  </si>
  <si>
    <t>876-960/1710-2700</t>
  </si>
  <si>
    <t>80010761</t>
  </si>
  <si>
    <t>80010776</t>
  </si>
  <si>
    <t>80010825</t>
  </si>
  <si>
    <t>80010826</t>
  </si>
  <si>
    <t>80010828</t>
  </si>
  <si>
    <t>80010828V01</t>
  </si>
  <si>
    <t>80010864</t>
  </si>
  <si>
    <t>689-960</t>
  </si>
  <si>
    <t>80010865</t>
  </si>
  <si>
    <t>80010899</t>
  </si>
  <si>
    <t>698-862</t>
  </si>
  <si>
    <t>80010902</t>
  </si>
  <si>
    <t>80010965</t>
  </si>
  <si>
    <t>694-960</t>
  </si>
  <si>
    <t>80010991</t>
  </si>
  <si>
    <t>80010992</t>
  </si>
  <si>
    <t>80020872</t>
  </si>
  <si>
    <t>80020892</t>
  </si>
  <si>
    <t>80020899</t>
  </si>
  <si>
    <t>1698-2690</t>
  </si>
  <si>
    <t>800372965</t>
  </si>
  <si>
    <t>800372966</t>
  </si>
  <si>
    <t>800372991</t>
  </si>
  <si>
    <t>800372992</t>
  </si>
  <si>
    <t>3300-3800</t>
  </si>
  <si>
    <t>A104521R0v06</t>
  </si>
  <si>
    <t>2300-3800</t>
  </si>
  <si>
    <t>A104521R0v06_NR</t>
  </si>
  <si>
    <t>A26451800v06</t>
  </si>
  <si>
    <t>A704517R0v06</t>
  </si>
  <si>
    <t>A704521R0v06</t>
  </si>
  <si>
    <t>1710-1880/1920-2170</t>
  </si>
  <si>
    <t>3400-3800</t>
  </si>
  <si>
    <t>3400-3600/3600-3800</t>
  </si>
  <si>
    <t>3500-3800</t>
  </si>
  <si>
    <t>ADU451200v06</t>
  </si>
  <si>
    <t>690-862</t>
  </si>
  <si>
    <t>AOC4518R6v06</t>
  </si>
  <si>
    <t>AQU4518R23v18</t>
  </si>
  <si>
    <t>790-862</t>
  </si>
  <si>
    <t>AQU4518R61v06</t>
  </si>
  <si>
    <t>590-960</t>
  </si>
  <si>
    <t>1695-2200</t>
  </si>
  <si>
    <t>2490-2690</t>
  </si>
  <si>
    <t>ASI4518R37v06</t>
  </si>
  <si>
    <t>ATD4516R8v07</t>
  </si>
  <si>
    <t>ATR451806</t>
  </si>
  <si>
    <t>ATR4521R0v06</t>
  </si>
  <si>
    <t>NOVAL</t>
  </si>
  <si>
    <t>BTS3911E_2600</t>
  </si>
  <si>
    <t>698-960/1710-2700</t>
  </si>
  <si>
    <t>CMA_UBDHHH_6521_E1-10</t>
  </si>
  <si>
    <t>CMAB_6521_E0-6</t>
  </si>
  <si>
    <t>CMABDHH_6519_E0-8</t>
  </si>
  <si>
    <t>CMA-TRI6515</t>
  </si>
  <si>
    <t>CMA-UBTLBHH_6517_21_21_OLD</t>
  </si>
  <si>
    <t>698-960/1710-6000</t>
  </si>
  <si>
    <t>CVV2NPX308.208R</t>
  </si>
  <si>
    <t>1695-2180</t>
  </si>
  <si>
    <t>1710-2160</t>
  </si>
  <si>
    <t>ECOMS290</t>
  </si>
  <si>
    <t xml:space="preserve">1695-2690 </t>
  </si>
  <si>
    <t>ECOTB291V02</t>
  </si>
  <si>
    <t>GL_A26451800v01</t>
  </si>
  <si>
    <t>GL_ADU451712</t>
  </si>
  <si>
    <t>GL_ATR451607</t>
  </si>
  <si>
    <t>Jaybeam_5363603</t>
  </si>
  <si>
    <t>Jaybeam_5363802</t>
  </si>
  <si>
    <t>Jaybeam_5363803</t>
  </si>
  <si>
    <t>K741336</t>
  </si>
  <si>
    <t>KRE1012338</t>
  </si>
  <si>
    <t>Pico3911B_2600</t>
  </si>
  <si>
    <t>1710-2170/2300-2690</t>
  </si>
  <si>
    <t>PW7755</t>
  </si>
  <si>
    <t>R3V6-65B-R9</t>
  </si>
  <si>
    <t>SSC-760255412</t>
  </si>
  <si>
    <t>TNA970A10Rx</t>
  </si>
  <si>
    <t>Tong 8</t>
  </si>
  <si>
    <t>VV-65B-R1B</t>
  </si>
  <si>
    <t>FOR DISMANTLING</t>
  </si>
  <si>
    <t>SAP</t>
  </si>
  <si>
    <t>Order from Stock</t>
  </si>
  <si>
    <t>quantity</t>
  </si>
  <si>
    <t>Cabinet</t>
  </si>
  <si>
    <t>BTS3900C OMB CABINET220V AC</t>
  </si>
  <si>
    <t>INSTALL.KIT OMB CAB verC AC</t>
  </si>
  <si>
    <t>BTS3900C OMB CABINET-48V DC</t>
  </si>
  <si>
    <t>INSTALL MATER BTS3900C DC CAB</t>
  </si>
  <si>
    <t>INDOOR MINI BOX 3U</t>
  </si>
  <si>
    <t>PS (2 per BBU)</t>
  </si>
  <si>
    <t>DCDU</t>
  </si>
  <si>
    <t>PS (1*AC-&gt;1*DC)</t>
  </si>
  <si>
    <t>OPM15M AC POWER MODULE</t>
  </si>
  <si>
    <t>PS (1*AC-&gt;4*DC)</t>
  </si>
  <si>
    <t>BL ACDC PWRMODULE OPM50M 3000W</t>
  </si>
  <si>
    <t>BBU3910A3</t>
  </si>
  <si>
    <t>BBU3910A3 (DC -48V)</t>
  </si>
  <si>
    <t>BBU3910A TRUNK CABLE 4E1 20M</t>
  </si>
  <si>
    <t>BBU3910A GE OPT TRANS MAT</t>
  </si>
  <si>
    <t>BBU (w 1*UPEUd)</t>
  </si>
  <si>
    <t>BBU (w/o UPEU)</t>
  </si>
  <si>
    <t>DBS5900 INSTALLATION KIT</t>
  </si>
  <si>
    <t>DBS5900 INST KIT EXPANSION&amp;MOD</t>
  </si>
  <si>
    <t>Installation set for DBS3900</t>
  </si>
  <si>
    <t>TRUNK CABLE 75OHM,4E1,10M</t>
  </si>
  <si>
    <t>ETHERNET CABLE</t>
  </si>
  <si>
    <t>GROUNDING UNIT</t>
  </si>
  <si>
    <t>BBU Control board</t>
  </si>
  <si>
    <t>UMPTB1</t>
  </si>
  <si>
    <t>BBU Control board (TxN over Satelite)</t>
  </si>
  <si>
    <t>BBU Control board (C-band)</t>
  </si>
  <si>
    <t>UMPTga2</t>
  </si>
  <si>
    <t>BBU BB Board</t>
  </si>
  <si>
    <t xml:space="preserve">UBRIb </t>
  </si>
  <si>
    <t>UBBPg1a</t>
  </si>
  <si>
    <t>UBBPg2</t>
  </si>
  <si>
    <t>GPS Antenna</t>
  </si>
  <si>
    <t>GPS ANTENNA/FEEDER PACKAGE</t>
  </si>
  <si>
    <t>AAU</t>
  </si>
  <si>
    <t>AAU3940 1800/2100MHz 2x40W WD7MAAU39400</t>
  </si>
  <si>
    <t>AAU5613 3400/3600MHz</t>
  </si>
  <si>
    <t>RU CABLE PACKAGE for AC AAU LT1PRUCPAC00</t>
  </si>
  <si>
    <t>CPRI OP TR.MATERIAL 9.8G SM LT1PCOTMDC00</t>
  </si>
  <si>
    <t>EJECTOR INSTALL.KIT 235/236 A000EJEKIT00</t>
  </si>
  <si>
    <t>PIGTAIL SM G.652D 3mm 1m OP-FC/PC-1</t>
  </si>
  <si>
    <t>ODM04A BOX WD5E1ODM04</t>
  </si>
  <si>
    <t>RRU</t>
  </si>
  <si>
    <t>RRU5519et</t>
  </si>
  <si>
    <t>RRU5515t</t>
  </si>
  <si>
    <t>RRU3926 (1*80W) 900MHz</t>
  </si>
  <si>
    <t>RRU3936 (1*80W) 900MHz</t>
  </si>
  <si>
    <t>RRU3953 (2*80W) 900MHz</t>
  </si>
  <si>
    <t>RRU5905 (2*80W) 900MHz</t>
  </si>
  <si>
    <t>RRU3936 (1*80W) 1800MHz</t>
  </si>
  <si>
    <t>RRU3953 (2*80W) 1800MHz</t>
  </si>
  <si>
    <t>RRU5905 (2*80W) 1800MHz</t>
  </si>
  <si>
    <t>RRU5505 (2*120W) MM 1800~2100MHz</t>
  </si>
  <si>
    <t>RRU5513</t>
  </si>
  <si>
    <t>RRU (RRU3826_UPA)</t>
  </si>
  <si>
    <t>RRU3826 for WCDMA 2100MHz (80W)</t>
  </si>
  <si>
    <t>RRU (RRU3826_KKQ)</t>
  </si>
  <si>
    <t>RRU3826 for WCDMA 2100 MHz</t>
  </si>
  <si>
    <t>RRU3953 (2*80W) 2100MHz</t>
  </si>
  <si>
    <t>RRU5905 (2*80W) 2100MHz</t>
  </si>
  <si>
    <t>RRU5909</t>
  </si>
  <si>
    <t>RRU5304 (4*60W) 2600MHz</t>
  </si>
  <si>
    <t>RRU5258 (8*30W) 3500MHz</t>
  </si>
  <si>
    <t>RxDiv Cable</t>
  </si>
  <si>
    <t>SINGLE CABLE EXT CONN 2M</t>
  </si>
  <si>
    <t>Chain FO cable</t>
  </si>
  <si>
    <t>OPT.CABLE MM DLC/PC,DLC/PC 2M</t>
  </si>
  <si>
    <t>Chain FO SFP</t>
  </si>
  <si>
    <t>SFP+ 850NM 6.144G LC MMF 0.12KM</t>
  </si>
  <si>
    <t>ESFP,850NM,4.25G MR,-9~0DBM,LC,MM 0.3KM</t>
  </si>
  <si>
    <t>RRU FO 2m</t>
  </si>
  <si>
    <t>OPT.CABLE RRU MM DLC/PC,DLC/PC 2M,7.0MM</t>
  </si>
  <si>
    <t>RRU Cable Package DC GND</t>
  </si>
  <si>
    <t>RRU Cable Package 160W RRU DC GND</t>
  </si>
  <si>
    <t>CPRI OP TR.MAT 4.9G MM 2m OP 2SFP CLMP</t>
  </si>
  <si>
    <t>CPRI OP TR.MAT 4.9G MM OP 2SFP CLMP</t>
  </si>
  <si>
    <r xmlns="http://schemas.openxmlformats.org/spreadsheetml/2006/main">
      <t xml:space="preserve">CPRI OP TR.MAT 4.9G </t>
    </r>
    <r xmlns="http://schemas.openxmlformats.org/spreadsheetml/2006/main">
      <rPr>
        <b/>
        <sz val="9"/>
        <color rgb="FFFF0000"/>
        <rFont val="Calibri"/>
        <family val="2"/>
        <charset val="204"/>
        <scheme val="minor"/>
      </rPr>
      <t>SM</t>
    </r>
    <r xmlns="http://schemas.openxmlformats.org/spreadsheetml/2006/main">
      <rPr>
        <sz val="9"/>
        <rFont val="Calibri"/>
        <family val="2"/>
        <charset val="204"/>
        <scheme val="minor"/>
      </rPr>
      <t xml:space="preserve"> OP 2SFP CLMP</t>
    </r>
  </si>
  <si>
    <t>CPRI OP TR.MAT 9.8G SM OP 2SFP</t>
  </si>
  <si>
    <t>RRU (7-16/7-16)</t>
  </si>
  <si>
    <t>RRU TOP JUMPER FIXED (2pcs set)</t>
  </si>
  <si>
    <t>Jumper CMA (7-16/4.3-10)</t>
  </si>
  <si>
    <t>JUMPER 7-16M/4.3-10М CMA</t>
  </si>
  <si>
    <t>Jumper CMA (4.3-10/4.3-10)</t>
  </si>
  <si>
    <t>JUMPER 4.3-10М/4.3-10М CMA</t>
  </si>
  <si>
    <t>Jumper JMA (7-16/4.3-10)</t>
  </si>
  <si>
    <t>JUMPER 7-16/4.3-10 1/2"FLEXIBLE JMA</t>
  </si>
  <si>
    <t>Jumper JMA (4.3-10/4.3-10)</t>
  </si>
  <si>
    <t>JUMPER 4.3-10/4.3-10 1/2"FLEXIBLE JMA</t>
  </si>
  <si>
    <t>Pico</t>
  </si>
  <si>
    <t>BTS3911B 1800M+2100MHZ WITH ANT</t>
  </si>
  <si>
    <t>02231YYS INSTALLATION MATERIALS BTS3911B</t>
  </si>
  <si>
    <t>PSE MODULE</t>
  </si>
  <si>
    <t>Pico (TxN over Satelite)</t>
  </si>
  <si>
    <t>RGPS MODULE FOR BTS3911B</t>
  </si>
  <si>
    <t>Micro</t>
  </si>
  <si>
    <t>BTS3911E 1800M+2100M with Ant</t>
  </si>
  <si>
    <t>INSTALL.MATs BTS3911E/Book RRU</t>
  </si>
  <si>
    <t>MAST FIXTURE SET BTS3911E 1800M+2100M</t>
  </si>
  <si>
    <t>Micro (external antenna)</t>
  </si>
  <si>
    <t>BTS3911E TOP JUMPER</t>
  </si>
  <si>
    <t>Micro (TxN over Satelite)</t>
  </si>
  <si>
    <t>GPS MODULE FOR BTS3911E</t>
  </si>
  <si>
    <t>Coupler 78210504</t>
  </si>
  <si>
    <t>HYBRID COMBINER 2:1, 698-2690MHz, 7-16 female</t>
  </si>
  <si>
    <t>Coupler 793554</t>
  </si>
  <si>
    <t>3dB Coupler, 800-2200MHz, 7-16 DIN female</t>
  </si>
  <si>
    <t>Coupler 78210525</t>
  </si>
  <si>
    <t xml:space="preserve">3dB COUPLER 698-2690MHz </t>
  </si>
  <si>
    <t xml:space="preserve">Coupler HAT073843500S-03 </t>
  </si>
  <si>
    <t xml:space="preserve">HAT073843500S-03 </t>
  </si>
  <si>
    <t>Mounting 78210526</t>
  </si>
  <si>
    <t>MOUNTING KIT 78210526 for 3DB COUPLER</t>
  </si>
  <si>
    <t>TMA 700/800/900 4.3-10 ATADU2016v06</t>
  </si>
  <si>
    <t>27100137 ATADU2016v06 700-800&amp;900M TMA</t>
  </si>
  <si>
    <t>TMA 880-960MHZ 4.3-10 MI-16331</t>
  </si>
  <si>
    <t>MI-16331</t>
  </si>
  <si>
    <t>TMA 900 78210440</t>
  </si>
  <si>
    <t>Double Unit TMA, 880-915/925-960MHz, 12dB, 7-16 female</t>
  </si>
  <si>
    <t>TMA 900 NSN</t>
  </si>
  <si>
    <t xml:space="preserve">AMP MDGB MHA 900MHz 12dB AISG </t>
  </si>
  <si>
    <t>TMA 900 78210510</t>
  </si>
  <si>
    <t>DTMA-800/900-12-AISG-CWA-78210510</t>
  </si>
  <si>
    <t>TMA 1800/2100 78211106</t>
  </si>
  <si>
    <t>DTMA 1800 UMTS 12-AISG DUPLEX 78211106</t>
  </si>
  <si>
    <t>TMA 1800/2100 78211106v02</t>
  </si>
  <si>
    <t xml:space="preserve">DTMA-1800-UMTS-12-AISG 78211106V02 </t>
  </si>
  <si>
    <t>TMA 1800/2100 78211106v44</t>
  </si>
  <si>
    <t>DTMA-1800-UMTS-12-AISG 78211106V44</t>
  </si>
  <si>
    <t>TMA 1800 78210312</t>
  </si>
  <si>
    <t>Double Unit TMA, 1710-1785/1805-1880MHz, 12dB, 7-16 female</t>
  </si>
  <si>
    <t>TMA 1800-2100MHZ 4.3-10 2ANT MI-12731</t>
  </si>
  <si>
    <t>MI-12731</t>
  </si>
  <si>
    <t>TMA 2600MHZ 4.3-10 MI-12031</t>
  </si>
  <si>
    <t>MI-12031</t>
  </si>
  <si>
    <t>TMA 1800/2100/2600 ATATR2002v06</t>
  </si>
  <si>
    <t>27100134 ATATR2002v06 1800&amp;2100&amp;2600 TMA</t>
  </si>
  <si>
    <t>DB combiner 78210249</t>
  </si>
  <si>
    <t>Double Unit Dual Band Combiner, 806-960/1710-2170MHz, 7-16 female</t>
  </si>
  <si>
    <t>DB combiner 78210681</t>
  </si>
  <si>
    <t>Double Unit Dual Band Combiner, 380-960/1710-2700MHz, 7-16 female</t>
  </si>
  <si>
    <t>DB combiner 78210620</t>
  </si>
  <si>
    <t>Single Unit Dual Band Combiner, 1710-1880/1920-2170MHz, 7-16 female</t>
  </si>
  <si>
    <t>DB combiner 78210621</t>
  </si>
  <si>
    <t>Double Unit Dual Band Combiner, 1710-1880/1920-2170MHz, 7-16 female</t>
  </si>
  <si>
    <t>DB combiner DCB-2-DU-64F-01</t>
  </si>
  <si>
    <t>DUAL COMBINER 1710-1880 1920-2170MHz CMA</t>
  </si>
  <si>
    <t>DB combiner DCB-2BM-64F-02</t>
  </si>
  <si>
    <t>DUAL COMBINER 1710-2180 2300-2700MHz CMA</t>
  </si>
  <si>
    <t>DIPLEXER 1800-2100MHz 4:3-10 MI54642</t>
  </si>
  <si>
    <t>MI54642</t>
  </si>
  <si>
    <t>DB combiner MI20242</t>
  </si>
  <si>
    <t>1710-2180MHz &amp; 2300-2700MHz Diplexer, 4:3-10</t>
  </si>
  <si>
    <t>ACOMT2A07v06</t>
  </si>
  <si>
    <t>27030829 COMBINER ACOMT2A07v06-TC-1800/2100/2600</t>
  </si>
  <si>
    <t>ACOMT2A04v06</t>
  </si>
  <si>
    <t>27030803 COMBINER ACOMT2A04v06 – 900/1800-2100/2600</t>
  </si>
  <si>
    <t>ACOMD2H22v06</t>
  </si>
  <si>
    <t>27030806 COMBINER ACOMD2H22v06 – 900/1800-2600</t>
  </si>
  <si>
    <t>DB combiner ACOMD2L13v06</t>
  </si>
  <si>
    <t>ACOMD2L13v06 DC-1427-2200/2300-2690-10</t>
  </si>
  <si>
    <t>TB combiner 78210630</t>
  </si>
  <si>
    <t>COMBINER TRIPLE 900/1800/2100 S 78210630</t>
  </si>
  <si>
    <t>TB combiner 78210631</t>
  </si>
  <si>
    <t>Double unit triple band combiner, 380-960/1710-1880/1920-2170MHz, 7-16 female (long neck)</t>
  </si>
  <si>
    <t>TRIPLEXER1800/2100/2600 4:3-106P MI21795</t>
  </si>
  <si>
    <t>MI21795</t>
  </si>
  <si>
    <t>4B combiner 78210640</t>
  </si>
  <si>
    <t>COMBINER 4 900/1800/2100/2600 S 78210640</t>
  </si>
  <si>
    <t>4B combiner 78210641</t>
  </si>
  <si>
    <t>COMBINER 4 900/1800/2100/2600 D 78210641</t>
  </si>
  <si>
    <t>Load 78210474 (7/16F)</t>
  </si>
  <si>
    <t xml:space="preserve">LOAD 50 Ohm RF 80W </t>
  </si>
  <si>
    <t>Load 78210473 (4.3-10F)</t>
  </si>
  <si>
    <t>LOAD 50 OHM RF 80W 78210473</t>
  </si>
  <si>
    <t>Load 78410367 (7/16F)</t>
  </si>
  <si>
    <t>LOAD 50Ohm, 1,5W, 7-16 female</t>
  </si>
  <si>
    <t>Load HWL005043100S-SW</t>
  </si>
  <si>
    <t>HWL005043100S-SW</t>
  </si>
  <si>
    <t>Load 75112004V01</t>
  </si>
  <si>
    <t>LOW PIM LOAD 50OHM 200W 75112004V01</t>
  </si>
  <si>
    <t>DC Stop 7/16</t>
  </si>
  <si>
    <t>DC STOP</t>
  </si>
  <si>
    <t>DC Stop ADCSTOP00v06 4.3-10</t>
  </si>
  <si>
    <t>27151012 DC-STOP FOR COMB. ADCSTOP00v06</t>
  </si>
  <si>
    <t>Site Sharing Adaprter (KA)</t>
  </si>
  <si>
    <t>3WAY SITESHARING ADAPTER FLXRET 86010154</t>
  </si>
  <si>
    <t>RET (KA)</t>
  </si>
  <si>
    <t>REMOTE CONTROL UNIT, 86010148V01</t>
  </si>
  <si>
    <t>RET (CMA)</t>
  </si>
  <si>
    <t>RET TILT ADJUSTER, RTAH</t>
  </si>
  <si>
    <t>RET (CMA 3324)</t>
  </si>
  <si>
    <t>RET TILT ADJUSTABLE SLIM CM</t>
  </si>
  <si>
    <t>AISG</t>
  </si>
  <si>
    <t>AISG Cable RRU, 5m</t>
  </si>
  <si>
    <t>AISG chain cable, 0,5m</t>
  </si>
  <si>
    <t>AISG Extension Cable</t>
  </si>
  <si>
    <t>if needed, according to convention</t>
  </si>
  <si>
    <t>Antenna SB 80010456V2</t>
  </si>
  <si>
    <t xml:space="preserve">XPol Panel, 790-960MHz, 2,25M, 30°, 0°-10°T, 20,5 dBi      </t>
  </si>
  <si>
    <t>Antenna SB 80010302</t>
  </si>
  <si>
    <t xml:space="preserve">XPol C-Panel, 806-960MHz, 2,25M, 33°, 0°T, 21 dBi      </t>
  </si>
  <si>
    <t>Antenna SB 80010303V02</t>
  </si>
  <si>
    <t>ANT XPOL PANEL 790–960 80010303v02 CLMP</t>
  </si>
  <si>
    <t>Antenna SB 80010306V02</t>
  </si>
  <si>
    <t>ANT XPOL PANEL 790-960 80010306v2 CLMP</t>
  </si>
  <si>
    <t>Antenna SB 80010307V01</t>
  </si>
  <si>
    <t xml:space="preserve">XPol Panel, 790-960MHz, 2,57M, 65°, 0°-10°T, 18 dBi (clamps)   </t>
  </si>
  <si>
    <t>Antenna SB 80010634V01</t>
  </si>
  <si>
    <t>ANT XPOL PANEL 790–960 80010634v01 CLMP</t>
  </si>
  <si>
    <t>Antenna SB 80010517V01</t>
  </si>
  <si>
    <t>XXpol Panel, 824-960MHz, 2,63M, 65°, 0°-8°T, 17 dBi (clamps)</t>
  </si>
  <si>
    <t>Antenna SB 80010902</t>
  </si>
  <si>
    <t>ANT XPOL 4PORT 698–960 RET 80010902</t>
  </si>
  <si>
    <t>Antenna SB ADU4517R6v06</t>
  </si>
  <si>
    <t>2L</t>
  </si>
  <si>
    <t>Antenna SB CMA-B3324</t>
  </si>
  <si>
    <t>ANT CMA-B/3324/E0 24DBI 1710-2170 W/TILT</t>
  </si>
  <si>
    <t>Antenna SB 80010761</t>
  </si>
  <si>
    <t>ANT XPOL PANEL 1710–2690 80010761 CLMP</t>
  </si>
  <si>
    <t>Antenna SB 80010681</t>
  </si>
  <si>
    <t>ANT XPOL PANEL 1710–2690 80010681 CLMP</t>
  </si>
  <si>
    <t>Antenna SB 742215V01</t>
  </si>
  <si>
    <t>XPol F-Panel, 1710-2200MHz, 1,3M, 65° , 0°-10°T, 18 dBi (clamps)</t>
  </si>
  <si>
    <t>Antenna SB CMA-B6519</t>
  </si>
  <si>
    <t>ANT CMA-B/6519 CELLMAX</t>
  </si>
  <si>
    <t>Antenna SB CMA-B6520</t>
  </si>
  <si>
    <t>ANT CMA-B/6520 CELLMAX</t>
  </si>
  <si>
    <t>Antenna SB CMA-B6521</t>
  </si>
  <si>
    <t>ANT CMA-B/6521/E0-6 21DBI 1710-2170MHZ</t>
  </si>
  <si>
    <t>Antenna SB CMA-BDHH/6521/E0-6</t>
  </si>
  <si>
    <t>ANT CMA-BDHH/6521/E0-6 XXPOL 2x1710-2180</t>
  </si>
  <si>
    <t>Antenna SB CMA-UBDHH/6521/E1-10</t>
  </si>
  <si>
    <t>ANT CMA-UBDHH/6521/E1-10/RET XXPOL</t>
  </si>
  <si>
    <t>Antenna SB 80010682</t>
  </si>
  <si>
    <t>ANT 80010682 4-PORT 2HB 0.9M</t>
  </si>
  <si>
    <t>Antenna SB VV-65B-R1B</t>
  </si>
  <si>
    <t>ANT HB SECTORIZED 4-P x1RET VV-65B-R1B</t>
  </si>
  <si>
    <t>Antenna SB A704521R0v06</t>
  </si>
  <si>
    <t>10033078</t>
  </si>
  <si>
    <t>27011919-002 ANT A704521R0v06 1L 2.6m</t>
  </si>
  <si>
    <t>Antenna SB A704517R0v06</t>
  </si>
  <si>
    <t>10033079</t>
  </si>
  <si>
    <t>27011506-001 ANT A704517R0v06 1L 2.6m</t>
  </si>
  <si>
    <t>Antenna SB ADU4521R0v06</t>
  </si>
  <si>
    <t>ANT 27012476 ADU4521R0v06 2H 4.3</t>
  </si>
  <si>
    <t>Antenna DB 80010123V03</t>
  </si>
  <si>
    <t>ANT XXPOL 790-2180 80010123v03 CLMP</t>
  </si>
  <si>
    <t>Antenna DB 742222V01</t>
  </si>
  <si>
    <t>ANT XXPOL 790–960/1710–2170 (Clamps)</t>
  </si>
  <si>
    <t>Antenna DB 742264V02</t>
  </si>
  <si>
    <t>ANT XXPOL 790/1710-2180 742264v02 CLMP</t>
  </si>
  <si>
    <t>Antenna DB 742265V02</t>
  </si>
  <si>
    <t>ANTXXPOL790-960/1710-2180 742265v02 CLMP</t>
  </si>
  <si>
    <t>Antenna DB 742266</t>
  </si>
  <si>
    <t xml:space="preserve">XXpol A-Panel, 824-960/1710-2180MHz, 2,51M, 65°, 0°-7°T, 17 dBi   </t>
  </si>
  <si>
    <t>Antenna DB 742266V01</t>
  </si>
  <si>
    <t xml:space="preserve">XXpol A-Panel, 790-960/1710-2180MHz, 2,51M, 65°, 0°-7°T, 17 dBi   </t>
  </si>
  <si>
    <t>Antenna DB 742266V02</t>
  </si>
  <si>
    <t xml:space="preserve">XXpol A-Panel, 790-960/1710-2180MHz, 2,51M, 65°, 0°-7°T, 17 dBi (clamps)  </t>
  </si>
  <si>
    <t>Antenna DB 742192V01</t>
  </si>
  <si>
    <t xml:space="preserve">VPol LogPer, 790-2690MHz, 0,78M, 65°, 0°T, 11 dBi  </t>
  </si>
  <si>
    <t>Antenna MB 742270V03</t>
  </si>
  <si>
    <t>ANT XXXPOL 790/1880/2170 742270V03 CLMP</t>
  </si>
  <si>
    <t>Antenna MB 80010292</t>
  </si>
  <si>
    <t xml:space="preserve">XXXpol A-Panel, 806-960/2x1710-2180MHz, 2,6M, 65°, 2°-10°T, 17,5 dBi   </t>
  </si>
  <si>
    <t>Antenna MB 80010292V01</t>
  </si>
  <si>
    <t xml:space="preserve">XXXpol A-Panel, 790-960/2x1710-2180MHz, 2,6M, 65°, 2°-10°T, 17,5 dBi </t>
  </si>
  <si>
    <t>Antenna MB 80010292V02</t>
  </si>
  <si>
    <t>XXXpol A-Panel, 790-960/2x1710-2180MHz, 2,6M, 65°, 2°-10°T, 17,5 dBi (clamps)</t>
  </si>
  <si>
    <t>Antenna MB 80010292V03</t>
  </si>
  <si>
    <t>Antenna MB CMA-BTLBHH/6517/21/21</t>
  </si>
  <si>
    <t>ANT CMA-BTLBHH/6517/21/21 XXPOL HEX-PORT</t>
  </si>
  <si>
    <t>Antenna MB CMA-UBTLBHH/6516/21/21</t>
  </si>
  <si>
    <t>ANT CMA-UBTLBHH/6516/21/21/RET XXXPOL 6P</t>
  </si>
  <si>
    <t>Antenna MB CMA-UBTLBHH/6517/21/21</t>
  </si>
  <si>
    <t>ANT CMA-UBTLBHH/6517/21/21/RET 6-PORT</t>
  </si>
  <si>
    <t>Antenna MB 80010691v01</t>
  </si>
  <si>
    <t>ANT 80010691v01 XXXPOL 698–960/1710–2690 CLAMPS</t>
  </si>
  <si>
    <t>Antenna MB 80010692v01</t>
  </si>
  <si>
    <t>ANT 80010692v01 XXXPOL 698–960/1710–2690 CLAMPS</t>
  </si>
  <si>
    <t>Antenna MB 80010826</t>
  </si>
  <si>
    <t>XXXX POL 790-960/1710-2180</t>
  </si>
  <si>
    <t>Antenna MB 80010864</t>
  </si>
  <si>
    <t>ANT XPOL 698–906 1710-2690 RET 80010864</t>
  </si>
  <si>
    <t>Antenna MB 80010865</t>
  </si>
  <si>
    <t>ANT 6PORT XPOL HPBW RET 80010865</t>
  </si>
  <si>
    <t>Antenna MB 80020872</t>
  </si>
  <si>
    <t>ANT XPOL 8PORT XPOL HPBW RET 80020872</t>
  </si>
  <si>
    <t>Antenna MB 80010666v01</t>
  </si>
  <si>
    <t>ANT XXPOL 698-960/1710-2690 80010666V01</t>
  </si>
  <si>
    <t>Antenna MB 80010992</t>
  </si>
  <si>
    <t>ANT XPOL 12PORT XPOL HPBW RET 80010992</t>
  </si>
  <si>
    <t xml:space="preserve">Antenna MB ADU4518R8v06 </t>
  </si>
  <si>
    <t>1L1H</t>
  </si>
  <si>
    <t>Antenna MB ATR4518R13v06</t>
  </si>
  <si>
    <t>ANT27011805-001 ATR4518R13v06 6P 1L2H4.3 HUAWEI</t>
  </si>
  <si>
    <t>Antenna MB APE4516R1v06</t>
  </si>
  <si>
    <t>ANT 27012334 APE4516R1v06 10P 1L4H 4.3 HUAWEI</t>
  </si>
  <si>
    <t>Antenna MB ASI4518R20v06</t>
  </si>
  <si>
    <t>ANT 27013192 ASI4518R20v06 12P 2L4H 4.3 HUAWEI</t>
  </si>
  <si>
    <t>Antenna MB ASI4517R3v18</t>
  </si>
  <si>
    <t>27012496-003 ANT ASI4517R3v18 2L4H 2m</t>
  </si>
  <si>
    <t>Antenna MB AQU4518R9v06</t>
  </si>
  <si>
    <t>ANT27011264-001 AQU4518R9v06 8P 1L3H4.3 HUAWEI</t>
  </si>
  <si>
    <t>Antenna MB ASI4518R10v18</t>
  </si>
  <si>
    <t>2L4H</t>
  </si>
  <si>
    <t>Antenna MB AQU4518R25v18</t>
  </si>
  <si>
    <t>2L2H</t>
  </si>
  <si>
    <t>Antenna MB AQU4518R61v06</t>
  </si>
  <si>
    <t>27013852 ANT AQU4518R61v06 2L2H mini 2m</t>
  </si>
  <si>
    <t>Antenna MB AQU4518R24v18</t>
  </si>
  <si>
    <t>27011964-005 ANT AQU4518R24v18 2L2H 2m</t>
  </si>
  <si>
    <t>Antenna MB ASI4517R12v06</t>
  </si>
  <si>
    <t>27013703 ANT ASI4517R12v06 2L4H mini 2m</t>
  </si>
  <si>
    <t>Antenna MB A094519R3v06</t>
  </si>
  <si>
    <t>1L4H+C-band 8T8R (one body)</t>
  </si>
  <si>
    <t>Antenna MB A094519R2v06</t>
  </si>
  <si>
    <t>Antenna MB RRV4-65D-R6</t>
  </si>
  <si>
    <t>ANT 12-P x6RET RRV4-65D-R6</t>
  </si>
  <si>
    <t>Antenna IN 80010465</t>
  </si>
  <si>
    <t xml:space="preserve">VVPol Indoor, 806-960/1710-2700MHz, 0,23M, 90°, 0°T, 7 dBi    C</t>
  </si>
  <si>
    <t>Antenna IN 80010677</t>
  </si>
  <si>
    <t>ANT VXPOL 790–960/1710–2700 80010677</t>
  </si>
  <si>
    <t>Antenna IN 80010748</t>
  </si>
  <si>
    <t>ANT OMNI VPOL 876-960/1710-2700 80010748</t>
  </si>
  <si>
    <t>Antenna IN 80010710</t>
  </si>
  <si>
    <t>ANT OMNI VHPOL INDOOR 80010710</t>
  </si>
  <si>
    <t>Antenna IN 80010249</t>
  </si>
  <si>
    <t xml:space="preserve">VPol Indoor, 790-960/1425-3880MHz, 0,26M, 360°, 2 dBi  </t>
  </si>
  <si>
    <t>Antenna IN 738447</t>
  </si>
  <si>
    <t>ANT VPOL BIDIR 694–960/1710–2690 738447</t>
  </si>
  <si>
    <t>Antenna IN 738448</t>
  </si>
  <si>
    <t>ANT VPol BiDir 694–960/1710–2690 738448</t>
  </si>
  <si>
    <t>Antenna IN 738449</t>
  </si>
  <si>
    <t xml:space="preserve">VPol Omni, 870-960/1710-1880MHz, 0,22M, 360°, 0°T, 2 dBi  </t>
  </si>
  <si>
    <t>Antenna IN MIMO</t>
  </si>
  <si>
    <t>MIMO LOW PIM CEILING ANT CMMG-7-60-NJ</t>
  </si>
  <si>
    <t>Antenna Cam 80010776</t>
  </si>
  <si>
    <t>ANT XPOL 12PORT TRiSEC 698/2690</t>
  </si>
  <si>
    <t>Antenna Cam 80010125</t>
  </si>
  <si>
    <t>ANT XPOL TRI-SECTOR SLIMPOLE 80010125</t>
  </si>
  <si>
    <t>Antenna Cam 80010360</t>
  </si>
  <si>
    <t>ANT XPOL TRI-SECTOR PIPE 80010360</t>
  </si>
  <si>
    <t>Antenna Cam CMA-TRI6515</t>
  </si>
  <si>
    <t>ANT CMA-TRI/6515/E2 TUBUS 1710-2180MHZ</t>
  </si>
  <si>
    <t>Antenna Cam ECOMS291</t>
  </si>
  <si>
    <t>TUBUS Xpol A-Panel, 806-960/2x1710-2180MHz, 2,52/0,53M, 65°, 2°-14°T, 16,5 dBi</t>
  </si>
  <si>
    <t>Antenna Cam ECOMS291V02</t>
  </si>
  <si>
    <t>MONOSECTOR ANTENNA ECOMS291V02</t>
  </si>
  <si>
    <t>Antenna Cam ECOMS892</t>
  </si>
  <si>
    <t>ANT ECOMS892 4.3-10 FLEXRET 1xULB 4xUHB</t>
  </si>
  <si>
    <t>Antenna Cam ECOMS692v01</t>
  </si>
  <si>
    <t>ANT ECOMS692v01 1xULB 2xHB</t>
  </si>
  <si>
    <t>Antenna Cam ECOTB292V03</t>
  </si>
  <si>
    <t>TRI-SECTOR PIPE ANTENNA ECOTB292V03</t>
  </si>
  <si>
    <t>Antenna Cam ECOTB692v18</t>
  </si>
  <si>
    <t>ANT ECOTB692v18 1xULB 2xUHB 80010692v01</t>
  </si>
  <si>
    <t>Antenna Cam ECOPB892</t>
  </si>
  <si>
    <t>ANT ECOPB892 7/16F 1хLB,4xHB 80010892</t>
  </si>
  <si>
    <t>ANT ECOPB892V1 7/16F 1хLB,4HB 80010892V1</t>
  </si>
  <si>
    <t>ANT ECOPB892 4.3-10 1хLB,4xHB 80020892</t>
  </si>
  <si>
    <t>Antenna Cam ECOUB644V01</t>
  </si>
  <si>
    <t>ANT ECOUB644V01 ULTRA-BAND TRI-SECTOR</t>
  </si>
  <si>
    <t>Antenna Omni 736349</t>
  </si>
  <si>
    <t>ANTENNA OMNI VPOL 870-960MHz</t>
  </si>
  <si>
    <t>Antenna Omni 738187</t>
  </si>
  <si>
    <t xml:space="preserve">VPol Omni, 1710-1880MHz, 1,56M, 360°, 0°T, 11 dBi  </t>
  </si>
  <si>
    <t>Antenna Omni 737190</t>
  </si>
  <si>
    <t xml:space="preserve">VPol Omni, 1710-1880MHz, 1,56M, 360°, 6°T, 11 dBi  </t>
  </si>
  <si>
    <t>Antenna Omni 738192</t>
  </si>
  <si>
    <t>ANT OMNI VPOL 806–894 738192</t>
  </si>
  <si>
    <t>Antenna Omni 80010274</t>
  </si>
  <si>
    <t>ANT OMNI VPOL 870-960/1920-2170 80010274</t>
  </si>
  <si>
    <t>Antenna Omni 80010745</t>
  </si>
  <si>
    <t>ANT OMNI 698–960/1695–2690 80010745</t>
  </si>
  <si>
    <t>Sectorization Antenna LB</t>
  </si>
  <si>
    <t>ANT LB SECTORED 4-P W/ x2RET 2CPX208R-V3</t>
  </si>
  <si>
    <t>Sectorization Antenna HB</t>
  </si>
  <si>
    <t>ANT HB SECTORIZED 4-P 2H-33A-R2</t>
  </si>
  <si>
    <t>ANT XPOL HB BTHH/3324/E0-6/RET 1710-2180</t>
  </si>
  <si>
    <t>ANT 80010656 4-PORT DUAL-BEAM 2HB 1.3M</t>
  </si>
  <si>
    <t>Sectorization Antenna MB</t>
  </si>
  <si>
    <t>ANT HB SECTORIZED 10-P RVV2NPX310.211R</t>
  </si>
  <si>
    <t>ANT HB SECTORIZED 10-P CVV2NPX308.208R</t>
  </si>
  <si>
    <t>Dismantled equipment to be returned to warehouse</t>
  </si>
  <si>
    <t>R1 +27deg</t>
  </si>
  <si>
    <t>R2 -27deg</t>
  </si>
  <si>
    <t>Y2 +27deg</t>
  </si>
  <si>
    <t>Y1 -27deg</t>
  </si>
  <si>
    <t>Y2</t>
  </si>
  <si>
    <t>R2</t>
  </si>
  <si>
    <t>Y1</t>
  </si>
  <si>
    <t>R1</t>
  </si>
  <si>
    <t>Y3</t>
  </si>
  <si>
    <t>Y4</t>
  </si>
  <si>
    <t>+30deg</t>
  </si>
  <si>
    <t>+15deg</t>
  </si>
  <si>
    <t>0deg</t>
  </si>
  <si>
    <t>-15deg</t>
  </si>
  <si>
    <t>-30deg</t>
  </si>
  <si>
    <t>B2</t>
  </si>
  <si>
    <t>B1</t>
  </si>
  <si>
    <t>y1</t>
  </si>
  <si>
    <t>y2</t>
  </si>
  <si>
    <t>y3</t>
  </si>
  <si>
    <t>y4</t>
  </si>
  <si>
    <t>p1</t>
  </si>
  <si>
    <t>Lr1</t>
  </si>
  <si>
    <t>Rr2</t>
  </si>
  <si>
    <t>CLy2</t>
  </si>
  <si>
    <t>CRy3</t>
  </si>
  <si>
    <t>Ry4</t>
  </si>
  <si>
    <t>r</t>
  </si>
  <si>
    <t>y</t>
  </si>
  <si>
    <t>r2</t>
  </si>
  <si>
    <t>Lr2</t>
  </si>
  <si>
    <t>LBy1</t>
  </si>
  <si>
    <t>Cy3</t>
  </si>
  <si>
    <t>RBy4</t>
  </si>
  <si>
    <t>Rr3</t>
  </si>
  <si>
    <t>RTy5</t>
  </si>
  <si>
    <t>LTy2</t>
  </si>
  <si>
    <t>LBy3</t>
  </si>
  <si>
    <t>CTy4</t>
  </si>
  <si>
    <t>RBy5</t>
  </si>
  <si>
    <t>LTy6</t>
  </si>
  <si>
    <t>RTy3</t>
  </si>
  <si>
    <t>rr</t>
  </si>
  <si>
    <t>yL</t>
  </si>
  <si>
    <t>yyR</t>
  </si>
  <si>
    <t>Rby3</t>
  </si>
  <si>
    <t>RTy2</t>
  </si>
  <si>
    <t>RTy4</t>
  </si>
  <si>
    <t>RBy3</t>
  </si>
  <si>
    <t>b1</t>
  </si>
  <si>
    <t>Cy2</t>
  </si>
  <si>
    <t>Ry3</t>
  </si>
  <si>
    <t>Rrr2</t>
  </si>
  <si>
    <t>p1R</t>
  </si>
  <si>
    <t>p1CR</t>
  </si>
  <si>
    <t>p1CL</t>
  </si>
  <si>
    <t>p1L</t>
  </si>
  <si>
    <t>Ant2</t>
  </si>
  <si>
    <t>Ant0</t>
  </si>
  <si>
    <t>Ant1</t>
  </si>
  <si>
    <t>ANT2</t>
  </si>
  <si>
    <t>ANT0</t>
  </si>
  <si>
    <t>ANT1</t>
  </si>
  <si>
    <t>B1(+30deg)</t>
  </si>
  <si>
    <t>B2(-30deg)</t>
  </si>
  <si>
    <t>Top</t>
  </si>
  <si>
    <t>Bottom</t>
  </si>
  <si>
    <t>R3</t>
  </si>
  <si>
    <t>Y5</t>
  </si>
  <si>
    <t>Y6</t>
  </si>
  <si>
    <t>Y1 BL</t>
  </si>
  <si>
    <t>Y2 TL</t>
  </si>
  <si>
    <t>Y3 BR</t>
  </si>
  <si>
    <t>Y4 TR</t>
  </si>
  <si>
    <t>3936-9</t>
  </si>
  <si>
    <t>2x3936-9</t>
  </si>
  <si>
    <t>3826</t>
  </si>
  <si>
    <t>2x3826</t>
  </si>
  <si>
    <t>3953-9</t>
  </si>
  <si>
    <t>3953-18</t>
  </si>
  <si>
    <t>3953-21</t>
  </si>
  <si>
    <t>5258</t>
  </si>
  <si>
    <t>5905-9</t>
  </si>
  <si>
    <t>5905-18</t>
  </si>
  <si>
    <t>5905-21</t>
  </si>
  <si>
    <t>5909-21</t>
  </si>
  <si>
    <t>3953-18 3953-21</t>
  </si>
  <si>
    <t>5905-18 5905-21</t>
  </si>
  <si>
    <t>3953-18 5905-21</t>
  </si>
  <si>
    <t>5905-18 3953-21</t>
  </si>
  <si>
    <t>5304AC</t>
  </si>
  <si>
    <t>5304DB</t>
  </si>
  <si>
    <t>5513AC</t>
  </si>
  <si>
    <t>5513DB</t>
  </si>
  <si>
    <t>5519etAB</t>
  </si>
  <si>
    <t>5519etCD</t>
  </si>
  <si>
    <t>5515t</t>
  </si>
  <si>
    <t>5513AC 5304AC</t>
  </si>
  <si>
    <t>5513DB 5304DB</t>
  </si>
  <si>
    <t>3953-18 3953-21 5304AC</t>
  </si>
  <si>
    <t>3953-18 3953-21 5304DB</t>
  </si>
  <si>
    <t>737304</t>
  </si>
  <si>
    <t>737306</t>
  </si>
  <si>
    <t>792542</t>
  </si>
  <si>
    <t>793006</t>
  </si>
  <si>
    <t>793525</t>
  </si>
  <si>
    <t>793533</t>
  </si>
  <si>
    <t>793554</t>
  </si>
  <si>
    <t>6320627</t>
  </si>
  <si>
    <t>7141775</t>
  </si>
  <si>
    <t>78210246</t>
  </si>
  <si>
    <t>78210249</t>
  </si>
  <si>
    <t>78210500</t>
  </si>
  <si>
    <t>78210504</t>
  </si>
  <si>
    <t>78210525</t>
  </si>
  <si>
    <t>78210526</t>
  </si>
  <si>
    <t>78210532</t>
  </si>
  <si>
    <t>78210534</t>
  </si>
  <si>
    <t>78210620</t>
  </si>
  <si>
    <t>78210621</t>
  </si>
  <si>
    <t>78210623</t>
  </si>
  <si>
    <t>78210631</t>
  </si>
  <si>
    <t>78210640</t>
  </si>
  <si>
    <t>78210641</t>
  </si>
  <si>
    <t>78210681</t>
  </si>
  <si>
    <t>78210805</t>
  </si>
  <si>
    <t>78211110</t>
  </si>
  <si>
    <t>86010017</t>
  </si>
  <si>
    <t>86010018</t>
  </si>
  <si>
    <t>86010019</t>
  </si>
  <si>
    <t>86010101</t>
  </si>
  <si>
    <t>86010103</t>
  </si>
  <si>
    <t>86010105</t>
  </si>
  <si>
    <t>86010136</t>
  </si>
  <si>
    <t>ACOMD2A06v06</t>
  </si>
  <si>
    <t>ACOMD2L13v06</t>
  </si>
  <si>
    <t>DCB-2-04-64F-01</t>
  </si>
  <si>
    <t>DCB-2BM-64F-02</t>
  </si>
  <si>
    <t>HAT073843500S-03</t>
  </si>
  <si>
    <t>MI20242</t>
  </si>
  <si>
    <t>MI50542</t>
  </si>
  <si>
    <t>Unknown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</si>
</sst>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;;;@"/>
  </numFmts>
  <fonts count="43">
    <font>
      <sz val="10"/>
      <name val="Arial"/>
      <family val="2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Arial"/>
      <family val="2"/>
    </font>
    <font>
      <sz val="10"/>
      <color rgb="FFFF0000"/>
      <name val="Arial"/>
      <family val="2"/>
    </font>
    <font>
      <sz val="12"/>
      <name val="宋体"/>
    </font>
    <font>
      <sz val="12"/>
      <name val="Times New Roman"/>
      <family val="1"/>
    </font>
    <font>
      <sz val="16"/>
      <name val="Arial"/>
      <family val="2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6"/>
      <name val="Arial"/>
      <family val="2"/>
    </font>
    <font>
      <b/>
      <sz val="12"/>
      <color rgb="FFFF0000"/>
      <name val="Calibri"/>
      <family val="2"/>
      <scheme val="minor"/>
    </font>
    <font>
      <sz val="12"/>
      <name val="Arial"/>
      <family val="2"/>
    </font>
    <font>
      <sz val="12"/>
      <color rgb="FFFF0000"/>
      <name val="Arial"/>
      <family val="2"/>
    </font>
    <font>
      <sz val="12"/>
      <color theme="1"/>
      <name val="Arial"/>
      <family val="2"/>
    </font>
    <font>
      <sz val="14"/>
      <name val="Arial"/>
      <family val="2"/>
    </font>
    <font>
      <b/>
      <sz val="20"/>
      <name val="Arial"/>
      <family val="2"/>
    </font>
    <font>
      <sz val="20"/>
      <name val="Arial"/>
      <family val="2"/>
      <charset val="204"/>
    </font>
    <font>
      <b/>
      <sz val="14"/>
      <name val="Arial"/>
      <family val="2"/>
    </font>
    <font>
      <sz val="14"/>
      <color rgb="FFFF0000"/>
      <name val="Arial"/>
      <family val="2"/>
    </font>
    <font>
      <sz val="14"/>
      <color theme="1"/>
      <name val="Arial"/>
      <family val="2"/>
    </font>
    <font>
      <b/>
      <sz val="11"/>
      <color rgb="FFFF0000"/>
      <name val="Calibri"/>
      <family val="2"/>
      <scheme val="minor"/>
    </font>
    <font>
      <sz val="10"/>
      <color theme="1"/>
      <name val="Arial"/>
      <family val="2"/>
    </font>
    <font>
      <sz val="10"/>
      <color rgb="FFFF0000"/>
      <name val="Arial"/>
      <family val="2"/>
      <charset val="204"/>
    </font>
    <font>
      <sz val="11"/>
      <color theme="1"/>
      <name val="Calibri"/>
      <family val="2"/>
      <charset val="204"/>
      <scheme val="minor"/>
    </font>
    <font>
      <sz val="20"/>
      <color theme="1"/>
      <name val="Arial"/>
      <family val="2"/>
    </font>
    <font>
      <sz val="10"/>
      <name val="Arial"/>
      <family val="2"/>
      <charset val="204"/>
    </font>
    <font>
      <b/>
      <sz val="11"/>
      <color theme="1"/>
      <name val="Calibri"/>
      <family val="2"/>
      <charset val="204"/>
      <scheme val="minor"/>
    </font>
    <font>
      <b/>
      <sz val="10"/>
      <color theme="1"/>
      <name val="Calibri"/>
      <family val="2"/>
      <charset val="204"/>
      <scheme val="minor"/>
    </font>
    <font>
      <b/>
      <sz val="9"/>
      <name val="Calibri"/>
      <family val="2"/>
      <charset val="204"/>
      <scheme val="minor"/>
    </font>
    <font>
      <sz val="10"/>
      <color theme="1"/>
      <name val="Calibri"/>
      <family val="2"/>
      <charset val="204"/>
      <scheme val="minor"/>
    </font>
    <font>
      <sz val="9"/>
      <name val="Calibri"/>
      <family val="2"/>
      <charset val="204"/>
      <scheme val="minor"/>
    </font>
    <font>
      <b/>
      <sz val="14"/>
      <color theme="1"/>
      <name val="Arial"/>
      <family val="2"/>
      <charset val="204"/>
    </font>
    <font>
      <b/>
      <sz val="11"/>
      <color rgb="FFFF0000"/>
      <name val="Calibri"/>
      <family val="2"/>
      <charset val="204"/>
      <scheme val="minor"/>
    </font>
    <font>
      <b/>
      <sz val="11"/>
      <color theme="1"/>
      <name val="Calibri"/>
      <family val="3"/>
      <charset val="134"/>
      <scheme val="minor"/>
    </font>
    <font>
      <sz val="11"/>
      <color rgb="FF000000"/>
      <name val="Arial Narrow"/>
      <family val="2"/>
    </font>
    <font>
      <sz val="11"/>
      <color theme="1"/>
      <name val="Calibri"/>
      <family val="2"/>
      <charset val="134"/>
      <scheme val="minor"/>
    </font>
    <font>
      <sz val="11"/>
      <name val="Calibri"/>
      <family val="2"/>
      <charset val="134"/>
      <scheme val="minor"/>
    </font>
    <font>
      <sz val="11"/>
      <name val="Calibri"/>
      <family val="2"/>
      <scheme val="minor"/>
    </font>
    <font>
      <sz val="11"/>
      <name val="Arial Narrow"/>
      <family val="2"/>
    </font>
  </fonts>
  <fills count="7">
    <fill>
      <patternFill patternType="none"/>
    </fill>
    <fill>
      <patternFill patternType="gray125"/>
    </fill>
    <fill>
      <patternFill patternType="solid">
        <fgColor rgb="FFCC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rgb="FF92D050"/>
        <bgColor indexed="64"/>
      </patternFill>
    </fill>
  </fills>
  <borders count="8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/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/>
      <top style="thin">
        <color theme="1"/>
      </top>
      <bottom style="thin">
        <color theme="1"/>
      </bottom>
      <diagonal/>
    </border>
    <border>
      <left style="medium">
        <color theme="1"/>
      </left>
      <right style="medium">
        <color theme="1"/>
      </right>
      <top style="thin">
        <color theme="1"/>
      </top>
      <bottom/>
      <diagonal/>
    </border>
    <border>
      <left style="thin">
        <color theme="1"/>
      </left>
      <right style="medium">
        <color theme="1"/>
      </right>
      <top style="thin">
        <color theme="1"/>
      </top>
      <bottom/>
      <diagonal/>
    </border>
    <border>
      <left style="medium">
        <color theme="1"/>
      </left>
      <right/>
      <top style="thin">
        <color theme="1"/>
      </top>
      <bottom/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medium">
        <color auto="1"/>
      </right>
      <top/>
      <bottom/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thin">
        <color theme="1"/>
      </left>
      <right style="thin">
        <color theme="1"/>
      </right>
      <top style="thin">
        <color theme="1"/>
      </top>
      <bottom/>
      <diagonal/>
    </border>
    <border>
      <left style="thin">
        <color theme="1"/>
      </left>
      <right style="thin">
        <color theme="1"/>
      </right>
      <top/>
      <bottom style="thin">
        <color theme="1"/>
      </bottom>
      <diagonal/>
    </border>
    <border>
      <left style="medium">
        <color indexed="64"/>
      </left>
      <right style="thin">
        <color auto="1"/>
      </right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/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</borders>
  <cellStyleXfs count="28">
    <xf numFmtId="0" fontId="0" fillId="0" borderId="0"/>
    <xf numFmtId="0" fontId="9" fillId="0" borderId="0"/>
    <xf numFmtId="0" fontId="6" fillId="0" borderId="0"/>
    <xf numFmtId="0" fontId="5" fillId="0" borderId="0"/>
    <xf numFmtId="0" fontId="29" fillId="0" borderId="0"/>
    <xf numFmtId="0" fontId="29" fillId="0" borderId="0"/>
    <xf numFmtId="0" fontId="6" fillId="0" borderId="0"/>
    <xf numFmtId="0" fontId="5" fillId="0" borderId="0"/>
    <xf numFmtId="0" fontId="29" fillId="0" borderId="0"/>
    <xf numFmtId="0" fontId="6" fillId="0" borderId="0"/>
    <xf numFmtId="0" fontId="5" fillId="0" borderId="0"/>
    <xf numFmtId="0" fontId="2" fillId="0" borderId="0"/>
    <xf numFmtId="0" fontId="1" fillId="0" borderId="0"/>
    <xf numFmtId="0" fontId="4" fillId="0" borderId="0"/>
    <xf numFmtId="0" fontId="3" fillId="0" borderId="0"/>
    <xf numFmtId="0" fontId="1" fillId="0" borderId="0"/>
    <xf numFmtId="0" fontId="27" fillId="0" borderId="0"/>
    <xf numFmtId="0" fontId="27" fillId="0" borderId="0"/>
    <xf numFmtId="0" fontId="1" fillId="0" borderId="0"/>
    <xf numFmtId="0" fontId="5" fillId="0" borderId="0"/>
    <xf numFmtId="0" fontId="4" fillId="0" borderId="0"/>
    <xf numFmtId="0" fontId="3" fillId="0" borderId="0"/>
    <xf numFmtId="0" fontId="1" fillId="0" borderId="0"/>
    <xf numFmtId="0" fontId="1" fillId="0" borderId="0"/>
    <xf numFmtId="0" fontId="27" fillId="0" borderId="0"/>
    <xf numFmtId="0" fontId="27" fillId="0" borderId="0"/>
    <xf numFmtId="0" fontId="39" fillId="0" borderId="0"/>
    <xf numFmtId="0" fontId="8" fillId="0" borderId="0"/>
  </cellStyleXfs>
  <cellXfs count="28">
    <xf numFmtId="0" applyNumberFormat="1" fontId="0" applyFont="1" fillId="0" applyFill="1" borderId="0" applyBorder="1" xfId="0" applyProtection="1"/>
    <xf numFmtId="0" applyNumberFormat="1" fontId="0" applyFont="1" fillId="0" applyFill="1" borderId="1" applyBorder="1" xfId="0" applyProtection="1"/>
    <xf numFmtId="0" applyNumberFormat="1" fontId="0" applyFont="1" fillId="0" applyFill="1" borderId="0" applyBorder="1" xfId="0" applyProtection="1"/>
    <xf numFmtId="0" applyNumberFormat="1" fontId="10" applyFont="1" fillId="0" applyFill="1" borderId="1" applyBorder="1" xfId="0" applyProtection="1"/>
    <xf numFmtId="0" applyNumberFormat="1" fontId="0" applyFont="1" fillId="0" applyFill="1" borderId="1" applyBorder="1" xfId="0" applyProtection="1" applyAlignment="1">
      <alignment horizontal="center" vertical="center" wrapText="1"/>
    </xf>
    <xf numFmtId="0" applyNumberFormat="1" fontId="7" applyFont="1" fillId="0" applyFill="1" borderId="0" applyBorder="1" xfId="0" applyProtection="1"/>
    <xf numFmtId="0" applyNumberFormat="1" fontId="0" applyFont="1" fillId="0" applyFill="1" borderId="0" applyBorder="1" xfId="0" applyProtection="1" applyAlignment="1">
      <alignment horizontal="center" vertical="center"/>
    </xf>
    <xf numFmtId="0" applyNumberFormat="1" fontId="0" applyFont="1" fillId="0" applyFill="1" borderId="0" applyBorder="1" xfId="0" applyProtection="1" applyAlignment="1">
      <alignment horizontal="right"/>
    </xf>
    <xf numFmtId="0" applyNumberFormat="1" fontId="18" applyFont="1" fillId="2" applyFill="1" borderId="22" applyBorder="1" xfId="19" applyProtection="1" applyAlignment="1">
      <alignment horizontal="right" vertical="center"/>
    </xf>
    <xf numFmtId="0" applyNumberFormat="1" fontId="22" applyFont="1" fillId="2" applyFill="1" borderId="6" applyBorder="1" xfId="19" applyProtection="1" applyAlignment="1">
      <alignment horizontal="right" vertical="center"/>
    </xf>
    <xf numFmtId="0" applyNumberFormat="1" fontId="22" applyFont="1" fillId="2" applyFill="1" borderId="5" applyBorder="1" xfId="19" applyProtection="1" applyAlignment="1">
      <alignment horizontal="right" vertical="center"/>
    </xf>
    <xf numFmtId="0" applyNumberFormat="1" fontId="18" applyFont="1" fillId="2" applyFill="1" borderId="30" applyBorder="1" xfId="19" applyProtection="1" applyAlignment="1">
      <alignment horizontal="right" vertical="center"/>
    </xf>
    <xf numFmtId="0" applyNumberFormat="1" fontId="18" applyFont="1" fillId="2" applyFill="1" borderId="20" applyBorder="1" xfId="19" applyProtection="1" applyAlignment="1">
      <alignment horizontal="right" vertical="center"/>
    </xf>
    <xf numFmtId="0" applyNumberFormat="1" fontId="18" applyFont="1" fillId="2" applyFill="1" borderId="15" applyBorder="1" xfId="19" applyProtection="1" applyAlignment="1">
      <alignment horizontal="right" vertical="center"/>
    </xf>
    <xf numFmtId="0" applyNumberFormat="1" fontId="18" applyFont="1" fillId="2" applyFill="1" borderId="25" applyBorder="1" xfId="19" applyProtection="1" applyAlignment="1">
      <alignment horizontal="right"/>
    </xf>
    <xf numFmtId="0" applyNumberFormat="1" fontId="0" applyFont="1" fillId="0" applyFill="1" borderId="31" applyBorder="1" xfId="0" applyProtection="1"/>
    <xf numFmtId="0" applyNumberFormat="1" fontId="15" applyFont="1" fillId="0" applyFill="1" borderId="32" applyBorder="1" xfId="0" applyProtection="1"/>
    <xf numFmtId="0" applyNumberFormat="1" fontId="25" applyFont="1" fillId="0" applyFill="1" borderId="0" applyBorder="1" xfId="0" applyProtection="1"/>
    <xf numFmtId="0" applyNumberFormat="1" fontId="22" applyFont="1" fillId="2" applyFill="1" borderId="36" applyBorder="1" xfId="19" applyProtection="1" applyAlignment="1">
      <alignment horizontal="right" vertical="center" wrapText="1"/>
    </xf>
    <xf numFmtId="0" applyNumberFormat="1" fontId="7" applyFont="1" fillId="0" applyFill="1" borderId="0" applyBorder="1" xfId="0" applyProtection="1" applyAlignment="1">
      <alignment horizontal="center" vertical="center"/>
    </xf>
    <xf numFmtId="0" applyNumberFormat="1" fontId="0" applyFont="1" fillId="0" applyFill="1" borderId="0" applyBorder="1" xfId="0" applyProtection="1" applyAlignment="1">
      <alignment vertical="center"/>
    </xf>
    <xf numFmtId="0" applyNumberFormat="1" fontId="0" applyFont="1" fillId="0" applyFill="1" borderId="0" applyBorder="1" xfId="0" applyProtection="1"/>
    <xf numFmtId="0" applyNumberFormat="1" fontId="7" applyFont="1" fillId="0" applyFill="1" borderId="0" applyBorder="1" xfId="0" applyProtection="1"/>
    <xf numFmtId="49" applyNumberFormat="1" fontId="0" applyFont="1" fillId="0" applyFill="1" borderId="1" applyBorder="1" xfId="0" applyProtection="1" applyAlignment="1">
      <alignment horizontal="center" vertical="center" wrapText="1"/>
    </xf>
    <xf numFmtId="0" applyNumberFormat="1" fontId="17" applyFont="1" fillId="0" applyFill="1" borderId="30" applyBorder="1" xfId="19" applyProtection="1" applyAlignment="1">
      <alignment horizontal="center" vertical="center" wrapText="1"/>
    </xf>
    <xf numFmtId="0" applyNumberFormat="1" fontId="17" applyFont="1" fillId="0" applyFill="1" borderId="39" applyBorder="1" xfId="19" applyProtection="1" applyAlignment="1">
      <alignment horizontal="center" vertical="center" wrapText="1"/>
    </xf>
    <xf numFmtId="0" applyNumberFormat="1" fontId="17" applyFont="1" fillId="0" applyFill="1" borderId="18" applyBorder="1" xfId="19" applyProtection="1" applyAlignment="1">
      <alignment horizontal="center" vertical="center" wrapText="1"/>
    </xf>
    <xf numFmtId="0" applyNumberFormat="1" fontId="18" applyFont="1" fillId="2" applyFill="1" borderId="21" applyBorder="1" xfId="19" applyProtection="1" applyAlignment="1">
      <alignment horizontal="right" vertical="center"/>
    </xf>
    <xf numFmtId="0" applyNumberFormat="1" fontId="22" applyFont="1" fillId="2" applyFill="1" borderId="12" applyBorder="1" xfId="19" applyProtection="1" applyAlignment="1">
      <alignment horizontal="right" vertical="center"/>
    </xf>
    <xf numFmtId="0" applyNumberFormat="1" fontId="22" applyFont="1" fillId="2" applyFill="1" borderId="11" applyBorder="1" xfId="19" applyProtection="1" applyAlignment="1">
      <alignment horizontal="right" vertical="center"/>
    </xf>
    <xf numFmtId="0" applyNumberFormat="1" fontId="22" applyFont="1" fillId="2" applyFill="1" borderId="13" applyBorder="1" xfId="19" applyProtection="1" applyAlignment="1">
      <alignment horizontal="right" vertical="center"/>
    </xf>
    <xf numFmtId="0" applyNumberFormat="1" fontId="22" applyFont="1" fillId="2" applyFill="1" borderId="9" applyBorder="1" xfId="19" applyProtection="1" applyAlignment="1">
      <alignment horizontal="right" vertical="center"/>
    </xf>
    <xf numFmtId="0" applyNumberFormat="1" fontId="22" applyFont="1" fillId="2" applyFill="1" borderId="24" applyBorder="1" xfId="19" applyProtection="1" applyAlignment="1">
      <alignment horizontal="right" vertical="center"/>
    </xf>
    <xf numFmtId="0" applyNumberFormat="1" fontId="18" applyFont="1" fillId="0" applyFill="1" borderId="18" applyBorder="1" xfId="0" applyProtection="1" applyAlignment="1">
      <alignment horizontal="center" vertical="center"/>
    </xf>
    <xf numFmtId="0" applyNumberFormat="1" fontId="0" applyFont="1" fillId="0" applyFill="1" borderId="0" applyBorder="1" xfId="0" applyProtection="1"/>
    <xf numFmtId="0" applyNumberFormat="1" fontId="7" applyFont="1" fillId="0" applyFill="1" borderId="41" applyBorder="1" xfId="0" applyProtection="1" applyAlignment="1">
      <alignment horizontal="center" vertical="center"/>
    </xf>
    <xf numFmtId="0" applyNumberFormat="1" fontId="0" applyFont="1" fillId="0" applyFill="1" borderId="41" applyBorder="1" xfId="0" applyProtection="1"/>
    <xf numFmtId="0" applyNumberFormat="1" fontId="0" applyFont="1" fillId="0" applyFill="1" borderId="41" applyBorder="1" xfId="0" applyProtection="1" applyAlignment="1">
      <alignment horizontal="center" vertical="center"/>
    </xf>
    <xf numFmtId="0" applyNumberFormat="1" fontId="0" applyFont="1" fillId="0" applyFill="1" borderId="41" applyBorder="1" xfId="0" applyProtection="1" applyAlignment="1">
      <alignment horizontal="left" vertical="center"/>
    </xf>
    <xf numFmtId="0" applyNumberFormat="1" fontId="7" applyFont="1" fillId="0" applyFill="1" borderId="41" applyBorder="1" xfId="0" applyProtection="1" applyAlignment="1">
      <alignment horizontal="left" vertical="center"/>
    </xf>
    <xf numFmtId="0" applyNumberFormat="1" fontId="25" applyFont="1" fillId="0" applyFill="1" borderId="41" applyBorder="1" xfId="0" applyProtection="1" applyAlignment="1">
      <alignment horizontal="center" vertical="center"/>
    </xf>
    <xf numFmtId="164" applyNumberFormat="1" fontId="25" applyFont="1" fillId="0" applyFill="1" borderId="41" applyBorder="1" xfId="0" applyProtection="1" applyAlignment="1">
      <alignment horizontal="center" vertical="center"/>
    </xf>
    <xf numFmtId="0" applyNumberFormat="1" fontId="17" applyFont="1" fillId="0" applyFill="1" borderId="38" applyBorder="1" xfId="19" quotePrefix="1" applyProtection="1" applyAlignment="1">
      <alignment horizontal="center" vertical="center" wrapText="1"/>
    </xf>
    <xf numFmtId="0" applyNumberFormat="1" fontId="17" applyFont="1" fillId="0" applyFill="1" borderId="37" applyBorder="1" xfId="19" quotePrefix="1" applyProtection="1" applyAlignment="1">
      <alignment horizontal="center" vertical="center" wrapText="1"/>
    </xf>
    <xf numFmtId="0" applyNumberFormat="1" fontId="17" applyFont="1" fillId="0" applyFill="1" borderId="33" applyBorder="1" xfId="19" quotePrefix="1" applyProtection="1" applyAlignment="1">
      <alignment horizontal="center" vertical="center" wrapText="1"/>
    </xf>
    <xf numFmtId="0" applyNumberFormat="1" fontId="17" applyFont="1" fillId="0" applyFill="1" borderId="10" applyBorder="1" xfId="19" quotePrefix="1" applyProtection="1" applyAlignment="1">
      <alignment horizontal="center" vertical="center" wrapText="1"/>
    </xf>
    <xf numFmtId="1" applyNumberFormat="1" fontId="17" applyFont="1" fillId="0" applyFill="1" borderId="36" applyBorder="1" xfId="19" quotePrefix="1" applyProtection="1" applyAlignment="1">
      <alignment horizontal="center" vertical="center" wrapText="1" shrinkToFit="1"/>
    </xf>
    <xf numFmtId="1" applyNumberFormat="1" fontId="17" applyFont="1" fillId="0" applyFill="1" borderId="36" applyBorder="1" xfId="19" applyProtection="1" applyAlignment="1">
      <alignment horizontal="center" vertical="center" wrapText="1" shrinkToFit="1"/>
    </xf>
    <xf numFmtId="1" applyNumberFormat="1" fontId="17" applyFont="1" fillId="0" applyFill="1" borderId="14" applyBorder="1" xfId="19" applyProtection="1" applyAlignment="1">
      <alignment horizontal="center" vertical="center" wrapText="1" shrinkToFit="1"/>
    </xf>
    <xf numFmtId="1" applyNumberFormat="1" fontId="17" applyFont="1" fillId="0" applyFill="1" borderId="11" applyBorder="1" xfId="19" applyProtection="1" applyAlignment="1">
      <alignment horizontal="center" vertical="center" wrapText="1" shrinkToFit="1"/>
    </xf>
    <xf numFmtId="1" applyNumberFormat="1" fontId="17" applyFont="1" fillId="0" applyFill="1" borderId="8" applyBorder="1" xfId="19" applyProtection="1" applyAlignment="1">
      <alignment horizontal="center" vertical="center" wrapText="1" shrinkToFit="1"/>
    </xf>
    <xf numFmtId="0" applyNumberFormat="1" fontId="17" applyFont="1" fillId="0" applyFill="1" borderId="4" applyBorder="1" xfId="19" applyProtection="1" applyAlignment="1">
      <alignment horizontal="center" vertical="center" wrapText="1"/>
    </xf>
    <xf numFmtId="0" applyNumberFormat="1" fontId="17" applyFont="1" fillId="0" applyFill="1" borderId="40" applyBorder="1" xfId="19" applyProtection="1" applyAlignment="1">
      <alignment horizontal="center" vertical="center" wrapText="1"/>
    </xf>
    <xf numFmtId="49" applyNumberFormat="1" fontId="17" applyFont="1" fillId="0" applyFill="1" borderId="4" applyBorder="1" xfId="19" applyProtection="1" applyAlignment="1">
      <alignment horizontal="center" vertical="center" wrapText="1"/>
    </xf>
    <xf numFmtId="0" applyNumberFormat="1" fontId="0" applyFont="1" fillId="0" applyFill="1" borderId="41" applyBorder="1" xfId="0" applyProtection="1" applyAlignment="1">
      <alignment horizontal="center" vertical="center"/>
    </xf>
    <xf numFmtId="0" applyNumberFormat="1" fontId="29" applyFont="1" fillId="0" applyFill="1" borderId="41" applyBorder="1" xfId="0" applyProtection="1" applyAlignment="1">
      <alignment horizontal="left" vertical="center"/>
    </xf>
    <xf numFmtId="0" applyNumberFormat="1" fontId="0" applyFont="1" fillId="0" applyFill="1" borderId="41" applyBorder="1" xfId="0" applyProtection="1" applyAlignment="1">
      <alignment horizontal="center" vertical="center"/>
    </xf>
    <xf numFmtId="0" applyNumberFormat="1" fontId="0" applyFont="1" fillId="0" applyFill="1" borderId="42" applyBorder="1" xfId="0" applyProtection="1" applyAlignment="1">
      <alignment horizontal="left" vertical="center"/>
    </xf>
    <xf numFmtId="0" applyNumberFormat="1" fontId="7" applyFont="1" fillId="0" applyFill="1" borderId="70" applyBorder="1" xfId="0" applyProtection="1" applyAlignment="1">
      <alignment horizontal="center" vertical="center"/>
    </xf>
    <xf numFmtId="164" applyNumberFormat="1" fontId="25" applyFont="1" fillId="0" applyFill="1" borderId="71" applyBorder="1" xfId="0" applyProtection="1" applyAlignment="1">
      <alignment horizontal="center" vertical="center"/>
    </xf>
    <xf numFmtId="0" applyNumberFormat="1" fontId="7" applyFont="1" fillId="0" applyFill="1" borderId="53" applyBorder="1" xfId="0" applyProtection="1" applyAlignment="1">
      <alignment horizontal="left" vertical="center"/>
    </xf>
    <xf numFmtId="16" applyNumberFormat="1" fontId="17" applyFont="1" fillId="0" applyFill="1" borderId="39" applyBorder="1" xfId="19" quotePrefix="1" applyProtection="1" applyAlignment="1">
      <alignment horizontal="center" vertical="center" wrapText="1"/>
    </xf>
    <xf numFmtId="16" applyNumberFormat="1" fontId="17" applyFont="1" fillId="0" applyFill="1" borderId="39" applyBorder="1" xfId="19" applyProtection="1" applyAlignment="1">
      <alignment horizontal="center" vertical="center" wrapText="1"/>
    </xf>
    <xf numFmtId="16" applyNumberFormat="1" fontId="23" applyFont="1" fillId="2" applyFill="1" borderId="53" applyBorder="1" xfId="19" quotePrefix="1" applyProtection="1" applyAlignment="1">
      <alignment horizontal="center" vertical="center"/>
    </xf>
    <xf numFmtId="0" applyNumberFormat="1" fontId="23" applyFont="1" fillId="2" applyFill="1" borderId="53" applyBorder="1" xfId="19" quotePrefix="1" applyProtection="1" applyAlignment="1">
      <alignment horizontal="center" vertical="center"/>
    </xf>
    <xf numFmtId="49" applyNumberFormat="1" fontId="23" applyFont="1" fillId="2" applyFill="1" borderId="53" applyBorder="1" xfId="19" quotePrefix="1" applyProtection="1" applyAlignment="1">
      <alignment horizontal="center" vertical="center"/>
    </xf>
    <xf numFmtId="16" applyNumberFormat="1" fontId="17" applyFont="1" fillId="0" applyFill="1" borderId="74" applyBorder="1" xfId="19" applyProtection="1" applyAlignment="1">
      <alignment horizontal="center" vertical="center" wrapText="1"/>
    </xf>
    <xf numFmtId="16" applyNumberFormat="1" fontId="17" applyFont="1" fillId="0" applyFill="1" borderId="75" applyBorder="1" xfId="19" applyProtection="1" applyAlignment="1">
      <alignment horizontal="center" vertical="center" wrapText="1"/>
    </xf>
    <xf numFmtId="0" applyNumberFormat="1" fontId="22" applyFont="1" fillId="2" applyFill="1" borderId="76" applyBorder="1" xfId="19" applyProtection="1" applyAlignment="1">
      <alignment horizontal="right" vertical="center"/>
    </xf>
    <xf numFmtId="0" applyNumberFormat="1" fontId="18" applyFont="1" fillId="2" applyFill="1" borderId="77" applyBorder="1" xfId="19" applyProtection="1" applyAlignment="1">
      <alignment horizontal="right" vertical="center"/>
    </xf>
    <xf numFmtId="0" applyNumberFormat="1" fontId="18" applyFont="1" fillId="2" applyFill="1" borderId="53" applyBorder="1" xfId="19" applyProtection="1" applyAlignment="1">
      <alignment horizontal="right" vertical="center"/>
    </xf>
    <xf numFmtId="0" applyNumberFormat="1" fontId="22" applyFont="1" fillId="2" applyFill="1" borderId="53" applyBorder="1" xfId="19" applyProtection="1" applyAlignment="1">
      <alignment horizontal="right" vertical="center"/>
    </xf>
    <xf numFmtId="0" applyNumberFormat="1" fontId="35" applyFont="1" fillId="2" applyFill="1" borderId="25" applyBorder="1" xfId="19" applyProtection="1" applyAlignment="1">
      <alignment horizontal="center" vertical="top" wrapText="1"/>
    </xf>
    <xf numFmtId="0" applyNumberFormat="1" fontId="11" applyFont="1" fillId="0" applyFill="1" borderId="51" applyBorder="1" xfId="19" applyProtection="1" applyAlignment="1">
      <alignment vertical="top" wrapText="1"/>
    </xf>
    <xf numFmtId="0" applyNumberFormat="1" fontId="24" applyFont="1" fillId="0" applyFill="1" borderId="63" applyBorder="1" xfId="19" applyProtection="1" applyAlignment="1">
      <alignment vertical="top" wrapText="1"/>
    </xf>
    <xf numFmtId="0" applyNumberFormat="1" fontId="24" applyFont="1" fillId="0" applyFill="1" borderId="54" applyBorder="1" xfId="19" applyProtection="1" applyAlignment="1">
      <alignment vertical="top" wrapText="1"/>
    </xf>
    <xf numFmtId="49" applyNumberFormat="1" fontId="23" applyFont="1" fillId="2" applyFill="1" borderId="66" applyBorder="1" xfId="19" quotePrefix="1" applyProtection="1" applyAlignment="1">
      <alignment horizontal="center" vertical="center"/>
    </xf>
    <xf numFmtId="49" applyNumberFormat="1" fontId="23" applyFont="1" fillId="2" applyFill="1" borderId="54" applyBorder="1" xfId="19" quotePrefix="1" applyProtection="1" applyAlignment="1">
      <alignment horizontal="center" vertical="center"/>
    </xf>
    <xf numFmtId="0" applyNumberFormat="1" fontId="17" applyFont="1" fillId="0" applyFill="1" borderId="36" applyBorder="1" xfId="19" applyProtection="1" applyAlignment="1">
      <alignment horizontal="center" vertical="center" wrapText="1"/>
    </xf>
    <xf numFmtId="49" applyNumberFormat="1" fontId="17" applyFont="1" fillId="0" applyFill="1" borderId="36" applyBorder="1" xfId="19" applyProtection="1" applyAlignment="1">
      <alignment horizontal="center" vertical="center" wrapText="1"/>
    </xf>
    <xf numFmtId="0" applyNumberFormat="1" fontId="12" applyFont="1" fillId="0" applyFill="1" borderId="66" applyBorder="1" xfId="19" applyProtection="1" applyAlignment="1">
      <alignment vertical="top" wrapText="1"/>
    </xf>
    <xf numFmtId="0" applyNumberFormat="1" fontId="24" applyFont="1" fillId="0" applyFill="1" borderId="57" applyBorder="1" xfId="19" applyProtection="1" applyAlignment="1">
      <alignment vertical="top" wrapText="1"/>
    </xf>
    <xf numFmtId="0" applyNumberFormat="1" fontId="18" applyFont="1" fillId="2" applyFill="1" borderId="17" applyBorder="1" xfId="19" applyProtection="1" applyAlignment="1">
      <alignment horizontal="right" vertical="center"/>
    </xf>
    <xf numFmtId="0" applyNumberFormat="1" fontId="22" applyFont="1" fillId="2" applyFill="1" borderId="7" applyBorder="1" xfId="19" applyProtection="1" applyAlignment="1">
      <alignment horizontal="right" vertical="center"/>
    </xf>
    <xf numFmtId="0" applyNumberFormat="1" fontId="18" applyFont="1" fillId="2" applyFill="1" borderId="81" applyBorder="1" xfId="19" applyProtection="1" applyAlignment="1">
      <alignment horizontal="right" vertical="center"/>
    </xf>
    <xf numFmtId="0" applyNumberFormat="1" fontId="22" applyFont="1" fillId="2" applyFill="1" borderId="81" applyBorder="1" xfId="19" applyProtection="1" applyAlignment="1">
      <alignment horizontal="right" vertical="center"/>
    </xf>
    <xf numFmtId="0" applyNumberFormat="1" fontId="18" applyFont="1" fillId="2" applyFill="1" borderId="75" applyBorder="1" xfId="19" applyProtection="1" applyAlignment="1">
      <alignment horizontal="right" vertical="center"/>
    </xf>
    <xf numFmtId="0" applyNumberFormat="1" fontId="22" applyFont="1" fillId="2" applyFill="1" borderId="8" applyBorder="1" xfId="19" applyProtection="1" applyAlignment="1">
      <alignment horizontal="right" vertical="center" wrapText="1"/>
    </xf>
    <xf numFmtId="0" applyNumberFormat="1" fontId="18" applyFont="1" fillId="2" applyFill="1" borderId="23" applyBorder="1" xfId="19" applyProtection="1" applyAlignment="1">
      <alignment horizontal="right" vertical="center"/>
    </xf>
    <xf numFmtId="0" applyNumberFormat="1" fontId="22" applyFont="1" fillId="2" applyFill="1" borderId="0" applyBorder="1" xfId="19" applyProtection="1" applyAlignment="1">
      <alignment horizontal="right" vertical="center"/>
    </xf>
    <xf numFmtId="0" applyNumberFormat="1" fontId="11" applyFont="1" fillId="0" applyFill="1" borderId="30" applyBorder="1" xfId="19" applyProtection="1" applyAlignment="1">
      <alignment vertical="top" wrapText="1"/>
    </xf>
    <xf numFmtId="0" applyNumberFormat="1" fontId="24" applyFont="1" fillId="0" applyFill="1" borderId="40" applyBorder="1" xfId="19" applyProtection="1" applyAlignment="1">
      <alignment vertical="top" wrapText="1"/>
    </xf>
    <xf numFmtId="0" applyNumberFormat="1" fontId="24" applyFont="1" fillId="0" applyFill="1" borderId="36" applyBorder="1" xfId="19" applyProtection="1" applyAlignment="1">
      <alignment vertical="top" wrapText="1"/>
    </xf>
    <xf numFmtId="0" applyNumberFormat="1" fontId="12" applyFont="1" fillId="0" applyFill="1" borderId="39" applyBorder="1" xfId="19" applyProtection="1" applyAlignment="1">
      <alignment vertical="top" wrapText="1"/>
    </xf>
    <xf numFmtId="0" applyNumberFormat="1" fontId="11" applyFont="1" fillId="0" applyFill="1" borderId="23" applyBorder="1" xfId="19" applyProtection="1" applyAlignment="1">
      <alignment vertical="top" wrapText="1"/>
    </xf>
    <xf numFmtId="0" applyNumberFormat="1" fontId="24" applyFont="1" fillId="0" applyFill="1" borderId="78" applyBorder="1" xfId="19" applyProtection="1" applyAlignment="1">
      <alignment vertical="top" wrapText="1"/>
    </xf>
    <xf numFmtId="0" applyNumberFormat="1" fontId="24" applyFont="1" fillId="0" applyFill="1" borderId="8" applyBorder="1" xfId="19" applyProtection="1" applyAlignment="1">
      <alignment vertical="top" wrapText="1"/>
    </xf>
    <xf numFmtId="0" applyNumberFormat="1" fontId="12" applyFont="1" fillId="0" applyFill="1" borderId="74" applyBorder="1" xfId="19" applyProtection="1" applyAlignment="1">
      <alignment vertical="top" wrapText="1"/>
    </xf>
    <xf numFmtId="0" applyNumberFormat="1" fontId="24" applyFont="1" fillId="0" applyFill="1" borderId="38" applyBorder="1" xfId="19" applyProtection="1" applyAlignment="1">
      <alignment vertical="top" wrapText="1"/>
    </xf>
    <xf numFmtId="0" applyNumberFormat="1" fontId="23" applyFont="1" fillId="3" applyFill="1" borderId="53" applyBorder="1" xfId="19" quotePrefix="1" applyProtection="1" applyAlignment="1">
      <alignment horizontal="center" vertical="center"/>
    </xf>
    <xf numFmtId="0" applyNumberFormat="1" fontId="0" applyFont="1" fillId="0" applyFill="1" borderId="41" applyBorder="1" xfId="0" applyProtection="1" applyAlignment="1">
      <alignment horizontal="center" vertical="center"/>
    </xf>
    <xf numFmtId="0" applyNumberFormat="1" fontId="0" applyFont="1" fillId="0" applyFill="1" borderId="42" applyBorder="1" xfId="0" applyProtection="1" applyAlignment="1">
      <alignment horizontal="center" vertical="center"/>
    </xf>
    <xf numFmtId="0" applyNumberFormat="1" fontId="0" applyFont="1" fillId="0" applyFill="1" borderId="41" applyBorder="1" xfId="0" applyProtection="1" applyAlignment="1">
      <alignment horizontal="center" vertical="center"/>
    </xf>
    <xf numFmtId="0" applyNumberFormat="1" fontId="26" applyFont="1" fillId="0" applyFill="1" borderId="41" applyBorder="1" xfId="0" applyProtection="1" applyAlignment="1">
      <alignment horizontal="center" vertical="center"/>
    </xf>
    <xf numFmtId="0" applyNumberFormat="1" fontId="7" applyFont="1" fillId="0" applyFill="1" borderId="53" applyBorder="1" xfId="0" applyProtection="1" applyAlignment="1">
      <alignment horizontal="center" vertical="center"/>
    </xf>
    <xf numFmtId="16" applyNumberFormat="1" fontId="23" applyFont="1" fillId="3" applyFill="1" borderId="53" applyBorder="1" xfId="19" quotePrefix="1" applyProtection="1" applyAlignment="1">
      <alignment horizontal="center" vertical="center"/>
    </xf>
    <xf numFmtId="0" applyNumberFormat="1" fontId="0" applyFont="1" fillId="0" applyFill="1" borderId="13" applyBorder="1" xfId="0" applyProtection="1"/>
    <xf numFmtId="0" applyNumberFormat="1" fontId="1" applyFont="1" fillId="0" applyFill="1" borderId="85" applyBorder="1" xfId="12" applyProtection="1" applyAlignment="1">
      <alignment horizontal="center" vertical="center"/>
    </xf>
    <xf numFmtId="0" applyNumberFormat="1" fontId="1" applyFont="1" fillId="0" applyFill="1" borderId="81" applyBorder="1" xfId="12" quotePrefix="1" applyProtection="1" applyAlignment="1">
      <alignment horizontal="center" vertical="center"/>
    </xf>
    <xf numFmtId="0" applyNumberFormat="1" fontId="41" applyFont="1" fillId="0" applyFill="1" borderId="81" applyBorder="1" xfId="12" applyProtection="1" applyAlignment="1">
      <alignment horizontal="center" vertical="center"/>
    </xf>
    <xf numFmtId="0" applyNumberFormat="1" fontId="40" applyFont="1" fillId="0" applyFill="1" borderId="81" applyBorder="1" xfId="26" applyProtection="1" applyAlignment="1">
      <alignment horizontal="center" vertical="center"/>
    </xf>
    <xf numFmtId="0" applyNumberFormat="1" fontId="39" applyFont="1" fillId="0" applyFill="1" borderId="81" applyBorder="1" xfId="26" applyProtection="1" applyAlignment="1">
      <alignment horizontal="center" vertical="center"/>
    </xf>
    <xf numFmtId="0" applyNumberFormat="1" fontId="1" applyFont="1" fillId="0" applyFill="1" borderId="81" applyBorder="1" xfId="12" applyProtection="1" applyAlignment="1">
      <alignment horizontal="center" vertical="center"/>
    </xf>
    <xf numFmtId="0" applyNumberFormat="1" fontId="37" applyFont="1" fillId="5" applyFill="1" borderId="83" applyBorder="1" xfId="12" applyProtection="1" applyAlignment="1">
      <alignment horizontal="center" vertical="center"/>
    </xf>
    <xf numFmtId="0" applyNumberFormat="1" fontId="0" applyFont="1" fillId="0" applyFill="1" borderId="0" applyBorder="1" xfId="0" applyProtection="1"/>
    <xf numFmtId="0" applyNumberFormat="1" fontId="1" applyFont="1" fillId="0" applyFill="1" borderId="0" applyBorder="1" xfId="12" applyProtection="1"/>
    <xf numFmtId="0" applyNumberFormat="1" fontId="1" applyFont="1" fillId="0" applyFill="1" borderId="0" applyBorder="1" xfId="12" applyProtection="1">
      <alignment wrapText="1"/>
    </xf>
    <xf numFmtId="0" applyNumberFormat="1" fontId="37" applyFont="1" fillId="5" applyFill="1" borderId="65" applyBorder="1" xfId="12" applyProtection="1" applyAlignment="1">
      <alignment horizontal="center" vertical="center"/>
    </xf>
    <xf numFmtId="0" applyNumberFormat="1" fontId="37" applyFont="1" fillId="6" applyFill="1" borderId="65" applyBorder="1" xfId="12" applyProtection="1" applyAlignment="1">
      <alignment horizontal="center" vertical="center"/>
    </xf>
    <xf numFmtId="0" applyNumberFormat="1" fontId="1" applyFont="1" fillId="0" applyFill="1" borderId="53" applyBorder="1" xfId="12" applyProtection="1" applyAlignment="1">
      <alignment horizontal="center" vertical="center"/>
    </xf>
    <xf numFmtId="0" applyNumberFormat="1" fontId="38" applyFont="1" fillId="0" applyFill="1" borderId="82" applyBorder="1" xfId="12" applyProtection="1" applyAlignment="1">
      <alignment horizontal="center" vertical="center" readingOrder="1"/>
    </xf>
    <xf numFmtId="0" applyNumberFormat="1" fontId="39" applyFont="1" fillId="0" applyFill="1" borderId="53" applyBorder="1" xfId="26" applyProtection="1" applyAlignment="1">
      <alignment horizontal="center" vertical="center"/>
    </xf>
    <xf numFmtId="0" applyNumberFormat="1" fontId="40" applyFont="1" fillId="0" applyFill="1" borderId="53" applyBorder="1" xfId="26" applyProtection="1" applyAlignment="1">
      <alignment horizontal="center" vertical="center"/>
    </xf>
    <xf numFmtId="0" applyNumberFormat="1" fontId="41" applyFont="1" fillId="0" applyFill="1" borderId="53" applyBorder="1" xfId="12" applyProtection="1" applyAlignment="1">
      <alignment horizontal="center" vertical="center"/>
    </xf>
    <xf numFmtId="0" applyNumberFormat="1" fontId="42" applyFont="1" fillId="0" applyFill="1" borderId="82" applyBorder="1" xfId="12" applyProtection="1" applyAlignment="1">
      <alignment horizontal="center" vertical="center" readingOrder="1"/>
    </xf>
    <xf numFmtId="0" applyNumberFormat="1" fontId="1" applyFont="1" fillId="0" applyFill="1" borderId="53" applyBorder="1" xfId="12" quotePrefix="1" applyProtection="1" applyAlignment="1">
      <alignment horizontal="center" vertical="center"/>
    </xf>
    <xf numFmtId="0" applyNumberFormat="1" fontId="1" applyFont="1" fillId="0" applyFill="1" borderId="62" applyBorder="1" xfId="12" applyProtection="1" applyAlignment="1">
      <alignment horizontal="center" vertical="center"/>
    </xf>
    <xf numFmtId="0" applyNumberFormat="1" fontId="41" applyFont="1" fillId="0" applyFill="1" borderId="62" applyBorder="1" xfId="12" applyProtection="1" applyAlignment="1">
      <alignment horizontal="center" vertical="center"/>
    </xf>
    <xf numFmtId="0" applyNumberFormat="1" fontId="42" applyFont="1" fillId="0" applyFill="1" borderId="87" applyBorder="1" xfId="12" applyProtection="1" applyAlignment="1">
      <alignment horizontal="center" vertical="center" readingOrder="1"/>
    </xf>
    <xf numFmtId="0" applyNumberFormat="1" fontId="42" applyFont="1" fillId="0" applyFill="1" borderId="53" applyBorder="1" xfId="12" applyProtection="1" applyAlignment="1">
      <alignment horizontal="center" vertical="center" readingOrder="1"/>
    </xf>
    <xf numFmtId="0" applyNumberFormat="1" fontId="37" applyFont="1" fillId="6" applyFill="1" borderId="84" applyBorder="1" xfId="12" applyProtection="1" applyAlignment="1">
      <alignment horizontal="center" vertical="center"/>
    </xf>
    <xf numFmtId="0" applyNumberFormat="1" fontId="1" applyFont="1" fillId="0" applyFill="1" borderId="32" applyBorder="1" xfId="12" applyProtection="1" applyAlignment="1">
      <alignment horizontal="center" vertical="center"/>
    </xf>
    <xf numFmtId="0" applyNumberFormat="1" fontId="1" applyFont="1" fillId="0" applyFill="1" borderId="86" applyBorder="1" xfId="12" applyProtection="1" applyAlignment="1">
      <alignment horizontal="center" vertical="center"/>
    </xf>
    <xf numFmtId="0" applyNumberFormat="1" fontId="27" applyFont="1" fillId="0" applyFill="1" borderId="81" applyBorder="1" xfId="25" applyProtection="1" applyAlignment="1">
      <alignment horizontal="center" vertical="center"/>
    </xf>
    <xf numFmtId="0" applyNumberFormat="1" fontId="27" applyFont="1" fillId="0" applyFill="1" borderId="32" applyBorder="1" xfId="25" applyProtection="1" applyAlignment="1">
      <alignment horizontal="center" vertical="center"/>
    </xf>
    <xf numFmtId="0" applyNumberFormat="1" fontId="27" applyFont="1" fillId="4" applyFill="1" borderId="83" applyBorder="1" xfId="25" applyProtection="1" applyAlignment="1">
      <alignment horizontal="center" vertical="center"/>
    </xf>
    <xf numFmtId="0" applyNumberFormat="1" fontId="27" applyFont="1" fillId="4" applyFill="1" borderId="84" applyBorder="1" xfId="25" applyProtection="1" applyAlignment="1">
      <alignment horizontal="center" vertical="center"/>
    </xf>
    <xf numFmtId="0" applyNumberFormat="1" fontId="27" applyFont="1" fillId="0" applyFill="1" borderId="85" applyBorder="1" xfId="25" applyProtection="1" applyAlignment="1">
      <alignment horizontal="center" vertical="center"/>
    </xf>
    <xf numFmtId="0" applyNumberFormat="1" fontId="27" applyFont="1" fillId="0" applyFill="1" borderId="86" applyBorder="1" xfId="25" applyProtection="1" applyAlignment="1">
      <alignment horizontal="center" vertical="center"/>
    </xf>
    <xf numFmtId="0" applyNumberFormat="1" fontId="27" applyFont="1" fillId="0" applyFill="1" borderId="81" applyBorder="1" xfId="25" applyProtection="1" applyAlignment="1">
      <alignment horizontal="center" vertical="center"/>
    </xf>
    <xf numFmtId="0" applyNumberFormat="1" fontId="27" applyFont="1" fillId="0" applyFill="1" borderId="32" applyBorder="1" xfId="25" applyProtection="1" applyAlignment="1">
      <alignment horizontal="center" vertical="center"/>
    </xf>
    <xf numFmtId="0" applyNumberFormat="1" fontId="27" applyFont="1" fillId="0" applyFill="1" borderId="0" applyBorder="1" xfId="16" applyProtection="1"/>
    <xf numFmtId="0" applyNumberFormat="1" fontId="36" applyFont="1" fillId="0" applyFill="1" borderId="0" applyBorder="1" xfId="17" applyProtection="1"/>
    <xf numFmtId="0" applyNumberFormat="1" fontId="27" applyFont="1" fillId="0" applyFill="1" borderId="0" applyBorder="1" xfId="16" applyProtection="1"/>
    <xf numFmtId="0" applyNumberFormat="1" fontId="30" applyFont="1" fillId="0" applyFill="1" borderId="46" applyBorder="1" xfId="16" applyProtection="1"/>
    <xf numFmtId="49" applyNumberFormat="1" fontId="31" applyFont="1" fillId="0" applyFill="1" borderId="47" applyBorder="1" xfId="16" applyProtection="1" applyAlignment="1">
      <alignment vertical="center"/>
    </xf>
    <xf numFmtId="0" applyNumberFormat="1" fontId="32" applyFont="1" fillId="0" applyFill="1" borderId="47" applyBorder="1" xfId="16" applyProtection="1" applyAlignment="1">
      <alignment horizontal="left" vertical="center"/>
    </xf>
    <xf numFmtId="0" applyNumberFormat="1" fontId="31" applyFont="1" fillId="0" applyFill="1" borderId="48" applyBorder="1" xfId="16" applyProtection="1" applyAlignment="1">
      <alignment horizontal="center"/>
    </xf>
    <xf numFmtId="0" applyNumberFormat="1" fontId="27" applyFont="1" fillId="0" applyFill="1" borderId="49" applyBorder="1" xfId="16" applyProtection="1"/>
    <xf numFmtId="49" applyNumberFormat="1" fontId="33" applyFont="1" fillId="0" applyFill="1" borderId="50" applyBorder="1" xfId="16" applyProtection="1" applyAlignment="1">
      <alignment vertical="center"/>
    </xf>
    <xf numFmtId="0" applyNumberFormat="1" fontId="34" applyFont="1" fillId="0" applyFill="1" borderId="50" applyBorder="1" xfId="16" applyProtection="1" applyAlignment="1">
      <alignment horizontal="left" vertical="center"/>
    </xf>
    <xf numFmtId="0" applyNumberFormat="1" fontId="33" applyFont="1" fillId="0" applyFill="1" borderId="51" applyBorder="1" xfId="16" applyProtection="1" applyAlignment="1">
      <alignment horizontal="center"/>
    </xf>
    <xf numFmtId="0" applyNumberFormat="1" fontId="27" applyFont="1" fillId="0" applyFill="1" borderId="52" applyBorder="1" xfId="16" applyProtection="1"/>
    <xf numFmtId="49" applyNumberFormat="1" fontId="33" applyFont="1" fillId="0" applyFill="1" borderId="53" applyBorder="1" xfId="16" applyProtection="1" applyAlignment="1">
      <alignment vertical="center"/>
    </xf>
    <xf numFmtId="0" applyNumberFormat="1" fontId="34" applyFont="1" fillId="0" applyFill="1" borderId="53" applyBorder="1" xfId="16" applyProtection="1" applyAlignment="1">
      <alignment horizontal="left" vertical="center"/>
    </xf>
    <xf numFmtId="0" applyNumberFormat="1" fontId="33" applyFont="1" fillId="0" applyFill="1" borderId="54" applyBorder="1" xfId="16" applyProtection="1" applyAlignment="1">
      <alignment horizontal="center"/>
    </xf>
    <xf numFmtId="0" applyNumberFormat="1" fontId="27" applyFont="1" fillId="0" applyFill="1" borderId="55" applyBorder="1" xfId="16" applyProtection="1"/>
    <xf numFmtId="49" applyNumberFormat="1" fontId="33" applyFont="1" fillId="0" applyFill="1" borderId="56" applyBorder="1" xfId="16" applyProtection="1" applyAlignment="1">
      <alignment vertical="center"/>
    </xf>
    <xf numFmtId="0" applyNumberFormat="1" fontId="34" applyFont="1" fillId="0" applyFill="1" borderId="56" applyBorder="1" xfId="16" applyProtection="1" applyAlignment="1">
      <alignment horizontal="left" vertical="center"/>
    </xf>
    <xf numFmtId="0" applyNumberFormat="1" fontId="33" applyFont="1" fillId="0" applyFill="1" borderId="57" applyBorder="1" xfId="16" applyProtection="1" applyAlignment="1">
      <alignment horizontal="center"/>
    </xf>
    <xf numFmtId="0" applyNumberFormat="1" fontId="27" applyFont="1" fillId="0" applyFill="1" borderId="53" applyBorder="1" xfId="16" applyProtection="1"/>
    <xf numFmtId="0" applyNumberFormat="1" fontId="27" applyFont="1" fillId="0" applyFill="1" borderId="62" applyBorder="1" xfId="16" applyProtection="1"/>
    <xf numFmtId="49" applyNumberFormat="1" fontId="33" applyFont="1" fillId="0" applyFill="1" borderId="62" applyBorder="1" xfId="16" applyProtection="1" applyAlignment="1">
      <alignment vertical="center"/>
    </xf>
    <xf numFmtId="0" applyNumberFormat="1" fontId="34" applyFont="1" fillId="0" applyFill="1" borderId="62" applyBorder="1" xfId="16" applyProtection="1" applyAlignment="1">
      <alignment horizontal="left" vertical="center"/>
    </xf>
    <xf numFmtId="0" applyNumberFormat="1" fontId="33" applyFont="1" fillId="0" applyFill="1" borderId="63" applyBorder="1" xfId="16" applyProtection="1" applyAlignment="1">
      <alignment horizontal="center"/>
    </xf>
    <xf numFmtId="0" applyNumberFormat="1" fontId="27" applyFont="1" fillId="0" applyFill="1" borderId="46" applyBorder="1" xfId="16" applyProtection="1"/>
    <xf numFmtId="49" applyNumberFormat="1" fontId="33" applyFont="1" fillId="0" applyFill="1" borderId="47" applyBorder="1" xfId="16" applyProtection="1" applyAlignment="1">
      <alignment vertical="center"/>
    </xf>
    <xf numFmtId="0" applyNumberFormat="1" fontId="34" applyFont="1" fillId="0" applyFill="1" borderId="47" applyBorder="1" xfId="16" applyProtection="1" applyAlignment="1">
      <alignment horizontal="left" vertical="center"/>
    </xf>
    <xf numFmtId="0" applyNumberFormat="1" fontId="33" applyFont="1" fillId="0" applyFill="1" borderId="48" applyBorder="1" xfId="16" applyProtection="1" applyAlignment="1">
      <alignment horizontal="center"/>
    </xf>
    <xf numFmtId="0" applyNumberFormat="1" fontId="27" applyFont="1" fillId="0" applyFill="1" borderId="64" applyBorder="1" xfId="16" applyProtection="1"/>
    <xf numFmtId="49" applyNumberFormat="1" fontId="33" applyFont="1" fillId="0" applyFill="1" borderId="65" applyBorder="1" xfId="16" applyProtection="1" applyAlignment="1">
      <alignment vertical="center"/>
    </xf>
    <xf numFmtId="0" applyNumberFormat="1" fontId="34" applyFont="1" fillId="0" applyFill="1" borderId="65" applyBorder="1" xfId="16" applyProtection="1" applyAlignment="1">
      <alignment horizontal="left" vertical="center"/>
    </xf>
    <xf numFmtId="0" applyNumberFormat="1" fontId="33" applyFont="1" fillId="0" applyFill="1" borderId="66" applyBorder="1" xfId="16" applyProtection="1" applyAlignment="1">
      <alignment horizontal="center"/>
    </xf>
    <xf numFmtId="0" applyNumberFormat="1" fontId="34" applyFont="1" fillId="0" applyFill="1" borderId="0" applyBorder="1" xfId="16" applyProtection="1" applyAlignment="1">
      <alignment horizontal="left" vertical="center"/>
    </xf>
    <xf numFmtId="0" applyNumberFormat="1" fontId="27" applyFont="1" fillId="0" applyFill="1" borderId="58" applyBorder="1" xfId="16" applyProtection="1"/>
    <xf numFmtId="49" applyNumberFormat="1" fontId="33" applyFont="1" fillId="0" applyFill="1" borderId="59" applyBorder="1" xfId="16" applyProtection="1" applyAlignment="1">
      <alignment vertical="center"/>
    </xf>
    <xf numFmtId="0" applyNumberFormat="1" fontId="34" applyFont="1" fillId="0" applyFill="1" borderId="59" applyBorder="1" xfId="16" applyProtection="1" applyAlignment="1">
      <alignment horizontal="left" vertical="center"/>
    </xf>
    <xf numFmtId="0" applyNumberFormat="1" fontId="33" applyFont="1" fillId="0" applyFill="1" borderId="60" applyBorder="1" xfId="16" applyProtection="1" applyAlignment="1">
      <alignment horizontal="center"/>
    </xf>
    <xf numFmtId="0" applyNumberFormat="1" fontId="27" applyFont="1" fillId="0" applyFill="1" borderId="61" applyBorder="1" xfId="16" applyProtection="1"/>
    <xf numFmtId="0" applyNumberFormat="1" fontId="27" applyFont="1" fillId="0" applyFill="1" borderId="67" applyBorder="1" xfId="16" applyProtection="1"/>
    <xf numFmtId="49" applyNumberFormat="1" fontId="33" applyFont="1" fillId="0" applyFill="1" borderId="68" applyBorder="1" xfId="16" applyProtection="1" applyAlignment="1">
      <alignment vertical="center"/>
    </xf>
    <xf numFmtId="0" applyNumberFormat="1" fontId="34" applyFont="1" fillId="0" applyFill="1" borderId="68" applyBorder="1" xfId="16" applyProtection="1" applyAlignment="1">
      <alignment horizontal="left" vertical="center"/>
    </xf>
    <xf numFmtId="0" applyNumberFormat="1" fontId="33" applyFont="1" fillId="0" applyFill="1" borderId="69" applyBorder="1" xfId="16" applyProtection="1" applyAlignment="1">
      <alignment horizontal="center"/>
    </xf>
    <xf numFmtId="0" applyNumberFormat="1" fontId="27" applyFont="1" fillId="0" applyFill="1" borderId="72" applyBorder="1" xfId="16" applyProtection="1"/>
    <xf numFmtId="0" applyNumberFormat="1" fontId="34" applyFont="1" fillId="0" applyFill="1" borderId="73" applyBorder="1" xfId="16" applyProtection="1" applyAlignment="1">
      <alignment horizontal="left" vertical="center"/>
    </xf>
    <xf numFmtId="0" applyNumberFormat="1" fontId="27" applyFont="1" fillId="0" applyFill="1" borderId="55" applyBorder="1" xfId="16" applyProtection="1" applyAlignment="1">
      <alignment vertical="center"/>
    </xf>
    <xf numFmtId="0" applyNumberFormat="1" fontId="33" applyFont="1" fillId="0" applyFill="1" borderId="57" applyBorder="1" xfId="16" applyProtection="1" applyAlignment="1">
      <alignment horizontal="center" wrapText="1"/>
    </xf>
    <xf numFmtId="0" applyNumberFormat="1" fontId="36" applyFont="1" fillId="0" applyFill="1" borderId="0" applyBorder="1" xfId="17" applyProtection="1"/>
    <xf numFmtId="0" applyNumberFormat="1" fontId="33" applyFont="1" fillId="0" applyFill="1" borderId="53" applyBorder="1" xfId="16" applyProtection="1" applyAlignment="1">
      <alignment vertical="center"/>
    </xf>
    <xf numFmtId="0" applyNumberFormat="1" fontId="0" applyFont="1" fillId="0" applyFill="1" borderId="41" applyBorder="1" xfId="0" applyProtection="1" applyAlignment="1">
      <alignment horizontal="center" vertical="center"/>
    </xf>
    <xf numFmtId="0" applyNumberFormat="1" fontId="0" applyFont="1" fillId="0" applyFill="1" borderId="42" applyBorder="1" xfId="0" applyProtection="1" applyAlignment="1">
      <alignment horizontal="center" vertical="center"/>
    </xf>
    <xf numFmtId="0" applyNumberFormat="1" fontId="0" applyFont="1" fillId="0" applyFill="1" borderId="44" applyBorder="1" xfId="0" applyProtection="1" applyAlignment="1">
      <alignment horizontal="center" vertical="center"/>
    </xf>
    <xf numFmtId="0" applyNumberFormat="1" fontId="0" applyFont="1" fillId="0" applyFill="1" borderId="43" applyBorder="1" xfId="0" applyProtection="1" applyAlignment="1">
      <alignment horizontal="center" vertical="center"/>
    </xf>
    <xf numFmtId="0" applyNumberFormat="1" fontId="0" applyFont="1" fillId="0" applyFill="1" borderId="45" applyBorder="1" xfId="0" applyProtection="1" applyAlignment="1">
      <alignment horizontal="center" vertical="center"/>
    </xf>
    <xf numFmtId="0" applyNumberFormat="1" fontId="20" applyFont="1" fillId="0" applyFill="1" borderId="80" applyBorder="1" xfId="0" applyProtection="1" applyAlignment="1">
      <alignment horizontal="center" vertical="center" wrapText="1"/>
    </xf>
    <xf numFmtId="0" applyNumberFormat="1" fontId="20" applyFont="1" fillId="0" applyFill="1" borderId="26" applyBorder="1" xfId="0" applyProtection="1" applyAlignment="1">
      <alignment horizontal="center" vertical="center" wrapText="1"/>
    </xf>
    <xf numFmtId="0" applyNumberFormat="1" fontId="20" applyFont="1" fillId="0" applyFill="1" borderId="17" applyBorder="1" xfId="0" applyProtection="1" applyAlignment="1">
      <alignment horizontal="center" vertical="center" wrapText="1"/>
    </xf>
    <xf numFmtId="0" applyNumberFormat="1" fontId="19" applyFont="1" fillId="0" applyFill="1" borderId="16" applyBorder="1" xfId="0" applyProtection="1" applyAlignment="1">
      <alignment horizontal="center" vertical="center" wrapText="1"/>
    </xf>
    <xf numFmtId="0" applyNumberFormat="1" fontId="19" applyFont="1" fillId="0" applyFill="1" borderId="26" applyBorder="1" xfId="0" applyProtection="1" applyAlignment="1">
      <alignment horizontal="center" vertical="center" wrapText="1"/>
    </xf>
    <xf numFmtId="2" applyNumberFormat="1" fontId="23" applyFont="1" fillId="0" applyFill="1" borderId="12" applyBorder="1" xfId="19" applyProtection="1" applyAlignment="1">
      <alignment horizontal="center" vertical="center"/>
    </xf>
    <xf numFmtId="2" applyNumberFormat="1" fontId="23" applyFont="1" fillId="0" applyFill="1" borderId="76" applyBorder="1" xfId="19" applyProtection="1" applyAlignment="1">
      <alignment horizontal="center" vertical="center"/>
    </xf>
    <xf numFmtId="2" applyNumberFormat="1" fontId="23" applyFont="1" fillId="0" applyFill="1" borderId="78" applyBorder="1" xfId="19" applyProtection="1" applyAlignment="1">
      <alignment horizontal="center" vertical="center"/>
    </xf>
    <xf numFmtId="1" applyNumberFormat="1" fontId="23" applyFont="1" fillId="0" applyFill="1" borderId="12" applyBorder="1" xfId="19" applyProtection="1" applyAlignment="1">
      <alignment horizontal="center" vertical="center"/>
    </xf>
    <xf numFmtId="1" applyNumberFormat="1" fontId="23" applyFont="1" fillId="0" applyFill="1" borderId="76" applyBorder="1" xfId="19" applyProtection="1" applyAlignment="1">
      <alignment horizontal="center" vertical="center"/>
    </xf>
    <xf numFmtId="1" applyNumberFormat="1" fontId="23" applyFont="1" fillId="0" applyFill="1" borderId="78" applyBorder="1" xfId="19" applyProtection="1" applyAlignment="1">
      <alignment horizontal="center" vertical="center"/>
    </xf>
    <xf numFmtId="1" applyNumberFormat="1" fontId="23" applyFont="1" fillId="0" applyFill="1" borderId="10" applyBorder="1" xfId="19" applyProtection="1" applyAlignment="1">
      <alignment horizontal="center" vertical="center"/>
    </xf>
    <xf numFmtId="1" applyNumberFormat="1" fontId="23" applyFont="1" fillId="0" applyFill="1" borderId="33" applyBorder="1" xfId="19" applyProtection="1" applyAlignment="1">
      <alignment horizontal="center" vertical="center"/>
    </xf>
    <xf numFmtId="1" applyNumberFormat="1" fontId="23" applyFont="1" fillId="0" applyFill="1" borderId="38" applyBorder="1" xfId="19" applyProtection="1" applyAlignment="1">
      <alignment horizontal="center" vertical="center"/>
    </xf>
    <xf numFmtId="1" applyNumberFormat="1" fontId="23" applyFont="1" fillId="0" applyFill="1" borderId="11" applyBorder="1" xfId="19" applyProtection="1" applyAlignment="1">
      <alignment horizontal="center" vertical="center"/>
    </xf>
    <xf numFmtId="1" applyNumberFormat="1" fontId="23" applyFont="1" fillId="0" applyFill="1" borderId="5" applyBorder="1" xfId="19" applyProtection="1" applyAlignment="1">
      <alignment horizontal="center" vertical="center"/>
    </xf>
    <xf numFmtId="1" applyNumberFormat="1" fontId="23" applyFont="1" fillId="0" applyFill="1" borderId="8" applyBorder="1" xfId="19" applyProtection="1" applyAlignment="1">
      <alignment horizontal="center" vertical="center"/>
    </xf>
    <xf numFmtId="0" applyNumberFormat="1" fontId="23" applyFont="1" fillId="0" applyFill="1" borderId="21" applyBorder="1" xfId="19" applyProtection="1" applyAlignment="1">
      <alignment horizontal="center" vertical="center"/>
    </xf>
    <xf numFmtId="0" applyNumberFormat="1" fontId="23" applyFont="1" fillId="0" applyFill="1" borderId="22" applyBorder="1" xfId="19" applyProtection="1" applyAlignment="1">
      <alignment horizontal="center" vertical="center"/>
    </xf>
    <xf numFmtId="0" applyNumberFormat="1" fontId="23" applyFont="1" fillId="0" applyFill="1" borderId="23" applyBorder="1" xfId="19" applyProtection="1" applyAlignment="1">
      <alignment horizontal="center" vertical="center"/>
    </xf>
    <xf numFmtId="49" applyNumberFormat="1" fontId="23" applyFont="1" fillId="0" applyFill="1" borderId="9" applyBorder="1" xfId="19" applyProtection="1" applyAlignment="1">
      <alignment horizontal="center" vertical="center"/>
    </xf>
    <xf numFmtId="49" applyNumberFormat="1" fontId="23" applyFont="1" fillId="0" applyFill="1" borderId="6" applyBorder="1" xfId="19" applyProtection="1" applyAlignment="1">
      <alignment horizontal="center" vertical="center"/>
    </xf>
    <xf numFmtId="49" applyNumberFormat="1" fontId="23" applyFont="1" fillId="0" applyFill="1" borderId="7" applyBorder="1" xfId="19" applyProtection="1" applyAlignment="1">
      <alignment horizontal="center" vertical="center"/>
    </xf>
    <xf numFmtId="0" applyNumberFormat="1" fontId="21" applyFont="1" fillId="2" applyFill="1" borderId="3" applyBorder="1" xfId="19" applyProtection="1" applyAlignment="1">
      <alignment horizontal="center" vertical="center"/>
    </xf>
    <xf numFmtId="0" applyNumberFormat="1" fontId="21" applyFont="1" fillId="2" applyFill="1" borderId="59" applyBorder="1" xfId="19" applyProtection="1" applyAlignment="1">
      <alignment horizontal="center" vertical="center"/>
    </xf>
    <xf numFmtId="0" applyNumberFormat="1" fontId="21" applyFont="1" fillId="2" applyFill="1" borderId="31" applyBorder="1" xfId="19" applyProtection="1" applyAlignment="1">
      <alignment horizontal="center" vertical="center"/>
    </xf>
    <xf numFmtId="0" applyNumberFormat="1" fontId="21" applyFont="1" fillId="2" applyFill="1" borderId="72" applyBorder="1" xfId="19" applyProtection="1" applyAlignment="1">
      <alignment horizontal="center" vertical="center"/>
    </xf>
    <xf numFmtId="0" applyNumberFormat="1" fontId="21" applyFont="1" fillId="2" applyFill="1" borderId="73" applyBorder="1" xfId="19" applyProtection="1" applyAlignment="1">
      <alignment horizontal="center" vertical="center"/>
    </xf>
    <xf numFmtId="0" applyNumberFormat="1" fontId="21" applyFont="1" fillId="2" applyFill="1" borderId="79" applyBorder="1" xfId="19" applyProtection="1" applyAlignment="1">
      <alignment horizontal="center" vertical="center"/>
    </xf>
    <xf numFmtId="0" applyNumberFormat="1" fontId="14" applyFont="1" fillId="0" applyFill="1" borderId="15" applyBorder="1" xfId="19" applyProtection="1" applyAlignment="1">
      <alignment horizontal="center" vertical="center" wrapText="1"/>
    </xf>
    <xf numFmtId="0" applyNumberFormat="1" fontId="14" applyFont="1" fillId="0" applyFill="1" borderId="18" applyBorder="1" xfId="19" applyProtection="1" applyAlignment="1">
      <alignment horizontal="center" vertical="center" wrapText="1"/>
    </xf>
    <xf numFmtId="0" applyNumberFormat="1" fontId="14" applyFont="1" fillId="0" applyFill="1" borderId="24" applyBorder="1" xfId="19" applyProtection="1" applyAlignment="1">
      <alignment horizontal="center" vertical="center" wrapText="1"/>
    </xf>
    <xf numFmtId="0" applyNumberFormat="1" fontId="23" applyFont="1" fillId="0" applyFill="1" borderId="16" applyBorder="1" xfId="19" applyProtection="1" applyAlignment="1">
      <alignment horizontal="center" vertical="center"/>
    </xf>
    <xf numFmtId="0" applyNumberFormat="1" fontId="23" applyFont="1" fillId="0" applyFill="1" borderId="20" applyBorder="1" xfId="19" applyProtection="1" applyAlignment="1">
      <alignment horizontal="center" vertical="center"/>
    </xf>
    <xf numFmtId="0" applyNumberFormat="1" fontId="23" applyFont="1" fillId="0" applyFill="1" borderId="17" applyBorder="1" xfId="19" applyProtection="1" applyAlignment="1">
      <alignment horizontal="center" vertical="center"/>
    </xf>
    <xf numFmtId="49" applyNumberFormat="1" fontId="23" applyFont="1" fillId="0" applyFill="1" borderId="10" applyBorder="1" xfId="19" applyProtection="1" applyAlignment="1">
      <alignment horizontal="center" vertical="center"/>
    </xf>
    <xf numFmtId="49" applyNumberFormat="1" fontId="23" applyFont="1" fillId="0" applyFill="1" borderId="33" applyBorder="1" xfId="19" applyProtection="1" applyAlignment="1">
      <alignment horizontal="center" vertical="center"/>
    </xf>
    <xf numFmtId="49" applyNumberFormat="1" fontId="23" applyFont="1" fillId="0" applyFill="1" borderId="38" applyBorder="1" xfId="19" applyProtection="1" applyAlignment="1">
      <alignment horizontal="center" vertical="center"/>
    </xf>
    <xf numFmtId="0" applyNumberFormat="1" fontId="16" applyFont="1" fillId="0" applyFill="1" borderId="16" applyBorder="1" xfId="0" applyProtection="1" applyAlignment="1">
      <alignment horizontal="center" vertical="center" wrapText="1"/>
    </xf>
    <xf numFmtId="0" applyNumberFormat="1" fontId="16" applyFont="1" fillId="0" applyFill="1" borderId="20" applyBorder="1" xfId="0" applyProtection="1" applyAlignment="1">
      <alignment horizontal="center" vertical="center" wrapText="1"/>
    </xf>
    <xf numFmtId="0" applyNumberFormat="1" fontId="16" applyFont="1" fillId="0" applyFill="1" borderId="17" applyBorder="1" xfId="0" applyProtection="1" applyAlignment="1">
      <alignment horizontal="center" vertical="center" wrapText="1"/>
    </xf>
    <xf numFmtId="0" applyNumberFormat="1" fontId="16" applyFont="1" fillId="0" applyFill="1" borderId="13" applyBorder="1" xfId="0" applyProtection="1" applyAlignment="1">
      <alignment horizontal="center" vertical="center" wrapText="1"/>
    </xf>
    <xf numFmtId="0" applyNumberFormat="1" fontId="16" applyFont="1" fillId="0" applyFill="1" borderId="0" applyBorder="1" xfId="0" applyProtection="1" applyAlignment="1">
      <alignment horizontal="center" vertical="center" wrapText="1"/>
    </xf>
    <xf numFmtId="0" applyNumberFormat="1" fontId="16" applyFont="1" fillId="0" applyFill="1" borderId="19" applyBorder="1" xfId="0" applyProtection="1" applyAlignment="1">
      <alignment horizontal="center" vertical="center" wrapText="1"/>
    </xf>
    <xf numFmtId="0" applyNumberFormat="1" fontId="16" applyFont="1" fillId="0" applyFill="1" borderId="9" applyBorder="1" xfId="0" applyProtection="1" applyAlignment="1">
      <alignment horizontal="center" vertical="center" wrapText="1"/>
    </xf>
    <xf numFmtId="0" applyNumberFormat="1" fontId="16" applyFont="1" fillId="0" applyFill="1" borderId="6" applyBorder="1" xfId="0" applyProtection="1" applyAlignment="1">
      <alignment horizontal="center" vertical="center" wrapText="1"/>
    </xf>
    <xf numFmtId="0" applyNumberFormat="1" fontId="16" applyFont="1" fillId="0" applyFill="1" borderId="7" applyBorder="1" xfId="0" applyProtection="1" applyAlignment="1">
      <alignment horizontal="center" vertical="center" wrapText="1"/>
    </xf>
    <xf numFmtId="0" applyNumberFormat="1" fontId="18" applyFont="1" fillId="0" applyFill="1" borderId="18" applyBorder="1" xfId="0" applyProtection="1" applyAlignment="1">
      <alignment horizontal="center" vertical="center" wrapText="1"/>
    </xf>
    <xf numFmtId="0" applyNumberFormat="1" fontId="28" applyFont="1" fillId="0" applyFill="1" borderId="12" applyBorder="1" xfId="19" applyProtection="1" applyAlignment="1">
      <alignment horizontal="center" vertical="center"/>
    </xf>
    <xf numFmtId="0" applyNumberFormat="1" fontId="28" applyFont="1" fillId="0" applyFill="1" borderId="76" applyBorder="1" xfId="19" applyProtection="1" applyAlignment="1">
      <alignment horizontal="center" vertical="center"/>
    </xf>
    <xf numFmtId="0" applyNumberFormat="1" fontId="28" applyFont="1" fillId="0" applyFill="1" borderId="78" applyBorder="1" xfId="19" applyProtection="1" applyAlignment="1">
      <alignment horizontal="center" vertical="center"/>
    </xf>
    <xf numFmtId="0" applyNumberFormat="1" fontId="28" applyFont="1" fillId="0" applyFill="1" borderId="21" applyBorder="1" xfId="19" applyProtection="1" applyAlignment="1">
      <alignment horizontal="center" vertical="center"/>
    </xf>
    <xf numFmtId="0" applyNumberFormat="1" fontId="28" applyFont="1" fillId="0" applyFill="1" borderId="22" applyBorder="1" xfId="19" applyProtection="1" applyAlignment="1">
      <alignment horizontal="center" vertical="center"/>
    </xf>
    <xf numFmtId="0" applyNumberFormat="1" fontId="28" applyFont="1" fillId="0" applyFill="1" borderId="23" applyBorder="1" xfId="19" applyProtection="1" applyAlignment="1">
      <alignment horizontal="center" vertical="center"/>
    </xf>
    <xf numFmtId="0" applyNumberFormat="1" fontId="28" applyFont="1" fillId="0" applyFill="1" borderId="11" applyBorder="1" xfId="19" applyProtection="1" applyAlignment="1">
      <alignment horizontal="center" vertical="center"/>
    </xf>
    <xf numFmtId="0" applyNumberFormat="1" fontId="28" applyFont="1" fillId="0" applyFill="1" borderId="5" applyBorder="1" xfId="19" applyProtection="1" applyAlignment="1">
      <alignment horizontal="center" vertical="center"/>
    </xf>
    <xf numFmtId="0" applyNumberFormat="1" fontId="28" applyFont="1" fillId="0" applyFill="1" borderId="8" applyBorder="1" xfId="19" applyProtection="1" applyAlignment="1">
      <alignment horizontal="center" vertical="center"/>
    </xf>
    <xf numFmtId="0" applyNumberFormat="1" fontId="21" applyFont="1" fillId="2" applyFill="1" borderId="2" applyBorder="1" xfId="19" applyProtection="1" applyAlignment="1">
      <alignment horizontal="center" vertical="center"/>
    </xf>
    <xf numFmtId="0" applyNumberFormat="1" fontId="21" applyFont="1" fillId="2" applyFill="1" borderId="35" applyBorder="1" xfId="19" applyProtection="1" applyAlignment="1">
      <alignment horizontal="center" vertical="center"/>
    </xf>
    <xf numFmtId="0" applyNumberFormat="1" fontId="21" applyFont="1" fillId="2" applyFill="1" borderId="29" applyBorder="1" xfId="19" applyProtection="1" applyAlignment="1">
      <alignment horizontal="center" vertical="center"/>
    </xf>
    <xf numFmtId="0" applyNumberFormat="1" fontId="21" applyFont="1" fillId="2" applyFill="1" borderId="34" applyBorder="1" xfId="19" applyProtection="1" applyAlignment="1">
      <alignment horizontal="center" vertical="center"/>
    </xf>
    <xf numFmtId="0" applyNumberFormat="1" fontId="21" applyFont="1" fillId="2" applyFill="1" borderId="28" applyBorder="1" xfId="19" applyProtection="1" applyAlignment="1">
      <alignment horizontal="center" vertical="center"/>
    </xf>
    <xf numFmtId="0" applyNumberFormat="1" fontId="18" applyFont="1" fillId="0" applyFill="1" borderId="13" applyBorder="1" xfId="0" applyProtection="1" applyAlignment="1">
      <alignment horizontal="center" vertical="center" wrapText="1"/>
    </xf>
    <xf numFmtId="0" applyNumberFormat="1" fontId="20" applyFont="1" fillId="0" applyFill="1" borderId="9" applyBorder="1" xfId="0" applyProtection="1" applyAlignment="1">
      <alignment horizontal="center" vertical="center" wrapText="1"/>
    </xf>
    <xf numFmtId="0" applyNumberFormat="1" fontId="20" applyFont="1" fillId="0" applyFill="1" borderId="6" applyBorder="1" xfId="0" applyProtection="1" applyAlignment="1">
      <alignment horizontal="center" vertical="center" wrapText="1"/>
    </xf>
    <xf numFmtId="0" applyNumberFormat="1" fontId="20" applyFont="1" fillId="0" applyFill="1" borderId="7" applyBorder="1" xfId="0" applyProtection="1" applyAlignment="1">
      <alignment horizontal="center" vertical="center" wrapText="1"/>
    </xf>
    <xf numFmtId="0" applyNumberFormat="1" fontId="28" applyFont="1" fillId="0" applyFill="1" borderId="9" applyBorder="1" xfId="19" applyProtection="1" applyAlignment="1">
      <alignment horizontal="center" vertical="center"/>
    </xf>
    <xf numFmtId="0" applyNumberFormat="1" fontId="28" applyFont="1" fillId="0" applyFill="1" borderId="6" applyBorder="1" xfId="19" applyProtection="1" applyAlignment="1">
      <alignment horizontal="center" vertical="center"/>
    </xf>
    <xf numFmtId="0" applyNumberFormat="1" fontId="28" applyFont="1" fillId="0" applyFill="1" borderId="7" applyBorder="1" xfId="19" applyProtection="1" applyAlignment="1">
      <alignment horizontal="center" vertical="center"/>
    </xf>
    <xf numFmtId="0" applyNumberFormat="1" fontId="28" applyFont="1" fillId="0" applyFill="1" borderId="16" applyBorder="1" xfId="19" applyProtection="1" applyAlignment="1">
      <alignment horizontal="center" vertical="center"/>
    </xf>
    <xf numFmtId="0" applyNumberFormat="1" fontId="28" applyFont="1" fillId="0" applyFill="1" borderId="20" applyBorder="1" xfId="19" applyProtection="1" applyAlignment="1">
      <alignment horizontal="center" vertical="center"/>
    </xf>
    <xf numFmtId="0" applyNumberFormat="1" fontId="28" applyFont="1" fillId="0" applyFill="1" borderId="17" applyBorder="1" xfId="19" applyProtection="1" applyAlignment="1">
      <alignment horizontal="center" vertical="center"/>
    </xf>
    <xf numFmtId="0" applyNumberFormat="1" fontId="19" applyFont="1" fillId="0" applyFill="1" borderId="27" applyBorder="1" xfId="0" applyProtection="1" applyAlignment="1">
      <alignment horizontal="center" vertical="center" wrapText="1"/>
    </xf>
    <xf numFmtId="0" applyNumberFormat="1" fontId="28" applyFont="1" fillId="0" applyFill="1" borderId="80" applyBorder="1" xfId="19" applyProtection="1" applyAlignment="1">
      <alignment horizontal="center" vertical="center"/>
    </xf>
    <xf numFmtId="0" applyNumberFormat="1" fontId="28" applyFont="1" fillId="0" applyFill="1" borderId="26" applyBorder="1" xfId="19" applyProtection="1" applyAlignment="1">
      <alignment horizontal="center" vertical="center"/>
    </xf>
    <xf numFmtId="0" applyNumberFormat="1" fontId="28" applyFont="1" fillId="0" applyFill="1" borderId="27" applyBorder="1" xfId="19" applyProtection="1" applyAlignment="1">
      <alignment horizontal="center" vertical="center"/>
    </xf>
    <xf numFmtId="0" applyNumberFormat="1" fontId="28" applyFont="1" fillId="0" applyFill="1" borderId="13" applyBorder="1" xfId="19" applyProtection="1" applyAlignment="1">
      <alignment horizontal="center" vertical="center"/>
    </xf>
    <xf numFmtId="0" applyNumberFormat="1" fontId="28" applyFont="1" fillId="0" applyFill="1" borderId="0" applyBorder="1" xfId="19" applyProtection="1" applyAlignment="1">
      <alignment horizontal="center" vertical="center"/>
    </xf>
    <xf numFmtId="0" applyNumberFormat="1" fontId="28" applyFont="1" fillId="0" applyFill="1" borderId="19" applyBorder="1" xfId="19" applyProtection="1" applyAlignment="1">
      <alignment horizontal="center" vertical="center"/>
    </xf>
    <xf numFmtId="2" applyNumberFormat="1" fontId="23" applyFont="1" fillId="0" applyFill="1" borderId="33" applyBorder="1" xfId="19" applyProtection="1" applyAlignment="1">
      <alignment horizontal="center" vertical="center"/>
    </xf>
    <xf numFmtId="2" applyNumberFormat="1" fontId="23" applyFont="1" fillId="0" applyFill="1" borderId="38" applyBorder="1" xfId="19" applyProtection="1" applyAlignment="1">
      <alignment horizontal="center" vertical="center"/>
    </xf>
    <xf numFmtId="14" applyNumberFormat="1" fontId="13" applyFont="1" fillId="0" applyFill="1" borderId="1" applyBorder="1" xfId="0" applyProtection="1" applyAlignment="1">
      <alignment horizontal="center" vertical="center" wrapText="1"/>
    </xf>
    <xf numFmtId="0" applyNumberFormat="1" fontId="0" applyFont="1" fillId="0" applyFill="1" borderId="1" applyBorder="1" xfId="0" applyProtection="1" applyAlignment="1">
      <alignment horizontal="center" vertical="center" wrapText="1"/>
    </xf>
    <xf numFmtId="0" applyNumberFormat="1" fontId="10" applyFont="1" fillId="0" applyFill="1" borderId="1" applyBorder="1" xfId="0" applyProtection="1" applyAlignment="1">
      <alignment horizontal="center" vertical="center"/>
    </xf>
    <xf numFmtId="0" applyNumberFormat="1" fontId="25" applyFont="1" fillId="0" applyFill="1" borderId="41" applyBorder="1" xfId="0" applyProtection="1" applyAlignment="1">
      <alignment horizontal="center" vertical="center"/>
    </xf>
    <xf numFmtId="164" applyNumberFormat="1" fontId="25" applyFont="1" fillId="0" applyFill="1" borderId="41" applyBorder="1" xfId="0" applyProtection="1" applyAlignment="1">
      <alignment horizontal="center" vertical="center"/>
    </xf>
    <xf numFmtId="0" applyNumberFormat="1" fontId="16" applyFont="1" fillId="0" applyFill="1" borderId="16" applyBorder="1" xfId="0" applyProtection="1" applyAlignment="1">
      <alignment horizontal="center" vertical="center" wrapText="1"/>
    </xf>
  </cellXfs>
  <cellStyles count="28">
    <cellStyle name="0,0_x000d__x000a_NA_x000d__x000a_" xfId="1"/>
    <cellStyle name="Normal" xfId="0" builtinId="0"/>
    <cellStyle name="Normal 12" xfId="2"/>
    <cellStyle name="Normal 12 2" xfId="3"/>
    <cellStyle name="Normal 12 3" xfId="4"/>
    <cellStyle name="Normal 12 4" xfId="5"/>
    <cellStyle name="Normal 2" xfId="6"/>
    <cellStyle name="Normal 2 2" xfId="7"/>
    <cellStyle name="Normal 2 3" xfId="8"/>
    <cellStyle name="Normal 3" xfId="9"/>
    <cellStyle name="Normal 3 2" xfId="10"/>
    <cellStyle name="Normal 3 3" xfId="11"/>
    <cellStyle name="Normal 3 3 2" xfId="12"/>
    <cellStyle name="Normal 4" xfId="13"/>
    <cellStyle name="Normal 4 2" xfId="14"/>
    <cellStyle name="Normal 4 2 2" xfId="15"/>
    <cellStyle name="Normal 4 3" xfId="16"/>
    <cellStyle name="Normal 4 4" xfId="17"/>
    <cellStyle name="Normal 4 5" xfId="18"/>
    <cellStyle name="Normal 5" xfId="19"/>
    <cellStyle name="Normal 6" xfId="20"/>
    <cellStyle name="Normal 6 2" xfId="21"/>
    <cellStyle name="Normal 6 2 2" xfId="22"/>
    <cellStyle name="Normal 6 3" xfId="23"/>
    <cellStyle name="Normal 7" xfId="24"/>
    <cellStyle name="Normal 8" xfId="25"/>
    <cellStyle name="常规 2" xfId="26"/>
    <cellStyle name="常规 6" xfId="27"/>
  </cellStyles>
  <dxfs count="439"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 patternType="solid"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 patternType="solid"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 patternType="solid"/>
      </fill>
    </dxf>
    <dxf>
      <font>
        <color theme="0"/>
      </font>
      <fill>
        <patternFill patternType="solid"/>
      </fill>
    </dxf>
    <dxf>
      <font>
        <color theme="0"/>
      </font>
      <fill>
        <patternFill patternType="solid"/>
      </fill>
    </dxf>
    <dxf>
      <font>
        <color theme="0"/>
      </font>
      <fill>
        <patternFill patternType="solid"/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  <b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  <b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fgColor theme="0"/>
          <bgColor theme="0"/>
        </patternFill>
      </fill>
    </dxf>
    <dxf>
      <fill>
        <patternFill>
          <fgColor theme="0"/>
          <bgColor theme="0"/>
        </patternFill>
      </fill>
    </dxf>
    <dxf>
      <fill>
        <patternFill>
          <fgColor theme="0"/>
          <bgColor theme="0"/>
        </patternFill>
      </fill>
    </dxf>
    <dxf>
      <fill>
        <patternFill>
          <fgColor theme="0"/>
          <bgColor theme="0"/>
        </patternFill>
      </fill>
    </dxf>
    <dxf>
      <fill>
        <patternFill>
          <fgColor theme="0"/>
          <bgColor theme="0"/>
        </patternFill>
      </fill>
    </dxf>
    <dxf>
      <fill>
        <patternFill>
          <fgColor theme="0"/>
          <bgColor theme="0"/>
        </patternFill>
      </fill>
    </dxf>
    <dxf>
      <fill>
        <patternFill patternType="solid">
          <fgColor theme="0"/>
          <bgColor theme="0"/>
        </patternFill>
      </fill>
    </dxf>
    <dxf>
      <fill>
        <patternFill>
          <fgColor theme="0"/>
          <bgColor theme="0"/>
        </patternFill>
      </fill>
    </dxf>
    <dxf>
      <fill>
        <patternFill>
          <fgColor theme="0"/>
          <bgColor theme="0"/>
        </patternFill>
      </fill>
    </dxf>
    <dxf>
      <fill>
        <patternFill>
          <fgColor theme="0"/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outline="0">
        <top style="thin">
          <color indexed="64"/>
        </top>
      </border>
    </dxf>
    <dxf>
      <border outline="0">
        <bottom style="thin">
          <color indexed="64"/>
        </bottom>
      </border>
    </dxf>
    <dxf>
      <fill>
        <patternFill patternType="solid">
          <fgColor indexed="64"/>
          <bgColor theme="6" tint="0.399975585192419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 Narrow"/>
        <scheme val="none"/>
      </font>
      <alignment horizontal="center" vertical="center" textRotation="0" wrapText="0" indent="0" justifyLastLine="0" shrinkToFit="0" readingOrder="1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outline="0">
        <left style="thin">
          <color auto="1"/>
        </left>
        <right style="thin">
          <color auto="1"/>
        </right>
        <bottom style="thin">
          <color indexed="64"/>
        </bottom>
      </border>
    </dxf>
    <dxf>
      <alignment horizontal="center" vertical="center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92D05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1"/>
        <i val="0"/>
        <strike val="0"/>
        <condense val="0"/>
        <extend val="0"/>
        <outline val="0"/>
        <shadow val="0"/>
        <sz val="11"/>
        <color theme="1"/>
        <name val="Calibri"/>
        <vertAlign val="baseline"/>
      </font>
      <fill>
        <patternFill patternType="solid">
          <fgColor indexed="64"/>
          <bgColor rgb="ff92d050"/>
        </patternFill>
      </fill>
      <border>
        <left style="thin">
          <color auto="1"/>
        </left>
        <right style="thin">
          <color auto="1"/>
        </right>
      </border>
    </dxf>
    <dxf>
      <border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sz val="11"/>
        <color auto="1"/>
        <name val="Arial Narrow"/>
        <vertAlign val="baseline"/>
      </font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indexed="64"/>
        </lef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6" tint="0.3999755851924192"/>
        </patternFill>
      </fill>
      <border>
        <left style="thin">
          <color auto="1"/>
        </left>
        <right style="thin">
          <color auto="1"/>
        </right>
      </border>
    </dxf>
    <dxf>
      <border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indexed="64"/>
        </left>
        <top style="thin">
          <color indexed="64"/>
        </top>
        <bottom style="thin">
          <color indexed="64"/>
        </bottom>
      </border>
    </dxf>
  </dxfs>
  <tableStyles count="0" defaultTableStyle="TableStyleMedium2" defaultPivotStyle="PivotStyleLight16"/>
  <colors>
    <mruColors>
      <color rgb="FFCC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23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9" Type="http://schemas.openxmlformats.org/officeDocument/2006/relationships/worksheet" Target="worksheets/sheet3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Relationship Id="rId20" Type="http://schemas.openxmlformats.org/officeDocument/2006/relationships/worksheet" Target="worksheets/sheet32.xml"/><Relationship Id="rId21" Type="http://schemas.openxmlformats.org/officeDocument/2006/relationships/worksheet" Target="worksheets/sheet33.xml"/><Relationship Id="rId22" Type="http://schemas.openxmlformats.org/officeDocument/2006/relationships/worksheet" Target="worksheets/sheet34.xml"/></Relationships>
</file>

<file path=xl/drawings/_rels/drawing1.xml.rels><?xml version="1.0" encoding="UTF-8" standalone="yes"?><Relationships xmlns="http://schemas.openxmlformats.org/package/2006/relationships"><Relationship Id="rId1" Type="http://schemas.openxmlformats.org/officeDocument/2006/relationships/image" Target="../media/image1.png"/><Relationship Id="rId2" Type="http://schemas.openxmlformats.org/officeDocument/2006/relationships/image" Target="../media/image1.png"/></Relationships>
</file>

<file path=xl/drawings/_rels/drawing2.xml.rels><?xml version="1.0" encoding="UTF-8" standalone="yes"?><Relationships xmlns="http://schemas.openxmlformats.org/package/2006/relationships"><Relationship Id="rId1" Type="http://schemas.openxmlformats.org/officeDocument/2006/relationships/image" Target="../media/image2.png"/><Relationship Id="rId2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27</xdr:row>
      <xdr:rowOff>0</xdr:rowOff>
    </xdr:from>
    <xdr:to>
      <xdr:col>5</xdr:col>
      <xdr:colOff>85725</xdr:colOff>
      <xdr:row>31</xdr:row>
      <xdr:rowOff>42734</xdr:rowOff>
    </xdr:to>
    <xdr:pic>
      <xdr:nvPicPr>
        <xdr:cNvPr id="2" name="Picture 1">
          <a:extLst>
            <a:ext uri="{FF2B5EF4-FFF2-40B4-BE49-F238E27FC236}">
              <a16:creationId xmlns=""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5006340"/>
          <a:ext cx="5755123" cy="713294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423333</xdr:colOff>
      <xdr:row>5</xdr:row>
      <xdr:rowOff>74083</xdr:rowOff>
    </xdr:from>
    <xdr:to>
      <xdr:col>19</xdr:col>
      <xdr:colOff>47625</xdr:colOff>
      <xdr:row>27</xdr:row>
      <xdr:rowOff>142088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9304000" y="1111250"/>
          <a:ext cx="2700762" cy="5084505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id="1" name="SiteListTable" displayName="SiteListTable" ref="A1:J41" totalsRowShown="0" headerRowDxfId="425" headerRowCellStyle="Normal 3 3 2" dataCellStyle="Normal 3 3 2">
  <autoFilter ref="A1:J41"/>
  <tableColumns count="10">
    <tableColumn id="1" name=" BOM Code" dataDxfId="426" dataCellStyle="Normal 3 3 2"/>
    <tableColumn id="2" name="SAP Number" dataDxfId="427" dataCellStyle="Normal 3 3 2"/>
    <tableColumn id="3" name="Type" dataDxfId="428" dataCellStyle="Normal 3 3 2"/>
    <tableColumn id="4" name="Module" dataDxfId="429" dataCellStyle="Normal 3 3 2"/>
    <tableColumn id="5" name="Reuse/replace" dataDxfId="430" dataCellStyle="Normal 3 3 2"/>
    <tableColumn id="6" name="Action" dataDxfId="431" dataCellStyle="Normal 3 3 2"/>
    <tableColumn id="7" name="De-installation Week" dataDxfId="432" dataCellStyle="Normal 3 3 2"/>
    <tableColumn id="8" name="Expected Quantity" dataDxfId="433" dataCellStyle="Normal 3 3 2"/>
    <tableColumn id="9" name="Actual Quantity" dataDxfId="434" dataCellStyle="Normal 3 3 2"/>
    <tableColumn id="10" name="Remark" dataDxfId="435" dataCellStyle="Normal 3 3 2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ScrapTable" displayName="ScrapTable" ref="A1:B188" totalsRowShown="0" headerRowDxfId="436" totalsRowBorderDxfId="408" headerRowCellStyle="Normal 8">
  <autoFilter ref="A1:B188"/>
  <tableColumns count="2">
    <tableColumn id="1" name="antenna" dataDxfId="437" dataCellStyle="Normal 8"/>
    <tableColumn id="2" name="Scrap" dataDxfId="438" dataCellStyle="Normal 8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<Relationships xmlns="http://schemas.openxmlformats.org/package/2006/relationships"><Relationship Id="rId2" Type="http://schemas.openxmlformats.org/officeDocument/2006/relationships/drawing" Target="../drawings/drawing1.xml"/></Relationships>
</file>

<file path=xl/worksheets/_rels/sheet12.xml.rels><?xml version="1.0" encoding="UTF-8" standalone="yes"?>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2.xml"/></Relationships>
</file>

<file path=xl/worksheets/_rels/sheet13.xml.rels><?xml version="1.0" encoding="UTF-8" standalone="yes"?>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1">
    <pageSetUpPr fitToPage="1"/>
  </sheetPr>
  <dimension ref="A2:Y24"/>
  <sheetViews>
    <sheetView workbookViewId="0">
      <selection activeCell="H22" sqref="H22"/>
    </sheetView>
  </sheetViews>
  <sheetFormatPr defaultColWidth="9.1328125" defaultRowHeight="12.75"/>
  <cols>
    <col min="1" max="1" width="24.1328125" customWidth="1" style="2"/>
    <col min="2" max="2" width="31" customWidth="1" style="2"/>
    <col min="3" max="3" width="9.1328125" customWidth="1" style="2"/>
    <col min="4" max="4" width="9.1328125" customWidth="1" style="2"/>
    <col min="5" max="5" width="9.265625" customWidth="1" style="2"/>
    <col min="6" max="7" width="9.1328125" customWidth="1" style="2"/>
    <col min="8" max="8" width="10.59765625" customWidth="1" style="2"/>
    <col min="9" max="9" width="9.73046875" customWidth="1" style="2"/>
    <col min="10" max="10" width="9.86328125" customWidth="1" style="2"/>
    <col min="11" max="11" width="10.3984375" customWidth="1" style="2"/>
    <col min="12" max="12" width="10.1328125" customWidth="1" style="2"/>
    <col min="13" max="13" width="11" customWidth="1" style="2"/>
    <col min="14" max="14" width="10.3984375" customWidth="1" style="2"/>
    <col min="15" max="15" width="9.59765625" customWidth="1" style="2"/>
    <col min="16" max="16" width="9.59765625" customWidth="1" style="21"/>
    <col min="17" max="17" bestFit="1" width="11.1328125" customWidth="1" style="21"/>
    <col min="18" max="18" width="10.73046875" customWidth="1" style="2"/>
    <col min="19" max="19" bestFit="1" width="12.3984375" customWidth="1" style="2"/>
    <col min="20" max="20" width="9.1328125" customWidth="1" style="2"/>
    <col min="21" max="21" bestFit="1" width="10.59765625" customWidth="1" style="2"/>
    <col min="22" max="22" width="9.73046875" customWidth="1" style="2"/>
    <col min="23" max="23" width="9.86328125" customWidth="1" style="2"/>
    <col min="24" max="24" width="12" customWidth="1" style="21"/>
    <col min="25" max="25" width="13.3984375" customWidth="1" style="21"/>
    <col min="26" max="16384" width="9.1328125" customWidth="1" style="2"/>
  </cols>
  <sheetData>
    <row r="2" ht="21" customHeight="1">
      <c r="A2" s="3" t="s">
        <v>63</v>
      </c>
      <c r="B2" s="277" t="s">
        <v>64</v>
      </c>
      <c r="D2" s="20"/>
      <c r="E2" s="34"/>
      <c r="F2" s="189" t="s">
        <v>65</v>
      </c>
      <c r="G2" s="189"/>
      <c r="H2" s="189" t="s">
        <v>66</v>
      </c>
      <c r="I2" s="189"/>
      <c r="J2" s="189" t="s">
        <v>65</v>
      </c>
      <c r="K2" s="189"/>
      <c r="L2" s="189" t="s">
        <v>66</v>
      </c>
      <c r="M2" s="190"/>
      <c r="N2" s="191" t="s">
        <v>65</v>
      </c>
      <c r="O2" s="192"/>
      <c r="P2" s="192"/>
      <c r="Q2" s="192"/>
      <c r="R2" s="192"/>
      <c r="S2" s="192"/>
      <c r="T2" s="192"/>
      <c r="U2" s="193"/>
      <c r="V2" s="189" t="s">
        <v>65</v>
      </c>
      <c r="W2" s="189"/>
      <c r="X2" s="189" t="s">
        <v>65</v>
      </c>
      <c r="Y2" s="189"/>
    </row>
    <row r="3" ht="20.25">
      <c r="A3" s="3" t="s">
        <v>67</v>
      </c>
      <c r="B3" s="277" t="s">
        <v>68</v>
      </c>
      <c r="D3" s="20"/>
      <c r="E3" s="34"/>
      <c r="F3" s="37" t="s">
        <v>69</v>
      </c>
      <c r="G3" s="35" t="s">
        <v>70</v>
      </c>
      <c r="H3" s="37" t="s">
        <v>69</v>
      </c>
      <c r="I3" s="35" t="s">
        <v>70</v>
      </c>
      <c r="J3" s="37" t="s">
        <v>69</v>
      </c>
      <c r="K3" s="35" t="s">
        <v>70</v>
      </c>
      <c r="L3" s="37" t="s">
        <v>69</v>
      </c>
      <c r="M3" s="35" t="s">
        <v>70</v>
      </c>
      <c r="N3" s="54" t="s">
        <v>69</v>
      </c>
      <c r="O3" s="35" t="s">
        <v>70</v>
      </c>
      <c r="P3" s="100" t="s">
        <v>69</v>
      </c>
      <c r="Q3" s="35" t="s">
        <v>70</v>
      </c>
      <c r="R3" s="54" t="s">
        <v>69</v>
      </c>
      <c r="S3" s="35" t="s">
        <v>70</v>
      </c>
      <c r="T3" s="54" t="s">
        <v>69</v>
      </c>
      <c r="U3" s="35" t="s">
        <v>70</v>
      </c>
      <c r="V3" s="56" t="s">
        <v>69</v>
      </c>
      <c r="W3" s="58" t="s">
        <v>70</v>
      </c>
      <c r="X3" s="100" t="s">
        <v>69</v>
      </c>
      <c r="Y3" s="58" t="s">
        <v>70</v>
      </c>
    </row>
    <row r="4" ht="20.65">
      <c r="A4" s="3" t="s">
        <v>71</v>
      </c>
      <c r="B4" s="275" t="s">
        <v>72</v>
      </c>
      <c r="D4" s="19"/>
      <c r="E4" s="34"/>
      <c r="F4" s="38" t="s">
        <v>73</v>
      </c>
      <c r="G4" s="39" t="s">
        <v>74</v>
      </c>
      <c r="H4" s="38" t="s">
        <v>75</v>
      </c>
      <c r="I4" s="39" t="s">
        <v>76</v>
      </c>
      <c r="J4" s="38" t="s">
        <v>77</v>
      </c>
      <c r="K4" s="39" t="s">
        <v>78</v>
      </c>
      <c r="L4" s="38" t="s">
        <v>79</v>
      </c>
      <c r="M4" s="39" t="s">
        <v>80</v>
      </c>
      <c r="N4" s="38" t="s">
        <v>81</v>
      </c>
      <c r="O4" s="39" t="s">
        <v>82</v>
      </c>
      <c r="P4" s="102" t="s">
        <v>83</v>
      </c>
      <c r="Q4" s="35" t="s">
        <v>84</v>
      </c>
      <c r="R4" s="38" t="s">
        <v>85</v>
      </c>
      <c r="S4" s="39" t="s">
        <v>86</v>
      </c>
      <c r="T4" s="55" t="s">
        <v>87</v>
      </c>
      <c r="U4" s="103" t="s">
        <v>88</v>
      </c>
      <c r="V4" s="57" t="s">
        <v>89</v>
      </c>
      <c r="W4" s="60" t="s">
        <v>90</v>
      </c>
      <c r="X4" s="101" t="s">
        <v>91</v>
      </c>
      <c r="Y4" s="104" t="s">
        <v>92</v>
      </c>
    </row>
    <row r="5" ht="15">
      <c r="A5" s="16" t="s">
        <v>93</v>
      </c>
      <c r="B5" s="1"/>
      <c r="C5" s="15"/>
      <c r="D5" s="19"/>
      <c r="E5" s="36" t="s">
        <v>48</v>
      </c>
      <c r="F5" s="278">
        <v>1</v>
      </c>
      <c r="G5" s="41"/>
      <c r="H5" s="278">
        <v>1</v>
      </c>
      <c r="I5" s="41"/>
      <c r="J5" s="278">
        <v>1</v>
      </c>
      <c r="K5" s="41"/>
      <c r="L5" s="278">
        <v>0</v>
      </c>
      <c r="M5" s="41"/>
      <c r="N5" s="278">
        <v>1</v>
      </c>
      <c r="O5" s="41"/>
      <c r="P5" s="279">
        <v>0</v>
      </c>
      <c r="Q5" s="41"/>
      <c r="R5" s="278">
        <v>0</v>
      </c>
      <c r="S5" s="41"/>
      <c r="T5" s="278">
        <v>0</v>
      </c>
      <c r="U5" s="41"/>
      <c r="V5" s="278">
        <v>0</v>
      </c>
      <c r="W5" s="59"/>
      <c r="X5" s="278">
        <v>0</v>
      </c>
      <c r="Y5" s="59"/>
    </row>
    <row r="6">
      <c r="A6" s="1" t="s">
        <v>94</v>
      </c>
      <c r="B6" s="276" t="s">
        <v>95</v>
      </c>
      <c r="D6" s="19"/>
      <c r="E6" s="36" t="s">
        <v>62</v>
      </c>
      <c r="F6" s="278">
        <v>1</v>
      </c>
      <c r="G6" s="41"/>
      <c r="H6" s="278">
        <v>1</v>
      </c>
      <c r="I6" s="41"/>
      <c r="J6" s="278">
        <v>1</v>
      </c>
      <c r="K6" s="41"/>
      <c r="L6" s="278">
        <v>0</v>
      </c>
      <c r="M6" s="41"/>
      <c r="N6" s="278">
        <v>1</v>
      </c>
      <c r="O6" s="41"/>
      <c r="P6" s="279">
        <v>0</v>
      </c>
      <c r="Q6" s="41"/>
      <c r="R6" s="278">
        <v>0</v>
      </c>
      <c r="S6" s="41"/>
      <c r="T6" s="278">
        <v>0</v>
      </c>
      <c r="U6" s="41"/>
      <c r="V6" s="278">
        <v>0</v>
      </c>
      <c r="W6" s="59"/>
      <c r="X6" s="278">
        <v>0</v>
      </c>
      <c r="Y6" s="59"/>
    </row>
    <row r="7">
      <c r="A7" s="1" t="s">
        <v>96</v>
      </c>
      <c r="B7" s="4"/>
      <c r="D7" s="19"/>
      <c r="E7" s="36" t="s">
        <v>0</v>
      </c>
      <c r="F7" s="40"/>
      <c r="G7" s="41"/>
      <c r="H7" s="40"/>
      <c r="I7" s="41"/>
      <c r="J7" s="40"/>
      <c r="K7" s="41"/>
      <c r="L7" s="40"/>
      <c r="M7" s="41"/>
      <c r="N7" s="40"/>
      <c r="O7" s="41"/>
      <c r="P7" s="41"/>
      <c r="Q7" s="41"/>
      <c r="R7" s="40"/>
      <c r="S7" s="41"/>
      <c r="T7" s="40"/>
      <c r="U7" s="41"/>
      <c r="V7" s="40"/>
      <c r="W7" s="59"/>
      <c r="X7" s="40"/>
      <c r="Y7" s="59"/>
    </row>
    <row r="8">
      <c r="A8" s="1" t="s">
        <v>97</v>
      </c>
      <c r="B8" s="276" t="s">
        <v>98</v>
      </c>
      <c r="C8" s="15"/>
      <c r="D8" s="19"/>
      <c r="E8" s="36" t="s">
        <v>99</v>
      </c>
      <c r="F8" s="40"/>
      <c r="G8" s="41"/>
      <c r="H8" s="40"/>
      <c r="I8" s="41"/>
      <c r="J8" s="40"/>
      <c r="K8" s="41"/>
      <c r="L8" s="40"/>
      <c r="M8" s="41"/>
      <c r="N8" s="40"/>
      <c r="O8" s="41"/>
      <c r="P8" s="41"/>
      <c r="Q8" s="41"/>
      <c r="R8" s="40"/>
      <c r="S8" s="41"/>
      <c r="T8" s="40"/>
      <c r="U8" s="41"/>
      <c r="V8" s="40"/>
      <c r="W8" s="59"/>
      <c r="X8" s="40"/>
      <c r="Y8" s="59"/>
    </row>
    <row r="9" ht="13.5" customHeight="1">
      <c r="A9" s="1" t="s">
        <v>100</v>
      </c>
      <c r="B9" s="276" t="s">
        <v>101</v>
      </c>
      <c r="C9" s="15"/>
      <c r="D9" s="19"/>
      <c r="E9" s="36" t="s">
        <v>102</v>
      </c>
      <c r="F9" s="40"/>
      <c r="G9" s="41"/>
      <c r="H9" s="40"/>
      <c r="I9" s="41"/>
      <c r="J9" s="40"/>
      <c r="K9" s="41"/>
      <c r="L9" s="40"/>
      <c r="M9" s="41"/>
      <c r="N9" s="40"/>
      <c r="O9" s="41"/>
      <c r="P9" s="41"/>
      <c r="Q9" s="41"/>
      <c r="R9" s="40"/>
      <c r="S9" s="41"/>
      <c r="T9" s="40"/>
      <c r="U9" s="41"/>
      <c r="V9" s="40"/>
      <c r="W9" s="59"/>
      <c r="X9" s="40"/>
      <c r="Y9" s="59"/>
    </row>
    <row r="10">
      <c r="A10" s="1" t="s">
        <v>103</v>
      </c>
      <c r="B10" s="276" t="s">
        <v>104</v>
      </c>
      <c r="C10" s="15"/>
      <c r="D10" s="19"/>
      <c r="E10" s="36" t="s">
        <v>105</v>
      </c>
      <c r="F10" s="40"/>
      <c r="G10" s="41"/>
      <c r="H10" s="40"/>
      <c r="I10" s="41"/>
      <c r="J10" s="40"/>
      <c r="K10" s="41"/>
      <c r="L10" s="40"/>
      <c r="M10" s="41"/>
      <c r="N10" s="40"/>
      <c r="O10" s="41"/>
      <c r="P10" s="41"/>
      <c r="Q10" s="41"/>
      <c r="R10" s="40"/>
      <c r="S10" s="41"/>
      <c r="T10" s="40"/>
      <c r="U10" s="41"/>
      <c r="V10" s="40"/>
      <c r="W10" s="59"/>
      <c r="X10" s="40"/>
      <c r="Y10" s="59"/>
    </row>
    <row r="11">
      <c r="A11" s="1" t="s">
        <v>106</v>
      </c>
      <c r="B11" s="276" t="s">
        <v>107</v>
      </c>
      <c r="E11" s="36" t="s">
        <v>108</v>
      </c>
      <c r="F11" s="40"/>
      <c r="G11" s="41"/>
      <c r="H11" s="40"/>
      <c r="I11" s="41"/>
      <c r="J11" s="40"/>
      <c r="K11" s="41"/>
      <c r="L11" s="40"/>
      <c r="M11" s="41"/>
      <c r="N11" s="40"/>
      <c r="O11" s="41"/>
      <c r="P11" s="41"/>
      <c r="Q11" s="41"/>
      <c r="R11" s="40"/>
      <c r="S11" s="41"/>
      <c r="T11" s="40"/>
      <c r="U11" s="41"/>
      <c r="V11" s="40"/>
      <c r="W11" s="59"/>
      <c r="X11" s="40"/>
      <c r="Y11" s="59"/>
    </row>
    <row r="12">
      <c r="A12" s="1" t="s">
        <v>109</v>
      </c>
      <c r="B12" s="276">
        <v>43.55049916666666</v>
      </c>
      <c r="E12" s="36" t="s">
        <v>110</v>
      </c>
      <c r="F12" s="40"/>
      <c r="G12" s="41"/>
      <c r="H12" s="40"/>
      <c r="I12" s="41"/>
      <c r="J12" s="40"/>
      <c r="K12" s="41"/>
      <c r="L12" s="40"/>
      <c r="M12" s="41"/>
      <c r="N12" s="40"/>
      <c r="O12" s="41"/>
      <c r="P12" s="41"/>
      <c r="Q12" s="41"/>
      <c r="R12" s="40"/>
      <c r="S12" s="41"/>
      <c r="T12" s="40"/>
      <c r="U12" s="41"/>
      <c r="V12" s="40"/>
      <c r="W12" s="59"/>
      <c r="X12" s="40"/>
      <c r="Y12" s="59"/>
    </row>
    <row r="13">
      <c r="A13" s="1" t="s">
        <v>111</v>
      </c>
      <c r="B13" s="276">
        <v>27.165284999999997</v>
      </c>
      <c r="E13" s="36" t="s">
        <v>112</v>
      </c>
      <c r="F13" s="40"/>
      <c r="G13" s="41"/>
      <c r="H13" s="40"/>
      <c r="I13" s="41"/>
      <c r="J13" s="40"/>
      <c r="K13" s="41"/>
      <c r="L13" s="40"/>
      <c r="M13" s="41"/>
      <c r="N13" s="40"/>
      <c r="O13" s="41"/>
      <c r="P13" s="41"/>
      <c r="Q13" s="41"/>
      <c r="R13" s="40"/>
      <c r="S13" s="41"/>
      <c r="T13" s="40"/>
      <c r="U13" s="41"/>
      <c r="V13" s="40"/>
      <c r="W13" s="59"/>
      <c r="X13" s="40"/>
      <c r="Y13" s="59"/>
    </row>
    <row r="14">
      <c r="A14" s="1" t="s">
        <v>113</v>
      </c>
      <c r="B14" s="276" t="s">
        <v>114</v>
      </c>
    </row>
    <row r="15">
      <c r="A15" s="1" t="s">
        <v>115</v>
      </c>
      <c r="B15" s="276">
        <v>15</v>
      </c>
    </row>
    <row r="16">
      <c r="A16" s="1" t="s">
        <v>116</v>
      </c>
      <c r="B16" s="276" t="s">
        <v>117</v>
      </c>
    </row>
    <row r="17">
      <c r="A17" s="1" t="s">
        <v>118</v>
      </c>
      <c r="B17" s="276" t="s">
        <v>119</v>
      </c>
    </row>
    <row r="18">
      <c r="A18" s="1" t="s">
        <v>120</v>
      </c>
      <c r="B18" s="4"/>
    </row>
    <row r="19" s="21" customFormat="1">
      <c r="A19" s="1" t="s">
        <v>121</v>
      </c>
      <c r="B19" s="23"/>
    </row>
    <row r="20">
      <c r="A20" s="1" t="s">
        <v>122</v>
      </c>
      <c r="B20" s="4"/>
    </row>
    <row r="21">
      <c r="A21" s="1" t="s">
        <v>123</v>
      </c>
      <c r="B21" s="4"/>
    </row>
    <row r="22">
      <c r="A22" s="1" t="s">
        <v>124</v>
      </c>
      <c r="B22" s="276" t="s">
        <v>125</v>
      </c>
    </row>
    <row r="23">
      <c r="A23" s="1" t="s">
        <v>126</v>
      </c>
      <c r="B23" s="276" t="s">
        <v>127</v>
      </c>
      <c r="E23" s="17"/>
    </row>
    <row r="24">
      <c r="A24" s="1" t="s">
        <v>128</v>
      </c>
      <c r="B24" s="276" t="s">
        <v>129</v>
      </c>
    </row>
  </sheetData>
  <mergeCells>
    <mergeCell ref="X2:Y2"/>
    <mergeCell ref="V2:W2"/>
    <mergeCell ref="F2:G2"/>
    <mergeCell ref="H2:I2"/>
    <mergeCell ref="J2:K2"/>
    <mergeCell ref="L2:M2"/>
    <mergeCell ref="N2:U2"/>
  </mergeCells>
  <conditionalFormatting sqref="G5:G13">
    <cfRule type="expression" dxfId="0" priority="22">
      <formula>$G5&lt;&gt;$F5</formula>
    </cfRule>
  </conditionalFormatting>
  <conditionalFormatting sqref="I5:I13">
    <cfRule type="expression" dxfId="0" priority="21">
      <formula>$I5&lt;&gt;$H5</formula>
    </cfRule>
  </conditionalFormatting>
  <conditionalFormatting sqref="K5:K13">
    <cfRule type="expression" dxfId="0" priority="20">
      <formula>$K5&lt;&gt;$J5</formula>
    </cfRule>
  </conditionalFormatting>
  <conditionalFormatting sqref="M5:M13">
    <cfRule type="expression" dxfId="0" priority="19">
      <formula>$M5&lt;&gt;$L5</formula>
    </cfRule>
  </conditionalFormatting>
  <conditionalFormatting sqref="O5:O13">
    <cfRule type="expression" dxfId="0" priority="18">
      <formula>$O5&lt;&gt;$N5</formula>
    </cfRule>
  </conditionalFormatting>
  <conditionalFormatting sqref="Q5:Q13">
    <cfRule type="expression" dxfId="0" priority="17">
      <formula>$Q5&lt;&gt;$P5</formula>
    </cfRule>
  </conditionalFormatting>
  <conditionalFormatting sqref="S5:S13">
    <cfRule type="expression" dxfId="0" priority="16">
      <formula>$S5&lt;&gt;$R5</formula>
    </cfRule>
  </conditionalFormatting>
  <conditionalFormatting sqref="U5:U13">
    <cfRule type="expression" dxfId="0" priority="15">
      <formula>$U5&lt;&gt;$T5</formula>
    </cfRule>
  </conditionalFormatting>
  <conditionalFormatting sqref="W5:W13">
    <cfRule type="expression" dxfId="0" priority="12">
      <formula>$W5&lt;&gt;$V5</formula>
    </cfRule>
  </conditionalFormatting>
  <conditionalFormatting sqref="Y5:Y13">
    <cfRule type="expression" dxfId="0" priority="11">
      <formula>$Y5&lt;&gt;$X5</formula>
    </cfRule>
  </conditionalFormatting>
  <conditionalFormatting sqref="G5:G13">
    <cfRule type="expression" dxfId="386" priority="10">
      <formula>ISBLANK($G5)</formula>
    </cfRule>
  </conditionalFormatting>
  <conditionalFormatting sqref="I5:I13">
    <cfRule type="expression" dxfId="386" priority="9">
      <formula>ISBLANK($I5)</formula>
    </cfRule>
  </conditionalFormatting>
  <conditionalFormatting sqref="K5:K13">
    <cfRule type="expression" dxfId="386" priority="8">
      <formula>ISBLANK($K5)</formula>
    </cfRule>
  </conditionalFormatting>
  <conditionalFormatting sqref="M5:M13">
    <cfRule type="expression" dxfId="392" priority="7">
      <formula>ISBLANK($M5)</formula>
    </cfRule>
  </conditionalFormatting>
  <conditionalFormatting sqref="O5:O13">
    <cfRule type="expression" dxfId="386" priority="6">
      <formula>ISBLANK($O5)</formula>
    </cfRule>
  </conditionalFormatting>
  <conditionalFormatting sqref="Q5:Q13">
    <cfRule type="expression" dxfId="386" priority="5">
      <formula>ISBLANK($Q5)</formula>
    </cfRule>
  </conditionalFormatting>
  <conditionalFormatting sqref="S5:S13">
    <cfRule type="expression" dxfId="386" priority="4">
      <formula>ISBLANK($S5)</formula>
    </cfRule>
  </conditionalFormatting>
  <conditionalFormatting sqref="U5:U13">
    <cfRule type="expression" dxfId="386" priority="3">
      <formula>ISBLANK($U5)</formula>
    </cfRule>
  </conditionalFormatting>
  <conditionalFormatting sqref="W5:W13">
    <cfRule type="expression" dxfId="386" priority="2">
      <formula>ISBLANK($W5)</formula>
    </cfRule>
  </conditionalFormatting>
  <conditionalFormatting sqref="Y5:Y13">
    <cfRule type="expression" dxfId="386" priority="1">
      <formula>ISBLANK($Y5)</formula>
    </cfRule>
  </conditionalFormatting>
  <dataValidations count="45">
    <dataValidation type="list" xr:uid="{7071AA06-23F5-4104-B998-12A12951B9D5}" sqref="B18" showErrorMessage="1" errorTitle="An invalid feedback was entered" error="Please choose feedback from drop down only.">
      <formula1>"APM30,OMB,TMC,VIRTUAL,pico 3911B,BTS3911E"</formula1>
    </dataValidation>
    <dataValidation type="list" xr:uid="{79D53AED-323B-48BF-83D4-BEA33BF0D467}" sqref="C18" showErrorMessage="1" errorTitle="An invalid feedback was entered" error="Please choose feedback from drop down only.">
      <formula1>"APM30,OMB,TMC,VIRTUAL,pico 3911B,BTS3911E"</formula1>
    </dataValidation>
    <dataValidation type="list" xr:uid="{556340A7-60C6-4E1B-A0B2-A4668510D237}" sqref="D18" showErrorMessage="1" errorTitle="An invalid feedback was entered" error="Please choose feedback from drop down only.">
      <formula1>"APM30,OMB,TMC,VIRTUAL,pico 3911B,BTS3911E"</formula1>
    </dataValidation>
    <dataValidation type="list" xr:uid="{1A0DFBAF-E7D5-4690-A3CF-C83134D4BED2}" sqref="E18" showErrorMessage="1" errorTitle="An invalid feedback was entered" error="Please choose feedback from drop down only.">
      <formula1>"APM30,OMB,TMC,VIRTUAL,pico 3911B,BTS3911E"</formula1>
    </dataValidation>
    <dataValidation type="list" xr:uid="{F102A4EB-5EC7-48AF-A8A6-DD7839914561}" sqref="F18" showErrorMessage="1" errorTitle="An invalid feedback was entered" error="Please choose feedback from drop down only.">
      <formula1>"APM30,OMB,TMC,VIRTUAL,pico 3911B,BTS3911E"</formula1>
    </dataValidation>
    <dataValidation type="list" xr:uid="{78BB0120-533B-47BB-ACF0-95CA79744096}" sqref="G18" showErrorMessage="1" errorTitle="An invalid feedback was entered" error="Please choose feedback from drop down only.">
      <formula1>"APM30,OMB,TMC,VIRTUAL,pico 3911B,BTS3911E"</formula1>
    </dataValidation>
    <dataValidation type="list" xr:uid="{D2452794-13D8-4947-9EDF-6BB2423F930C}" sqref="H18" showErrorMessage="1" errorTitle="An invalid feedback was entered" error="Please choose feedback from drop down only.">
      <formula1>"APM30,OMB,TMC,VIRTUAL,pico 3911B,BTS3911E"</formula1>
    </dataValidation>
    <dataValidation type="list" xr:uid="{9605E3B8-4E65-4333-B88C-74BAB4372592}" sqref="I18" showErrorMessage="1" errorTitle="An invalid feedback was entered" error="Please choose feedback from drop down only.">
      <formula1>"APM30,OMB,TMC,VIRTUAL,pico 3911B,BTS3911E"</formula1>
    </dataValidation>
    <dataValidation type="list" xr:uid="{7EB1AC1B-56CB-4C52-8164-4A571F1D1071}" sqref="J18" showErrorMessage="1" errorTitle="An invalid feedback was entered" error="Please choose feedback from drop down only.">
      <formula1>"APM30,OMB,TMC,VIRTUAL,pico 3911B,BTS3911E"</formula1>
    </dataValidation>
    <dataValidation type="list" xr:uid="{D82F7E89-A97F-422B-A20C-1979B9A966FD}" sqref="K18" showErrorMessage="1" errorTitle="An invalid feedback was entered" error="Please choose feedback from drop down only.">
      <formula1>"APM30,OMB,TMC,VIRTUAL,pico 3911B,BTS3911E"</formula1>
    </dataValidation>
    <dataValidation type="list" xr:uid="{C23DAEFD-58C8-424C-9FF4-D45DEA02A03F}" sqref="L18" showErrorMessage="1" errorTitle="An invalid feedback was entered" error="Please choose feedback from drop down only.">
      <formula1>"APM30,OMB,TMC,VIRTUAL,pico 3911B,BTS3911E"</formula1>
    </dataValidation>
    <dataValidation type="list" xr:uid="{1D68D754-D19C-4461-98D5-FE5DC23FF578}" sqref="M18" showErrorMessage="1" errorTitle="An invalid feedback was entered" error="Please choose feedback from drop down only.">
      <formula1>"APM30,OMB,TMC,VIRTUAL,pico 3911B,BTS3911E"</formula1>
    </dataValidation>
    <dataValidation type="list" xr:uid="{38BDCE75-0655-4B65-B2A6-FEB961EB4FEF}" sqref="N18" showErrorMessage="1" errorTitle="An invalid feedback was entered" error="Please choose feedback from drop down only.">
      <formula1>"APM30,OMB,TMC,VIRTUAL,pico 3911B,BTS3911E"</formula1>
    </dataValidation>
    <dataValidation type="list" xr:uid="{AA6C1E16-98B1-44A8-A022-966DBCA58CD1}" sqref="O18" showErrorMessage="1" errorTitle="An invalid feedback was entered" error="Please choose feedback from drop down only.">
      <formula1>"APM30,OMB,TMC,VIRTUAL,pico 3911B,BTS3911E"</formula1>
    </dataValidation>
    <dataValidation type="list" xr:uid="{90DA781A-D26B-45B2-BC4A-71C6B5FD49F3}" sqref="P18" showErrorMessage="1" errorTitle="An invalid feedback was entered" error="Please choose feedback from drop down only.">
      <formula1>"APM30,OMB,TMC,VIRTUAL,pico 3911B,BTS3911E"</formula1>
    </dataValidation>
    <dataValidation type="list" xr:uid="{5B713FBC-32C6-46C7-9203-E32B58D53889}" sqref="B21" showErrorMessage="1" errorTitle="An invalid feedback was entered" error="Please choose feedback from drop down only.">
      <formula1>"Standard,Non standard,Fast track"</formula1>
    </dataValidation>
    <dataValidation type="list" xr:uid="{07CBA559-228C-4DA7-B398-F65170E2A569}" sqref="C21" showErrorMessage="1" errorTitle="An invalid feedback was entered" error="Please choose feedback from drop down only.">
      <formula1>"Standard,Non standard,Fast track"</formula1>
    </dataValidation>
    <dataValidation type="list" xr:uid="{D8BEAFF9-267C-4DA4-A237-7FAAD1919CFC}" sqref="D21" showErrorMessage="1" errorTitle="An invalid feedback was entered" error="Please choose feedback from drop down only.">
      <formula1>"Standard,Non standard,Fast track"</formula1>
    </dataValidation>
    <dataValidation type="list" xr:uid="{41AF9B09-93BA-4B6E-91EA-F00ED25DBE7E}" sqref="E21" showErrorMessage="1" errorTitle="An invalid feedback was entered" error="Please choose feedback from drop down only.">
      <formula1>"Standard,Non standard,Fast track"</formula1>
    </dataValidation>
    <dataValidation type="list" xr:uid="{22375B4F-8168-4406-863A-7BEE445FAF9A}" sqref="F21" showErrorMessage="1" errorTitle="An invalid feedback was entered" error="Please choose feedback from drop down only.">
      <formula1>"Standard,Non standard,Fast track"</formula1>
    </dataValidation>
    <dataValidation type="list" xr:uid="{47FE5A21-F6F8-4FD2-8CD6-9ECFD1439F92}" sqref="G21" showErrorMessage="1" errorTitle="An invalid feedback was entered" error="Please choose feedback from drop down only.">
      <formula1>"Standard,Non standard,Fast track"</formula1>
    </dataValidation>
    <dataValidation type="list" xr:uid="{26942C0C-CDCB-4332-BE5B-C6E86B353C7F}" sqref="H21" showErrorMessage="1" errorTitle="An invalid feedback was entered" error="Please choose feedback from drop down only.">
      <formula1>"Standard,Non standard,Fast track"</formula1>
    </dataValidation>
    <dataValidation type="list" xr:uid="{C2EA6038-7460-43BD-B12F-79884BC83BD1}" sqref="I21" showErrorMessage="1" errorTitle="An invalid feedback was entered" error="Please choose feedback from drop down only.">
      <formula1>"Standard,Non standard,Fast track"</formula1>
    </dataValidation>
    <dataValidation type="list" xr:uid="{FFB62466-2972-4489-9394-311BD20142C0}" sqref="J21" showErrorMessage="1" errorTitle="An invalid feedback was entered" error="Please choose feedback from drop down only.">
      <formula1>"Standard,Non standard,Fast track"</formula1>
    </dataValidation>
    <dataValidation type="list" xr:uid="{66EEFC36-C96B-4BDD-8F6A-956E64B3BE9E}" sqref="K21" showErrorMessage="1" errorTitle="An invalid feedback was entered" error="Please choose feedback from drop down only.">
      <formula1>"Standard,Non standard,Fast track"</formula1>
    </dataValidation>
    <dataValidation type="list" xr:uid="{6EAADA59-6B1F-4AC0-ABD6-C6D8DA50EC74}" sqref="L21" showErrorMessage="1" errorTitle="An invalid feedback was entered" error="Please choose feedback from drop down only.">
      <formula1>"Standard,Non standard,Fast track"</formula1>
    </dataValidation>
    <dataValidation type="list" xr:uid="{D6D487B0-3F0C-4FCC-9DBE-817F365DAA3B}" sqref="M21" showErrorMessage="1" errorTitle="An invalid feedback was entered" error="Please choose feedback from drop down only.">
      <formula1>"Standard,Non standard,Fast track"</formula1>
    </dataValidation>
    <dataValidation type="list" xr:uid="{E16C6D26-8E7C-4E01-A238-4AD947018CD5}" sqref="N21" showErrorMessage="1" errorTitle="An invalid feedback was entered" error="Please choose feedback from drop down only.">
      <formula1>"Standard,Non standard,Fast track"</formula1>
    </dataValidation>
    <dataValidation type="list" xr:uid="{37C76912-01B0-4957-B385-8A19079DB1FC}" sqref="O21" showErrorMessage="1" errorTitle="An invalid feedback was entered" error="Please choose feedback from drop down only.">
      <formula1>"Standard,Non standard,Fast track"</formula1>
    </dataValidation>
    <dataValidation type="list" xr:uid="{817029EF-D67D-4265-B2DC-5EE73C1CD7B2}" sqref="P21" showErrorMessage="1" errorTitle="An invalid feedback was entered" error="Please choose feedback from drop down only.">
      <formula1>"Standard,Non standard,Fast track"</formula1>
    </dataValidation>
    <dataValidation type="list" xr:uid="{C8BB55DC-1246-4F25-9667-73CD750B253E}" sqref="B20" showErrorMessage="1" errorTitle="An invalid feedback was entered" error="Please choose feedback from drop down only.">
      <formula1>"Rollout,VIP,3G capacity"</formula1>
    </dataValidation>
    <dataValidation type="list" xr:uid="{3EEBFD92-2E5C-4765-B099-C4426D5632CB}" sqref="C20" showErrorMessage="1" errorTitle="An invalid feedback was entered" error="Please choose feedback from drop down only.">
      <formula1>"Rollout,VIP,3G capacity"</formula1>
    </dataValidation>
    <dataValidation type="list" xr:uid="{01ACDDB3-74AF-4643-AA47-B763F736F356}" sqref="D20" showErrorMessage="1" errorTitle="An invalid feedback was entered" error="Please choose feedback from drop down only.">
      <formula1>"Rollout,VIP,3G capacity"</formula1>
    </dataValidation>
    <dataValidation type="list" xr:uid="{F93969F2-3783-485C-9BE8-987271FEB17E}" sqref="E20" showErrorMessage="1" errorTitle="An invalid feedback was entered" error="Please choose feedback from drop down only.">
      <formula1>"Rollout,VIP,3G capacity"</formula1>
    </dataValidation>
    <dataValidation type="list" xr:uid="{300FA993-E83C-4F20-86A8-2D0A417037D1}" sqref="F20" showErrorMessage="1" errorTitle="An invalid feedback was entered" error="Please choose feedback from drop down only.">
      <formula1>"Rollout,VIP,3G capacity"</formula1>
    </dataValidation>
    <dataValidation type="list" xr:uid="{6E22F05F-0D83-48BE-92AC-CB3214E63484}" sqref="G20" showErrorMessage="1" errorTitle="An invalid feedback was entered" error="Please choose feedback from drop down only.">
      <formula1>"Rollout,VIP,3G capacity"</formula1>
    </dataValidation>
    <dataValidation type="list" xr:uid="{B5907EE4-E184-49C5-BB97-62AD0AF50BAA}" sqref="H20" showErrorMessage="1" errorTitle="An invalid feedback was entered" error="Please choose feedback from drop down only.">
      <formula1>"Rollout,VIP,3G capacity"</formula1>
    </dataValidation>
    <dataValidation type="list" xr:uid="{EC4EC6DC-5634-4D22-91C2-4FF7E7861254}" sqref="I20" showErrorMessage="1" errorTitle="An invalid feedback was entered" error="Please choose feedback from drop down only.">
      <formula1>"Rollout,VIP,3G capacity"</formula1>
    </dataValidation>
    <dataValidation type="list" xr:uid="{6F041407-4A9A-4FA5-9529-35380976A8F8}" sqref="J20" showErrorMessage="1" errorTitle="An invalid feedback was entered" error="Please choose feedback from drop down only.">
      <formula1>"Rollout,VIP,3G capacity"</formula1>
    </dataValidation>
    <dataValidation type="list" xr:uid="{22E4932D-D89B-47A0-BF7C-CB64F438462B}" sqref="K20" showErrorMessage="1" errorTitle="An invalid feedback was entered" error="Please choose feedback from drop down only.">
      <formula1>"Rollout,VIP,3G capacity"</formula1>
    </dataValidation>
    <dataValidation type="list" xr:uid="{D0A6904F-845E-4A54-8F4B-115914219546}" sqref="L20" showErrorMessage="1" errorTitle="An invalid feedback was entered" error="Please choose feedback from drop down only.">
      <formula1>"Rollout,VIP,3G capacity"</formula1>
    </dataValidation>
    <dataValidation type="list" xr:uid="{69A67D38-C18B-4C46-979B-4FBA2D4CD4F9}" sqref="M20" showErrorMessage="1" errorTitle="An invalid feedback was entered" error="Please choose feedback from drop down only.">
      <formula1>"Rollout,VIP,3G capacity"</formula1>
    </dataValidation>
    <dataValidation type="list" xr:uid="{A57917A6-028A-4350-8D4A-E91DA067C40E}" sqref="N20" showErrorMessage="1" errorTitle="An invalid feedback was entered" error="Please choose feedback from drop down only.">
      <formula1>"Rollout,VIP,3G capacity"</formula1>
    </dataValidation>
    <dataValidation type="list" xr:uid="{96062600-C69B-4383-A950-E92D0663306E}" sqref="O20" showErrorMessage="1" errorTitle="An invalid feedback was entered" error="Please choose feedback from drop down only.">
      <formula1>"Rollout,VIP,3G capacity"</formula1>
    </dataValidation>
    <dataValidation type="list" xr:uid="{0C63C63A-85A0-42EC-AADB-87F279E9A008}" sqref="P20" showErrorMessage="1" errorTitle="An invalid feedback was entered" error="Please choose feedback from drop down only.">
      <formula1>"Rollout,VIP,3G capacity"</formula1>
    </dataValidation>
  </dataValidations>
  <pageMargins left="0.25" right="0.25" top="0.75" bottom="0.75" header="0.3" footer="0.3"/>
  <pageSetup scale="53" fitToHeight="0" orientation="landscape"/>
  <headerFooter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2">
    <pageSetUpPr fitToPage="1"/>
  </sheetPr>
  <dimension ref="A1:U46"/>
  <sheetViews>
    <sheetView zoomScale="90" zoomScaleNormal="90" workbookViewId="0">
      <selection sqref="A1:B1"/>
    </sheetView>
  </sheetViews>
  <sheetFormatPr defaultColWidth="9.1328125" defaultRowHeight="12.75"/>
  <cols>
    <col min="1" max="1" bestFit="1" width="10.265625" customWidth="1" style="6"/>
    <col min="2" max="2" bestFit="1" width="40.1328125" customWidth="1" style="7"/>
    <col min="3" max="5" width="9.1328125" customWidth="1" style="2"/>
    <col min="6" max="6" width="9.1328125" customWidth="1" style="21"/>
    <col min="7" max="7" width="9.1328125" customWidth="1" style="2"/>
    <col min="8" max="8" bestFit="1" width="9.3984375" customWidth="1" style="2"/>
    <col min="9" max="15" width="9.1328125" customWidth="1" style="2"/>
    <col min="16" max="16" width="9.1328125" customWidth="1" style="21"/>
    <col min="17" max="16384" width="9.1328125" customWidth="1" style="2"/>
  </cols>
  <sheetData>
    <row r="1" ht="25.15" customHeight="1">
      <c r="A1" s="197">
        <f>Common!B2</f>
        <v>0</v>
      </c>
      <c r="B1" s="198"/>
      <c r="C1" s="194" t="s">
        <v>48</v>
      </c>
      <c r="D1" s="195"/>
      <c r="E1" s="195"/>
      <c r="F1" s="195"/>
      <c r="G1" s="195"/>
      <c r="H1" s="195"/>
      <c r="I1" s="195"/>
      <c r="J1" s="195"/>
      <c r="K1" s="195"/>
      <c r="L1" s="195"/>
      <c r="M1" s="195"/>
      <c r="N1" s="195"/>
      <c r="O1" s="195"/>
      <c r="P1" s="196"/>
    </row>
    <row r="2" ht="18">
      <c r="A2" s="33"/>
      <c r="B2" s="14" t="s">
        <v>1</v>
      </c>
      <c r="C2" s="217">
        <v>1</v>
      </c>
      <c r="D2" s="218"/>
      <c r="E2" s="218"/>
      <c r="F2" s="218"/>
      <c r="G2" s="218"/>
      <c r="H2" s="219"/>
      <c r="I2" s="220">
        <v>2</v>
      </c>
      <c r="J2" s="221"/>
      <c r="K2" s="221"/>
      <c r="L2" s="222"/>
      <c r="M2" s="220">
        <v>3</v>
      </c>
      <c r="N2" s="221"/>
      <c r="O2" s="222"/>
      <c r="P2" s="72">
        <v>4</v>
      </c>
    </row>
    <row r="3" ht="17.25">
      <c r="A3" s="241"/>
      <c r="B3" s="12" t="s">
        <v>2</v>
      </c>
      <c r="C3" s="211"/>
      <c r="D3" s="212"/>
      <c r="E3" s="212"/>
      <c r="F3" s="212"/>
      <c r="G3" s="212"/>
      <c r="H3" s="212"/>
      <c r="I3" s="212"/>
      <c r="J3" s="212"/>
      <c r="K3" s="212"/>
      <c r="L3" s="212"/>
      <c r="M3" s="212"/>
      <c r="N3" s="212"/>
      <c r="O3" s="212"/>
      <c r="P3" s="213"/>
    </row>
    <row r="4" ht="25.15" s="5" customFormat="1">
      <c r="A4" s="241"/>
      <c r="B4" s="9" t="s">
        <v>3</v>
      </c>
      <c r="C4" s="242"/>
      <c r="D4" s="243"/>
      <c r="E4" s="243"/>
      <c r="F4" s="243"/>
      <c r="G4" s="243"/>
      <c r="H4" s="243"/>
      <c r="I4" s="243"/>
      <c r="J4" s="243"/>
      <c r="K4" s="243"/>
      <c r="L4" s="243"/>
      <c r="M4" s="243"/>
      <c r="N4" s="243"/>
      <c r="O4" s="243"/>
      <c r="P4" s="244"/>
    </row>
    <row r="5" ht="24.75">
      <c r="A5" s="241"/>
      <c r="B5" s="82" t="s">
        <v>4</v>
      </c>
      <c r="C5" s="245">
        <v>0</v>
      </c>
      <c r="D5" s="246"/>
      <c r="E5" s="246"/>
      <c r="F5" s="246"/>
      <c r="G5" s="246"/>
      <c r="H5" s="246"/>
      <c r="I5" s="246"/>
      <c r="J5" s="246"/>
      <c r="K5" s="246"/>
      <c r="L5" s="246"/>
      <c r="M5" s="246"/>
      <c r="N5" s="246"/>
      <c r="O5" s="246"/>
      <c r="P5" s="247"/>
    </row>
    <row r="6" ht="25.15" s="5" customFormat="1">
      <c r="A6" s="241"/>
      <c r="B6" s="83" t="s">
        <v>5</v>
      </c>
      <c r="C6" s="248"/>
      <c r="D6" s="249"/>
      <c r="E6" s="249"/>
      <c r="F6" s="249"/>
      <c r="G6" s="249"/>
      <c r="H6" s="249"/>
      <c r="I6" s="249"/>
      <c r="J6" s="249"/>
      <c r="K6" s="249"/>
      <c r="L6" s="249"/>
      <c r="M6" s="249"/>
      <c r="N6" s="249"/>
      <c r="O6" s="249"/>
      <c r="P6" s="250"/>
    </row>
    <row r="7" ht="17.25">
      <c r="A7" s="241"/>
      <c r="B7" s="8" t="s">
        <v>6</v>
      </c>
      <c r="C7" s="226" t="s">
        <v>49</v>
      </c>
      <c r="D7" s="227"/>
      <c r="E7" s="227"/>
      <c r="F7" s="227"/>
      <c r="G7" s="227"/>
      <c r="H7" s="228"/>
      <c r="I7" s="227"/>
      <c r="J7" s="227"/>
      <c r="K7" s="227"/>
      <c r="L7" s="228"/>
      <c r="M7" s="226"/>
      <c r="N7" s="227"/>
      <c r="O7" s="228"/>
      <c r="P7" s="94"/>
    </row>
    <row r="8" ht="17.65" s="5" customFormat="1">
      <c r="A8" s="241"/>
      <c r="B8" s="9" t="s">
        <v>7</v>
      </c>
      <c r="C8" s="229" t="s">
        <v>49</v>
      </c>
      <c r="D8" s="230"/>
      <c r="E8" s="230"/>
      <c r="F8" s="230"/>
      <c r="G8" s="230"/>
      <c r="H8" s="231"/>
      <c r="I8" s="229"/>
      <c r="J8" s="230"/>
      <c r="K8" s="230"/>
      <c r="L8" s="231"/>
      <c r="M8" s="229"/>
      <c r="N8" s="230"/>
      <c r="O8" s="231"/>
      <c r="P8" s="95"/>
    </row>
    <row r="9" ht="17.25">
      <c r="A9" s="241"/>
      <c r="B9" s="8" t="s">
        <v>8</v>
      </c>
      <c r="C9" s="211" t="s">
        <v>50</v>
      </c>
      <c r="D9" s="212"/>
      <c r="E9" s="212"/>
      <c r="F9" s="212"/>
      <c r="G9" s="212"/>
      <c r="H9" s="213"/>
      <c r="I9" s="212"/>
      <c r="J9" s="212"/>
      <c r="K9" s="212"/>
      <c r="L9" s="213"/>
      <c r="M9" s="211"/>
      <c r="N9" s="212"/>
      <c r="O9" s="213"/>
      <c r="P9" s="94"/>
    </row>
    <row r="10" ht="17.65" s="5" customFormat="1">
      <c r="A10" s="241"/>
      <c r="B10" s="10" t="s">
        <v>9</v>
      </c>
      <c r="C10" s="229"/>
      <c r="D10" s="230"/>
      <c r="E10" s="230"/>
      <c r="F10" s="230"/>
      <c r="G10" s="230"/>
      <c r="H10" s="231"/>
      <c r="I10" s="229"/>
      <c r="J10" s="230"/>
      <c r="K10" s="230"/>
      <c r="L10" s="231"/>
      <c r="M10" s="229"/>
      <c r="N10" s="230"/>
      <c r="O10" s="231"/>
      <c r="P10" s="95"/>
    </row>
    <row r="11" ht="17.25">
      <c r="A11" s="241"/>
      <c r="B11" s="8" t="s">
        <v>10</v>
      </c>
      <c r="C11" s="211">
        <v>15</v>
      </c>
      <c r="D11" s="212"/>
      <c r="E11" s="212"/>
      <c r="F11" s="212"/>
      <c r="G11" s="212"/>
      <c r="H11" s="213"/>
      <c r="I11" s="212"/>
      <c r="J11" s="212"/>
      <c r="K11" s="212"/>
      <c r="L11" s="213"/>
      <c r="M11" s="211"/>
      <c r="N11" s="212"/>
      <c r="O11" s="213"/>
      <c r="P11" s="94"/>
    </row>
    <row r="12" ht="17.65" s="5" customFormat="1">
      <c r="A12" s="241"/>
      <c r="B12" s="10" t="s">
        <v>11</v>
      </c>
      <c r="C12" s="214"/>
      <c r="D12" s="215"/>
      <c r="E12" s="215"/>
      <c r="F12" s="215"/>
      <c r="G12" s="215"/>
      <c r="H12" s="216"/>
      <c r="I12" s="214"/>
      <c r="J12" s="215"/>
      <c r="K12" s="215"/>
      <c r="L12" s="216"/>
      <c r="M12" s="214"/>
      <c r="N12" s="215"/>
      <c r="O12" s="216"/>
      <c r="P12" s="95"/>
    </row>
    <row r="13" ht="17.25">
      <c r="A13" s="241"/>
      <c r="B13" s="8" t="s">
        <v>12</v>
      </c>
      <c r="C13" s="211"/>
      <c r="D13" s="212"/>
      <c r="E13" s="212"/>
      <c r="F13" s="212"/>
      <c r="G13" s="212"/>
      <c r="H13" s="213"/>
      <c r="I13" s="212"/>
      <c r="J13" s="212"/>
      <c r="K13" s="212"/>
      <c r="L13" s="213"/>
      <c r="M13" s="211"/>
      <c r="N13" s="212"/>
      <c r="O13" s="213"/>
      <c r="P13" s="94"/>
    </row>
    <row r="14" ht="17.65" s="5" customFormat="1">
      <c r="A14" s="241"/>
      <c r="B14" s="10" t="s">
        <v>13</v>
      </c>
      <c r="C14" s="208"/>
      <c r="D14" s="209"/>
      <c r="E14" s="209"/>
      <c r="F14" s="209"/>
      <c r="G14" s="209"/>
      <c r="H14" s="210"/>
      <c r="I14" s="208"/>
      <c r="J14" s="209"/>
      <c r="K14" s="209"/>
      <c r="L14" s="210"/>
      <c r="M14" s="208"/>
      <c r="N14" s="209"/>
      <c r="O14" s="210"/>
      <c r="P14" s="96"/>
    </row>
    <row r="15" ht="17.25">
      <c r="A15" s="241"/>
      <c r="B15" s="8" t="s">
        <v>14</v>
      </c>
      <c r="C15" s="211">
        <v>0</v>
      </c>
      <c r="D15" s="212"/>
      <c r="E15" s="212"/>
      <c r="F15" s="212"/>
      <c r="G15" s="212"/>
      <c r="H15" s="213"/>
      <c r="I15" s="212"/>
      <c r="J15" s="212"/>
      <c r="K15" s="212"/>
      <c r="L15" s="213"/>
      <c r="M15" s="211"/>
      <c r="N15" s="212"/>
      <c r="O15" s="213"/>
      <c r="P15" s="97"/>
    </row>
    <row r="16" ht="17.25" s="5" customFormat="1">
      <c r="A16" s="241"/>
      <c r="B16" s="68" t="s">
        <v>15</v>
      </c>
      <c r="C16" s="199"/>
      <c r="D16" s="200"/>
      <c r="E16" s="200"/>
      <c r="F16" s="200"/>
      <c r="G16" s="200"/>
      <c r="H16" s="201"/>
      <c r="I16" s="202"/>
      <c r="J16" s="203"/>
      <c r="K16" s="203"/>
      <c r="L16" s="204"/>
      <c r="M16" s="205"/>
      <c r="N16" s="206"/>
      <c r="O16" s="207"/>
      <c r="P16" s="98"/>
    </row>
    <row r="17" ht="17.25">
      <c r="A17" s="241"/>
      <c r="B17" s="84" t="s">
        <v>16</v>
      </c>
      <c r="C17" s="65" t="s">
        <v>17</v>
      </c>
      <c r="D17" s="65" t="s">
        <v>18</v>
      </c>
      <c r="E17" s="65" t="s">
        <v>19</v>
      </c>
      <c r="F17" s="65" t="s">
        <v>20</v>
      </c>
      <c r="G17" s="65" t="s">
        <v>21</v>
      </c>
      <c r="H17" s="65" t="s">
        <v>22</v>
      </c>
      <c r="I17" s="65" t="s">
        <v>17</v>
      </c>
      <c r="J17" s="65" t="s">
        <v>18</v>
      </c>
      <c r="K17" s="65" t="s">
        <v>19</v>
      </c>
      <c r="L17" s="65" t="s">
        <v>20</v>
      </c>
      <c r="M17" s="65" t="s">
        <v>17</v>
      </c>
      <c r="N17" s="65" t="s">
        <v>18</v>
      </c>
      <c r="O17" s="65" t="s">
        <v>19</v>
      </c>
      <c r="P17" s="76" t="s">
        <v>17</v>
      </c>
    </row>
    <row r="18" ht="17.25" s="21" customFormat="1">
      <c r="A18" s="241"/>
      <c r="B18" s="84" t="s">
        <v>23</v>
      </c>
      <c r="C18" s="63" t="s">
        <v>51</v>
      </c>
      <c r="D18" s="64" t="s">
        <v>52</v>
      </c>
      <c r="E18" s="64" t="s">
        <v>53</v>
      </c>
      <c r="F18" s="64"/>
      <c r="G18" s="64"/>
      <c r="H18" s="65"/>
      <c r="I18" s="63"/>
      <c r="J18" s="64"/>
      <c r="K18" s="64"/>
      <c r="L18" s="65"/>
      <c r="M18" s="63"/>
      <c r="N18" s="64"/>
      <c r="O18" s="65"/>
      <c r="P18" s="77"/>
    </row>
    <row r="19" ht="17.25" s="21" customFormat="1">
      <c r="A19" s="241"/>
      <c r="B19" s="85" t="s">
        <v>24</v>
      </c>
      <c r="C19" s="99">
        <f>VLOOKUP(C8,AntennasPortName!A:H,2,FALSE)</f>
      </c>
      <c r="D19" s="99">
        <f>VLOOKUP(C8,AntennasPortName!A:H,3,FALSE)</f>
      </c>
      <c r="E19" s="99">
        <f>VLOOKUP(C8,AntennasPortName!A:H,4,FALSE)</f>
      </c>
      <c r="F19" s="99">
        <f>VLOOKUP(C8,AntennasPortName!A:H,5,FALSE)</f>
      </c>
      <c r="G19" s="99">
        <f>VLOOKUP(C8,AntennasPortName!A:H,6,FALSE)</f>
      </c>
      <c r="H19" s="99">
        <f>VLOOKUP(C8,AntennasPortName!A:H,7,FALSE)</f>
      </c>
      <c r="I19" s="99">
        <f>VLOOKUP(I8,AntennasPortName!A:H,2,FALSE)</f>
      </c>
      <c r="J19" s="99">
        <f>VLOOKUP(I8,AntennasPortName!A:H,3,FALSE)</f>
      </c>
      <c r="K19" s="99">
        <f>VLOOKUP(I8,AntennasPortName!A:H,4,FALSE)</f>
      </c>
      <c r="L19" s="99">
        <f>VLOOKUP(I8,AntennasPortName!A:H,5,FALSE)</f>
      </c>
      <c r="M19" s="99">
        <f>VLOOKUP(M8,AntennasPortName!A:H,2,FALSE)</f>
      </c>
      <c r="N19" s="99">
        <f>VLOOKUP(M8,AntennasPortName!A:H,3,FALSE)</f>
      </c>
      <c r="O19" s="99">
        <f>VLOOKUP(M8,AntennasPortName!A:H,4,FALSE)</f>
      </c>
      <c r="P19" s="99">
        <f>VLOOKUP(P8,AntennasPortName!A:H,2,FALSE)</f>
      </c>
    </row>
    <row r="20" ht="17.25">
      <c r="A20" s="241"/>
      <c r="B20" s="86" t="s">
        <v>25</v>
      </c>
      <c r="C20" s="61" t="s">
        <v>54</v>
      </c>
      <c r="D20" s="62" t="s">
        <v>55</v>
      </c>
      <c r="E20" s="62" t="s">
        <v>54</v>
      </c>
      <c r="F20" s="62"/>
      <c r="G20" s="62"/>
      <c r="H20" s="62"/>
      <c r="I20" s="61"/>
      <c r="J20" s="62"/>
      <c r="K20" s="62"/>
      <c r="L20" s="66"/>
      <c r="M20" s="67"/>
      <c r="N20" s="62"/>
      <c r="O20" s="66"/>
      <c r="P20" s="66"/>
    </row>
    <row r="21" ht="17.65">
      <c r="A21" s="241"/>
      <c r="B21" s="87" t="s">
        <v>26</v>
      </c>
      <c r="C21" s="42">
        <f>VLOOKUP(C8,Antennas!A:H,2,FALSE)</f>
      </c>
      <c r="D21" s="43">
        <f>VLOOKUP(C8,Antennas!A:H,3,FALSE)</f>
      </c>
      <c r="E21" s="43">
        <f>VLOOKUP(C8,Antennas!A:H,4,FALSE)</f>
      </c>
      <c r="F21" s="43">
        <f>VLOOKUP(C8,Antennas!A:H,5,FALSE)</f>
      </c>
      <c r="G21" s="43">
        <f>VLOOKUP(C8,Antennas!A:H,6,FALSE)</f>
      </c>
      <c r="H21" s="43">
        <f>VLOOKUP(C8,Antennas!A:H,7,FALSE)</f>
      </c>
      <c r="I21" s="43">
        <f>VLOOKUP(I8,Antennas!A:H,2,FALSE)</f>
      </c>
      <c r="J21" s="43">
        <f>VLOOKUP(I8,Antennas!A:H,3,FALSE)</f>
      </c>
      <c r="K21" s="43">
        <f>VLOOKUP(I8,Antennas!A:H,4,FALSE)</f>
      </c>
      <c r="L21" s="44">
        <f>VLOOKUP(I8,Antennas!A:H,5,FALSE)</f>
      </c>
      <c r="M21" s="45">
        <f>VLOOKUP(M8,Antennas!A:H,2,FALSE)</f>
      </c>
      <c r="N21" s="43">
        <f>VLOOKUP(M8,Antennas!A:H,3,FALSE)</f>
      </c>
      <c r="O21" s="42">
        <f>VLOOKUP(M8,Antennas!A:H,4,FALSE)</f>
      </c>
      <c r="P21" s="42">
        <f>VLOOKUP(P8,Antennas!A:H,2,FALSE)</f>
      </c>
      <c r="R21" s="17"/>
    </row>
    <row r="22" ht="17.65" s="5" customFormat="1">
      <c r="A22" s="241"/>
      <c r="B22" s="68" t="s">
        <v>27</v>
      </c>
      <c r="C22" s="46"/>
      <c r="D22" s="47"/>
      <c r="E22" s="47"/>
      <c r="F22" s="47"/>
      <c r="G22" s="47"/>
      <c r="H22" s="47"/>
      <c r="I22" s="47"/>
      <c r="J22" s="47"/>
      <c r="K22" s="47"/>
      <c r="L22" s="48"/>
      <c r="M22" s="49"/>
      <c r="N22" s="47"/>
      <c r="O22" s="50"/>
      <c r="P22" s="50"/>
    </row>
    <row r="23" ht="17.65" s="22" customFormat="1">
      <c r="A23" s="241"/>
      <c r="B23" s="68" t="s">
        <v>28</v>
      </c>
      <c r="C23" s="51"/>
      <c r="D23" s="51"/>
      <c r="E23" s="51"/>
      <c r="F23" s="51"/>
      <c r="G23" s="51"/>
      <c r="H23" s="51"/>
      <c r="I23" s="51"/>
      <c r="J23" s="51"/>
      <c r="K23" s="51"/>
      <c r="L23" s="51"/>
      <c r="M23" s="51"/>
      <c r="N23" s="51"/>
      <c r="O23" s="51"/>
      <c r="P23" s="51"/>
    </row>
    <row r="24" ht="17.25">
      <c r="A24" s="241"/>
      <c r="B24" s="88" t="s">
        <v>29</v>
      </c>
      <c r="C24" s="25" t="s">
        <v>56</v>
      </c>
      <c r="D24" s="25" t="s">
        <v>57</v>
      </c>
      <c r="E24" s="25" t="s">
        <v>57</v>
      </c>
      <c r="F24" s="25"/>
      <c r="G24" s="25"/>
      <c r="H24" s="25"/>
      <c r="I24" s="25"/>
      <c r="J24" s="25"/>
      <c r="K24" s="25"/>
      <c r="L24" s="25"/>
      <c r="M24" s="25"/>
      <c r="N24" s="25"/>
      <c r="O24" s="25"/>
      <c r="P24" s="25"/>
    </row>
    <row r="25" ht="17.65" s="5" customFormat="1">
      <c r="A25" s="241"/>
      <c r="B25" s="10" t="s">
        <v>30</v>
      </c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78"/>
    </row>
    <row r="26" ht="17.25">
      <c r="A26" s="241"/>
      <c r="B26" s="8" t="s">
        <v>31</v>
      </c>
      <c r="C26" s="24">
        <v>4</v>
      </c>
      <c r="D26" s="24">
        <v>0</v>
      </c>
      <c r="E26" s="24">
        <v>0</v>
      </c>
      <c r="F26" s="24"/>
      <c r="G26" s="24"/>
      <c r="H26" s="24"/>
      <c r="I26" s="24"/>
      <c r="J26" s="24"/>
      <c r="K26" s="24"/>
      <c r="L26" s="24"/>
      <c r="M26" s="24"/>
      <c r="N26" s="24"/>
      <c r="O26" s="24"/>
      <c r="P26" s="24"/>
    </row>
    <row r="27" ht="17.65" s="5" customFormat="1">
      <c r="A27" s="241"/>
      <c r="B27" s="89" t="s">
        <v>32</v>
      </c>
      <c r="C27" s="52"/>
      <c r="D27" s="52"/>
      <c r="E27" s="52"/>
      <c r="F27" s="52"/>
      <c r="G27" s="52"/>
      <c r="H27" s="52"/>
      <c r="I27" s="52"/>
      <c r="J27" s="52"/>
      <c r="K27" s="52"/>
      <c r="L27" s="52"/>
      <c r="M27" s="52"/>
      <c r="N27" s="52"/>
      <c r="O27" s="52"/>
      <c r="P27" s="52"/>
    </row>
    <row r="28" ht="17.25">
      <c r="A28" s="241"/>
      <c r="B28" s="88" t="s">
        <v>33</v>
      </c>
      <c r="C28" s="24"/>
      <c r="D28" s="24"/>
      <c r="E28" s="24"/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</row>
    <row r="29" ht="17.65" s="5" customFormat="1">
      <c r="A29" s="241"/>
      <c r="B29" s="9" t="s">
        <v>34</v>
      </c>
      <c r="C29" s="51"/>
      <c r="D29" s="51"/>
      <c r="E29" s="51"/>
      <c r="F29" s="51"/>
      <c r="G29" s="51"/>
      <c r="H29" s="51"/>
      <c r="I29" s="51"/>
      <c r="J29" s="51"/>
      <c r="K29" s="51"/>
      <c r="L29" s="51"/>
      <c r="M29" s="51"/>
      <c r="N29" s="51"/>
      <c r="O29" s="51"/>
      <c r="P29" s="78"/>
    </row>
    <row r="30" ht="17.25">
      <c r="A30" s="241"/>
      <c r="B30" s="8" t="s">
        <v>35</v>
      </c>
      <c r="C30" s="24" t="s">
        <v>58</v>
      </c>
      <c r="D30" s="24"/>
      <c r="E30" s="24"/>
      <c r="F30" s="24"/>
      <c r="G30" s="24"/>
      <c r="H30" s="24"/>
      <c r="I30" s="24"/>
      <c r="J30" s="24"/>
      <c r="K30" s="24"/>
      <c r="L30" s="24"/>
      <c r="M30" s="24"/>
      <c r="N30" s="24"/>
      <c r="O30" s="24"/>
      <c r="P30" s="24"/>
    </row>
    <row r="31" ht="17.65" s="5" customFormat="1">
      <c r="A31" s="241"/>
      <c r="B31" s="89" t="s">
        <v>36</v>
      </c>
      <c r="C31" s="53"/>
      <c r="D31" s="53"/>
      <c r="E31" s="53"/>
      <c r="F31" s="53"/>
      <c r="G31" s="53"/>
      <c r="H31" s="53"/>
      <c r="I31" s="53"/>
      <c r="J31" s="53"/>
      <c r="K31" s="53"/>
      <c r="L31" s="53"/>
      <c r="M31" s="53"/>
      <c r="N31" s="53"/>
      <c r="O31" s="53"/>
      <c r="P31" s="79"/>
    </row>
    <row r="32" ht="17.25">
      <c r="A32" s="241"/>
      <c r="B32" s="88" t="s">
        <v>37</v>
      </c>
      <c r="C32" s="25">
        <v>15</v>
      </c>
      <c r="D32" s="25">
        <v>0</v>
      </c>
      <c r="E32" s="25">
        <v>0</v>
      </c>
      <c r="F32" s="25"/>
      <c r="G32" s="25"/>
      <c r="H32" s="25"/>
      <c r="I32" s="25"/>
      <c r="J32" s="25"/>
      <c r="K32" s="25"/>
      <c r="L32" s="25"/>
      <c r="M32" s="25"/>
      <c r="N32" s="25"/>
      <c r="O32" s="25"/>
      <c r="P32" s="25"/>
    </row>
    <row r="33" ht="17.65" s="5" customFormat="1">
      <c r="A33" s="241"/>
      <c r="B33" s="89" t="s">
        <v>38</v>
      </c>
      <c r="C33" s="51"/>
      <c r="D33" s="51"/>
      <c r="E33" s="51"/>
      <c r="F33" s="51"/>
      <c r="G33" s="51"/>
      <c r="H33" s="51"/>
      <c r="I33" s="51"/>
      <c r="J33" s="51"/>
      <c r="K33" s="51"/>
      <c r="L33" s="51"/>
      <c r="M33" s="51"/>
      <c r="N33" s="51"/>
      <c r="O33" s="51"/>
      <c r="P33" s="78"/>
    </row>
    <row r="34" ht="17.25">
      <c r="A34" s="241"/>
      <c r="B34" s="27" t="s">
        <v>39</v>
      </c>
      <c r="C34" s="24" t="s">
        <v>59</v>
      </c>
      <c r="D34" s="24"/>
      <c r="E34" s="24"/>
      <c r="F34" s="24"/>
      <c r="G34" s="24"/>
      <c r="H34" s="24"/>
      <c r="I34" s="24"/>
      <c r="J34" s="24"/>
      <c r="K34" s="24"/>
      <c r="L34" s="24"/>
      <c r="M34" s="24"/>
      <c r="N34" s="24"/>
      <c r="O34" s="24"/>
      <c r="P34" s="24"/>
      <c r="U34" s="22"/>
    </row>
    <row r="35" ht="17.65" s="5" customFormat="1">
      <c r="A35" s="241"/>
      <c r="B35" s="28" t="s">
        <v>40</v>
      </c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78"/>
      <c r="U35" s="21"/>
    </row>
    <row r="36" ht="17.25">
      <c r="A36" s="241"/>
      <c r="B36" s="11" t="s">
        <v>41</v>
      </c>
      <c r="C36" s="25" t="s">
        <v>60</v>
      </c>
      <c r="D36" s="25"/>
      <c r="E36" s="25"/>
      <c r="F36" s="25"/>
      <c r="G36" s="25"/>
      <c r="H36" s="25"/>
      <c r="I36" s="25"/>
      <c r="J36" s="25"/>
      <c r="K36" s="25"/>
      <c r="L36" s="25"/>
      <c r="M36" s="25"/>
      <c r="N36" s="25"/>
      <c r="O36" s="25"/>
      <c r="P36" s="25"/>
    </row>
    <row r="37" ht="17.65" s="5" customFormat="1">
      <c r="A37" s="241"/>
      <c r="B37" s="28" t="s">
        <v>42</v>
      </c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78"/>
    </row>
    <row r="38" ht="17.25">
      <c r="A38" s="241"/>
      <c r="B38" s="11" t="s">
        <v>43</v>
      </c>
      <c r="C38" s="25" t="s">
        <v>61</v>
      </c>
      <c r="D38" s="25"/>
      <c r="E38" s="25"/>
      <c r="F38" s="25"/>
      <c r="G38" s="25"/>
      <c r="H38" s="25"/>
      <c r="I38" s="25"/>
      <c r="J38" s="25"/>
      <c r="K38" s="25"/>
      <c r="L38" s="25"/>
      <c r="M38" s="25"/>
      <c r="N38" s="25"/>
      <c r="O38" s="25"/>
      <c r="P38" s="25"/>
    </row>
    <row r="39" ht="17.65" s="5" customFormat="1">
      <c r="A39" s="241"/>
      <c r="B39" s="28" t="s">
        <v>44</v>
      </c>
      <c r="C39" s="51"/>
      <c r="D39" s="51"/>
      <c r="E39" s="51"/>
      <c r="F39" s="51"/>
      <c r="G39" s="51"/>
      <c r="H39" s="51"/>
      <c r="I39" s="51"/>
      <c r="J39" s="51"/>
      <c r="K39" s="51"/>
      <c r="L39" s="51"/>
      <c r="M39" s="51"/>
      <c r="N39" s="51"/>
      <c r="O39" s="51"/>
      <c r="P39" s="78"/>
    </row>
    <row r="40" ht="17.25">
      <c r="A40" s="241"/>
      <c r="B40" s="11" t="s">
        <v>45</v>
      </c>
      <c r="C40" s="26" t="s">
        <v>61</v>
      </c>
      <c r="D40" s="26"/>
      <c r="E40" s="26"/>
      <c r="F40" s="26"/>
      <c r="G40" s="26"/>
      <c r="H40" s="26"/>
      <c r="I40" s="26"/>
      <c r="J40" s="26"/>
      <c r="K40" s="26"/>
      <c r="L40" s="26"/>
      <c r="M40" s="26"/>
      <c r="N40" s="26"/>
      <c r="O40" s="26"/>
      <c r="P40" s="26"/>
    </row>
    <row r="41" ht="17.65" s="5" customFormat="1">
      <c r="A41" s="241"/>
      <c r="B41" s="29" t="s">
        <v>46</v>
      </c>
      <c r="C41" s="51"/>
      <c r="D41" s="51"/>
      <c r="E41" s="51"/>
      <c r="F41" s="51"/>
      <c r="G41" s="51"/>
      <c r="H41" s="51"/>
      <c r="I41" s="51"/>
      <c r="J41" s="51"/>
      <c r="K41" s="51"/>
      <c r="L41" s="51"/>
      <c r="M41" s="51"/>
      <c r="N41" s="51"/>
      <c r="O41" s="51"/>
      <c r="P41" s="78"/>
    </row>
    <row r="42" ht="12.75" customHeight="1">
      <c r="A42" s="223" t="s">
        <v>47</v>
      </c>
      <c r="B42" s="280"/>
      <c r="C42" s="233"/>
      <c r="D42" s="233"/>
      <c r="E42" s="233"/>
      <c r="F42" s="233"/>
      <c r="G42" s="233"/>
      <c r="H42" s="233"/>
      <c r="I42" s="233"/>
      <c r="J42" s="233"/>
      <c r="K42" s="233"/>
      <c r="L42" s="233"/>
      <c r="M42" s="233"/>
      <c r="N42" s="233"/>
      <c r="O42" s="233"/>
      <c r="P42" s="234"/>
      <c r="Q42" s="5"/>
      <c r="R42" s="5"/>
      <c r="S42" s="5"/>
    </row>
    <row r="43" ht="13.15" customHeight="1">
      <c r="A43" s="224"/>
      <c r="B43" s="235"/>
      <c r="C43" s="236"/>
      <c r="D43" s="236"/>
      <c r="E43" s="236"/>
      <c r="F43" s="236"/>
      <c r="G43" s="236"/>
      <c r="H43" s="236"/>
      <c r="I43" s="236"/>
      <c r="J43" s="236"/>
      <c r="K43" s="236"/>
      <c r="L43" s="236"/>
      <c r="M43" s="236"/>
      <c r="N43" s="236"/>
      <c r="O43" s="236"/>
      <c r="P43" s="237"/>
      <c r="Q43" s="22"/>
      <c r="R43" s="5"/>
      <c r="S43" s="5"/>
    </row>
    <row r="44" ht="13.15" customHeight="1">
      <c r="A44" s="224"/>
      <c r="B44" s="235"/>
      <c r="C44" s="236"/>
      <c r="D44" s="236"/>
      <c r="E44" s="236"/>
      <c r="F44" s="236"/>
      <c r="G44" s="236"/>
      <c r="H44" s="236"/>
      <c r="I44" s="236"/>
      <c r="J44" s="236"/>
      <c r="K44" s="236"/>
      <c r="L44" s="236"/>
      <c r="M44" s="236"/>
      <c r="N44" s="236"/>
      <c r="O44" s="236"/>
      <c r="P44" s="237"/>
      <c r="Q44" s="5"/>
      <c r="R44" s="5"/>
      <c r="S44" s="5"/>
    </row>
    <row r="45" ht="13.9" customHeight="1">
      <c r="A45" s="225"/>
      <c r="B45" s="238"/>
      <c r="C45" s="239"/>
      <c r="D45" s="239"/>
      <c r="E45" s="239"/>
      <c r="F45" s="239"/>
      <c r="G45" s="239"/>
      <c r="H45" s="239"/>
      <c r="I45" s="239"/>
      <c r="J45" s="239"/>
      <c r="K45" s="239"/>
      <c r="L45" s="239"/>
      <c r="M45" s="239"/>
      <c r="N45" s="239"/>
      <c r="O45" s="239"/>
      <c r="P45" s="240"/>
      <c r="Q45" s="5"/>
      <c r="R45" s="5"/>
      <c r="S45" s="5"/>
    </row>
    <row r="46">
      <c r="G46" s="21"/>
    </row>
  </sheetData>
  <mergeCells>
    <mergeCell ref="B42:P45"/>
    <mergeCell ref="A3:A33"/>
    <mergeCell ref="A34:A35"/>
    <mergeCell ref="A36:A41"/>
    <mergeCell ref="I11:L11"/>
    <mergeCell ref="M11:O11"/>
    <mergeCell ref="C4:P4"/>
    <mergeCell ref="C3:P3"/>
    <mergeCell ref="C5:P5"/>
    <mergeCell ref="C6:P6"/>
    <mergeCell ref="M10:O10"/>
    <mergeCell ref="C11:H11"/>
    <mergeCell ref="C2:H2"/>
    <mergeCell ref="I2:L2"/>
    <mergeCell ref="M2:O2"/>
    <mergeCell ref="A42:A45"/>
    <mergeCell ref="C7:H7"/>
    <mergeCell ref="I7:L7"/>
    <mergeCell ref="M7:O7"/>
    <mergeCell ref="C9:H9"/>
    <mergeCell ref="I9:L9"/>
    <mergeCell ref="M9:O9"/>
    <mergeCell ref="C8:H8"/>
    <mergeCell ref="I8:L8"/>
    <mergeCell ref="M8:O8"/>
    <mergeCell ref="M13:O13"/>
    <mergeCell ref="C10:H10"/>
    <mergeCell ref="I10:L10"/>
    <mergeCell ref="C1:P1"/>
    <mergeCell ref="A1:B1"/>
    <mergeCell ref="C16:H16"/>
    <mergeCell ref="I16:L16"/>
    <mergeCell ref="M16:O16"/>
    <mergeCell ref="C14:H14"/>
    <mergeCell ref="I14:L14"/>
    <mergeCell ref="M14:O14"/>
    <mergeCell ref="C15:H15"/>
    <mergeCell ref="I15:L15"/>
    <mergeCell ref="M15:O15"/>
    <mergeCell ref="C12:H12"/>
    <mergeCell ref="I12:L12"/>
    <mergeCell ref="M12:O12"/>
    <mergeCell ref="C13:H13"/>
    <mergeCell ref="I13:L13"/>
  </mergeCells>
  <conditionalFormatting sqref="C22:E22 C4 H22:O22">
    <cfRule type="cellIs" dxfId="0" priority="143" operator="greaterThan">
      <formula>0</formula>
    </cfRule>
  </conditionalFormatting>
  <conditionalFormatting sqref="C21:E21 H21:O21">
    <cfRule type="expression" dxfId="1" priority="122">
      <formula>ISERROR(C21)</formula>
    </cfRule>
  </conditionalFormatting>
  <conditionalFormatting sqref="C21:E21 H21:O21">
    <cfRule type="cellIs" dxfId="1" priority="121" operator="equal">
      <formula>0</formula>
    </cfRule>
  </conditionalFormatting>
  <conditionalFormatting sqref="C21:E21 H21:O21">
    <cfRule type="cellIs" dxfId="3" priority="120" operator="greaterThan">
      <formula>0</formula>
    </cfRule>
  </conditionalFormatting>
  <conditionalFormatting sqref="C27:O27 D29:O29 D33:O33">
    <cfRule type="cellIs" dxfId="0" priority="119" operator="notEqual">
      <formula>VALUE(C26)</formula>
    </cfRule>
  </conditionalFormatting>
  <conditionalFormatting sqref="C8:O8 C10:O10 C12:O12 C14:O14 C16:O16 C27:O27 D29:O29 D31:O31 D33:O33 D35:O35 D37:O37 D25:O25 D39:O39 D41:O41">
    <cfRule type="expression" dxfId="10" priority="113">
      <formula>ISBLANK(C8)</formula>
    </cfRule>
  </conditionalFormatting>
  <conditionalFormatting sqref="C29">
    <cfRule type="cellIs" dxfId="0" priority="115" operator="notEqual">
      <formula>VALUE(C28)</formula>
    </cfRule>
  </conditionalFormatting>
  <conditionalFormatting sqref="C29">
    <cfRule type="expression" dxfId="10" priority="114">
      <formula>ISBLANK(C29)</formula>
    </cfRule>
  </conditionalFormatting>
  <conditionalFormatting sqref="C8:O8 C10:O10 C12:O12 C14:O14 C16:O16 C31:O31 D35:O35 D37:O37 D25:O25 D39:O39 D41:O41">
    <cfRule type="cellIs" dxfId="0" priority="118" operator="notEqual">
      <formula>C7</formula>
    </cfRule>
  </conditionalFormatting>
  <conditionalFormatting sqref="C31">
    <cfRule type="expression" dxfId="10" priority="112">
      <formula>ISBLANK(C31)</formula>
    </cfRule>
  </conditionalFormatting>
  <conditionalFormatting sqref="C33">
    <cfRule type="cellIs" dxfId="0" priority="111" operator="notEqual">
      <formula>VALUE(C32)</formula>
    </cfRule>
  </conditionalFormatting>
  <conditionalFormatting sqref="C33">
    <cfRule type="expression" dxfId="10" priority="110">
      <formula>ISBLANK(C33)</formula>
    </cfRule>
  </conditionalFormatting>
  <conditionalFormatting sqref="C35">
    <cfRule type="cellIs" dxfId="0" priority="107" operator="notEqual">
      <formula>C34</formula>
    </cfRule>
  </conditionalFormatting>
  <conditionalFormatting sqref="C35">
    <cfRule type="expression" dxfId="10" priority="106">
      <formula>ISBLANK(C35)</formula>
    </cfRule>
  </conditionalFormatting>
  <conditionalFormatting sqref="C37">
    <cfRule type="cellIs" dxfId="0" priority="99" operator="notEqual">
      <formula>C36</formula>
    </cfRule>
  </conditionalFormatting>
  <conditionalFormatting sqref="C37">
    <cfRule type="expression" dxfId="10" priority="98">
      <formula>ISBLANK(C37)</formula>
    </cfRule>
  </conditionalFormatting>
  <conditionalFormatting sqref="C6">
    <cfRule type="expression" dxfId="10" priority="89">
      <formula>ISBLANK(C6)</formula>
    </cfRule>
    <cfRule type="cellIs" dxfId="0" priority="90" operator="notEqual">
      <formula>C5</formula>
    </cfRule>
  </conditionalFormatting>
  <conditionalFormatting sqref="C25">
    <cfRule type="cellIs" dxfId="0" priority="78" operator="notEqual">
      <formula>C24</formula>
    </cfRule>
  </conditionalFormatting>
  <conditionalFormatting sqref="C25">
    <cfRule type="expression" dxfId="10" priority="77">
      <formula>ISBLANK(C25)</formula>
    </cfRule>
  </conditionalFormatting>
  <conditionalFormatting sqref="C39">
    <cfRule type="cellIs" dxfId="0" priority="68" operator="notEqual">
      <formula>C38</formula>
    </cfRule>
  </conditionalFormatting>
  <conditionalFormatting sqref="C39">
    <cfRule type="expression" dxfId="10" priority="67">
      <formula>ISBLANK(C39)</formula>
    </cfRule>
  </conditionalFormatting>
  <conditionalFormatting sqref="C41">
    <cfRule type="cellIs" dxfId="0" priority="66" operator="notEqual">
      <formula>C40</formula>
    </cfRule>
  </conditionalFormatting>
  <conditionalFormatting sqref="C41">
    <cfRule type="expression" dxfId="10" priority="65">
      <formula>ISBLANK(C41)</formula>
    </cfRule>
  </conditionalFormatting>
  <conditionalFormatting sqref="C24:O41">
    <cfRule type="expression" dxfId="1" priority="64" stopIfTrue="1">
      <formula>OR(C$22="Free",C$22="Telenor",C$22="Mtel",C$22="Telenor&amp;Mtel")</formula>
    </cfRule>
  </conditionalFormatting>
  <conditionalFormatting sqref="F22:G22">
    <cfRule type="cellIs" dxfId="0" priority="22" operator="greaterThan">
      <formula>0</formula>
    </cfRule>
  </conditionalFormatting>
  <conditionalFormatting sqref="F21:G21">
    <cfRule type="expression" dxfId="1" priority="21">
      <formula>ISERROR(F21)</formula>
    </cfRule>
  </conditionalFormatting>
  <conditionalFormatting sqref="F21:G21">
    <cfRule type="cellIs" dxfId="1" priority="20" operator="equal">
      <formula>0</formula>
    </cfRule>
  </conditionalFormatting>
  <conditionalFormatting sqref="F21:G21">
    <cfRule type="cellIs" dxfId="3" priority="19" operator="greaterThan">
      <formula>0</formula>
    </cfRule>
  </conditionalFormatting>
  <conditionalFormatting sqref="P22">
    <cfRule type="cellIs" dxfId="0" priority="18" operator="greaterThan">
      <formula>0</formula>
    </cfRule>
  </conditionalFormatting>
  <conditionalFormatting sqref="P21">
    <cfRule type="expression" dxfId="1" priority="17">
      <formula>ISERROR(P21)</formula>
    </cfRule>
  </conditionalFormatting>
  <conditionalFormatting sqref="P21">
    <cfRule type="cellIs" dxfId="1" priority="16" operator="equal">
      <formula>0</formula>
    </cfRule>
  </conditionalFormatting>
  <conditionalFormatting sqref="P21">
    <cfRule type="cellIs" dxfId="3" priority="15" operator="greaterThan">
      <formula>0</formula>
    </cfRule>
  </conditionalFormatting>
  <conditionalFormatting sqref="P27 P29 P33">
    <cfRule type="cellIs" dxfId="0" priority="14" operator="notEqual">
      <formula>VALUE(P26)</formula>
    </cfRule>
  </conditionalFormatting>
  <conditionalFormatting sqref="P8 P10 P12 P14 P16 P27 P29 P31 P33 P35 P37 P25 P39 P41">
    <cfRule type="expression" dxfId="10" priority="12">
      <formula>ISBLANK(P8)</formula>
    </cfRule>
  </conditionalFormatting>
  <conditionalFormatting sqref="P8 P10 P12 P14 P16 P31 P35 P37 P25 P39 P41">
    <cfRule type="cellIs" dxfId="0" priority="13" operator="notEqual">
      <formula>P7</formula>
    </cfRule>
  </conditionalFormatting>
  <conditionalFormatting sqref="P24:P41">
    <cfRule type="expression" dxfId="1" priority="9" stopIfTrue="1">
      <formula>OR(P$22="Free",P$22="Telenor",P$22="Mtel",P$22="Telenor&amp;Mtel")</formula>
    </cfRule>
  </conditionalFormatting>
  <conditionalFormatting sqref="C19">
    <cfRule type="cellIs" dxfId="1" priority="6" operator="equal">
      <formula>0</formula>
    </cfRule>
    <cfRule type="expression" dxfId="345" priority="8">
      <formula>ISERROR(C19)</formula>
    </cfRule>
  </conditionalFormatting>
  <conditionalFormatting sqref="D19:P19">
    <cfRule type="cellIs" dxfId="1" priority="4" operator="equal">
      <formula>0</formula>
    </cfRule>
    <cfRule type="expression" dxfId="345" priority="5">
      <formula>ISERROR(D19)</formula>
    </cfRule>
  </conditionalFormatting>
  <conditionalFormatting sqref="C23:P23">
    <cfRule type="cellIs" dxfId="0" priority="3" operator="notEqual">
      <formula>C22</formula>
    </cfRule>
  </conditionalFormatting>
  <conditionalFormatting sqref="C23:P23">
    <cfRule type="expression" dxfId="10" priority="2">
      <formula>ISBLANK(C23)</formula>
    </cfRule>
  </conditionalFormatting>
  <conditionalFormatting sqref="C23:P23">
    <cfRule type="expression" dxfId="1" priority="1" stopIfTrue="1">
      <formula>OR(C$22="Free",C$22="Telenor",C$22="Mtel",C$22="Telenor&amp;Mtel")</formula>
    </cfRule>
  </conditionalFormatting>
  <dataValidations count="165">
    <dataValidation type="list" xr:uid="{7A066987-D0C1-4AAD-873B-0D676A6B150B}" sqref="C2" showErrorMessage="1" errorTitle="An invalid feedback was entered" error="Please choose feedback from drop down only.">
      <formula1>"1,2,3"</formula1>
    </dataValidation>
    <dataValidation type="list" xr:uid="{D4B57729-5AD1-4BC1-8654-F1CE38972095}" sqref="D2" showErrorMessage="1" errorTitle="An invalid feedback was entered" error="Please choose feedback from drop down only.">
      <formula1>"1,2,3"</formula1>
    </dataValidation>
    <dataValidation type="list" xr:uid="{04952537-B291-4DE9-9CE3-C447373FDE16}" sqref="E2" showErrorMessage="1" errorTitle="An invalid feedback was entered" error="Please choose feedback from drop down only.">
      <formula1>"1,2,3"</formula1>
    </dataValidation>
    <dataValidation type="list" xr:uid="{FF166CAE-C014-4E07-A83A-ED5E844530F4}" sqref="F2" showErrorMessage="1" errorTitle="An invalid feedback was entered" error="Please choose feedback from drop down only.">
      <formula1>"1,2,3"</formula1>
    </dataValidation>
    <dataValidation type="list" xr:uid="{8695EE0D-B0A1-498B-8DC1-FDF1354E7930}" sqref="G2" showErrorMessage="1" errorTitle="An invalid feedback was entered" error="Please choose feedback from drop down only.">
      <formula1>"1,2,3"</formula1>
    </dataValidation>
    <dataValidation type="list" xr:uid="{CADA2265-A4D1-4341-8D2D-E283AA4C0926}" sqref="H2" showErrorMessage="1" errorTitle="An invalid feedback was entered" error="Please choose feedback from drop down only.">
      <formula1>"1,2,3"</formula1>
    </dataValidation>
    <dataValidation type="list" xr:uid="{AED4A167-C908-4AD3-BF59-51C3E88BE9F9}" sqref="I2" showErrorMessage="1" errorTitle="An invalid feedback was entered" error="Please choose feedback from drop down only.">
      <formula1>"1,2,3"</formula1>
    </dataValidation>
    <dataValidation type="list" xr:uid="{2814F713-ED76-4726-8FF4-19135E30A158}" sqref="J2" showErrorMessage="1" errorTitle="An invalid feedback was entered" error="Please choose feedback from drop down only.">
      <formula1>"1,2,3"</formula1>
    </dataValidation>
    <dataValidation type="list" xr:uid="{C25BE133-87FA-4D43-8FB6-1437EFCB3BBE}" sqref="K2" showErrorMessage="1" errorTitle="An invalid feedback was entered" error="Please choose feedback from drop down only.">
      <formula1>"1,2,3"</formula1>
    </dataValidation>
    <dataValidation type="list" xr:uid="{97A776DA-0E88-4931-87E0-8E506A95AFCD}" sqref="L2" showErrorMessage="1" errorTitle="An invalid feedback was entered" error="Please choose feedback from drop down only.">
      <formula1>"1,2,3"</formula1>
    </dataValidation>
    <dataValidation type="list" xr:uid="{7AB258E9-FA7B-4A54-9F5A-8E412A9B5EC1}" sqref="M2" showErrorMessage="1" errorTitle="An invalid feedback was entered" error="Please choose feedback from drop down only.">
      <formula1>"1,2,3"</formula1>
    </dataValidation>
    <dataValidation type="list" xr:uid="{71BB410E-DF5C-488C-BCE8-FAEEA93824FB}" sqref="N2" showErrorMessage="1" errorTitle="An invalid feedback was entered" error="Please choose feedback from drop down only.">
      <formula1>"1,2,3"</formula1>
    </dataValidation>
    <dataValidation type="list" xr:uid="{DB175F89-F569-493A-AB2A-B31923331D9B}" sqref="O2" showErrorMessage="1" errorTitle="An invalid feedback was entered" error="Please choose feedback from drop down only.">
      <formula1>"1,2,3"</formula1>
    </dataValidation>
    <dataValidation type="list" xr:uid="{F27B3E0C-12EC-4ED7-B01C-BDAEB4E037DD}" sqref="P2" showErrorMessage="1" errorTitle="An invalid feedback was entered" error="Please choose feedback from drop down only.">
      <formula1>"1,2,3"</formula1>
    </dataValidation>
    <dataValidation type="list" xr:uid="{C9749119-557A-4A95-BFA6-E11C79CA9700}" sqref="Q2" showErrorMessage="1" errorTitle="An invalid feedback was entered" error="Please choose feedback from drop down only.">
      <formula1>"1,2,3"</formula1>
    </dataValidation>
    <dataValidation type="list" xr:uid="{2C77EB10-F1FA-49C0-B42D-48A743D91ACB}" sqref="C17" showErrorMessage="1" errorTitle="An invalid feedback was entered" error="Please choose feedback from drop down only.">
      <formula1>"1-2,3-4,5-6,7-8,9-10,N/A"</formula1>
    </dataValidation>
    <dataValidation type="list" xr:uid="{860E72A5-5955-4288-8FA3-B0718FDCD494}" sqref="D17" showErrorMessage="1" errorTitle="An invalid feedback was entered" error="Please choose feedback from drop down only.">
      <formula1>"1-2,3-4,5-6,7-8,9-10,N/A"</formula1>
    </dataValidation>
    <dataValidation type="list" xr:uid="{1DE30860-4DD3-4812-82DA-FBF832D6F84C}" sqref="E17" showErrorMessage="1" errorTitle="An invalid feedback was entered" error="Please choose feedback from drop down only.">
      <formula1>"1-2,3-4,5-6,7-8,9-10,N/A"</formula1>
    </dataValidation>
    <dataValidation type="list" xr:uid="{A0091CE3-B3F6-4CCD-B7C1-D7128E55D366}" sqref="F17" showErrorMessage="1" errorTitle="An invalid feedback was entered" error="Please choose feedback from drop down only.">
      <formula1>"1-2,3-4,5-6,7-8,9-10,N/A"</formula1>
    </dataValidation>
    <dataValidation type="list" xr:uid="{391DBA37-7B54-40FF-A25C-00EB73615E19}" sqref="G17" showErrorMessage="1" errorTitle="An invalid feedback was entered" error="Please choose feedback from drop down only.">
      <formula1>"1-2,3-4,5-6,7-8,9-10,N/A"</formula1>
    </dataValidation>
    <dataValidation type="list" xr:uid="{4710D769-59E4-4E14-8D0F-23D4E287942F}" sqref="H17" showErrorMessage="1" errorTitle="An invalid feedback was entered" error="Please choose feedback from drop down only.">
      <formula1>"1-2,3-4,5-6,7-8,9-10,N/A"</formula1>
    </dataValidation>
    <dataValidation type="list" xr:uid="{8C913158-7929-489F-983E-B2369992994F}" sqref="I17" showErrorMessage="1" errorTitle="An invalid feedback was entered" error="Please choose feedback from drop down only.">
      <formula1>"1-2,3-4,5-6,7-8,9-10,N/A"</formula1>
    </dataValidation>
    <dataValidation type="list" xr:uid="{AF52EE8B-1128-41AB-AF95-07008139BD3E}" sqref="J17" showErrorMessage="1" errorTitle="An invalid feedback was entered" error="Please choose feedback from drop down only.">
      <formula1>"1-2,3-4,5-6,7-8,9-10,N/A"</formula1>
    </dataValidation>
    <dataValidation type="list" xr:uid="{BC0B0F83-14A2-4D89-A4E7-D4068C02DE0C}" sqref="K17" showErrorMessage="1" errorTitle="An invalid feedback was entered" error="Please choose feedback from drop down only.">
      <formula1>"1-2,3-4,5-6,7-8,9-10,N/A"</formula1>
    </dataValidation>
    <dataValidation type="list" xr:uid="{6F7D87F5-8218-48B6-B400-1C7AADDF5BFF}" sqref="L17" showErrorMessage="1" errorTitle="An invalid feedback was entered" error="Please choose feedback from drop down only.">
      <formula1>"1-2,3-4,5-6,7-8,9-10,N/A"</formula1>
    </dataValidation>
    <dataValidation type="list" xr:uid="{5ED9FC04-19D7-496A-AF91-EE366572BC07}" sqref="M17" showErrorMessage="1" errorTitle="An invalid feedback was entered" error="Please choose feedback from drop down only.">
      <formula1>"1-2,3-4,5-6,7-8,9-10,N/A"</formula1>
    </dataValidation>
    <dataValidation type="list" xr:uid="{87257608-9DE5-4B84-9249-B10291B8B55F}" sqref="N17" showErrorMessage="1" errorTitle="An invalid feedback was entered" error="Please choose feedback from drop down only.">
      <formula1>"1-2,3-4,5-6,7-8,9-10,N/A"</formula1>
    </dataValidation>
    <dataValidation type="list" xr:uid="{DCD322C3-7C0C-48A0-A5B2-84FE1FC3D6E6}" sqref="O17" showErrorMessage="1" errorTitle="An invalid feedback was entered" error="Please choose feedback from drop down only.">
      <formula1>"1-2,3-4,5-6,7-8,9-10,N/A"</formula1>
    </dataValidation>
    <dataValidation type="list" xr:uid="{599D6146-DB96-429C-BCF7-F9BCA091469E}" sqref="P17" showErrorMessage="1" errorTitle="An invalid feedback was entered" error="Please choose feedback from drop down only.">
      <formula1>"1-2,3-4,5-6,7-8,9-10,N/A"</formula1>
    </dataValidation>
    <dataValidation type="list" xr:uid="{58CE070F-E4EB-4E1A-AFA8-23D16916660B}" sqref="Q17" showErrorMessage="1" errorTitle="An invalid feedback was entered" error="Please choose feedback from drop down only.">
      <formula1>"1-2,3-4,5-6,7-8,9-10,N/A"</formula1>
    </dataValidation>
    <dataValidation type="list" xr:uid="{06D3BEE2-082C-4F90-B592-8334ADE2BC7D}" sqref="C10" showErrorMessage="1" errorTitle="An invalid feedback was entered" error="Please choose feedback from drop down only.">
      <formula1>"STK Top,STK Bottom,STKx2,DTK Top,DTK Bottom,DTKx2,None"</formula1>
    </dataValidation>
    <dataValidation type="list" xr:uid="{B2F53B34-7AE8-4252-AE33-9BCFC5356B37}" sqref="D10" showErrorMessage="1" errorTitle="An invalid feedback was entered" error="Please choose feedback from drop down only.">
      <formula1>"STK Top,STK Bottom,STKx2,DTK Top,DTK Bottom,DTKx2,None"</formula1>
    </dataValidation>
    <dataValidation type="list" xr:uid="{E0A87A44-323A-44BD-A66F-F0FEE1A1486E}" sqref="E10" showErrorMessage="1" errorTitle="An invalid feedback was entered" error="Please choose feedback from drop down only.">
      <formula1>"STK Top,STK Bottom,STKx2,DTK Top,DTK Bottom,DTKx2,None"</formula1>
    </dataValidation>
    <dataValidation type="list" xr:uid="{4E7BFACE-8B63-410E-92AA-A5A6162DA460}" sqref="F10" showErrorMessage="1" errorTitle="An invalid feedback was entered" error="Please choose feedback from drop down only.">
      <formula1>"STK Top,STK Bottom,STKx2,DTK Top,DTK Bottom,DTKx2,None"</formula1>
    </dataValidation>
    <dataValidation type="list" xr:uid="{86F65F54-1015-4011-A3F1-E218CFF80C37}" sqref="G10" showErrorMessage="1" errorTitle="An invalid feedback was entered" error="Please choose feedback from drop down only.">
      <formula1>"STK Top,STK Bottom,STKx2,DTK Top,DTK Bottom,DTKx2,None"</formula1>
    </dataValidation>
    <dataValidation type="list" xr:uid="{DACBF1F6-B169-4A89-8A2F-27AA3115D671}" sqref="H10" showErrorMessage="1" errorTitle="An invalid feedback was entered" error="Please choose feedback from drop down only.">
      <formula1>"STK Top,STK Bottom,STKx2,DTK Top,DTK Bottom,DTKx2,None"</formula1>
    </dataValidation>
    <dataValidation type="list" xr:uid="{29F2930E-7A1F-4047-B281-0C5492723382}" sqref="I10" showErrorMessage="1" errorTitle="An invalid feedback was entered" error="Please choose feedback from drop down only.">
      <formula1>"STK Top,STK Bottom,STKx2,DTK Top,DTK Bottom,DTKx2,None"</formula1>
    </dataValidation>
    <dataValidation type="list" xr:uid="{131A773E-E4C8-400B-8B1F-A7D24EF77070}" sqref="J10" showErrorMessage="1" errorTitle="An invalid feedback was entered" error="Please choose feedback from drop down only.">
      <formula1>"STK Top,STK Bottom,STKx2,DTK Top,DTK Bottom,DTKx2,None"</formula1>
    </dataValidation>
    <dataValidation type="list" xr:uid="{1C63219A-DF59-4DCA-8E07-CDCDCCAECF41}" sqref="K10" showErrorMessage="1" errorTitle="An invalid feedback was entered" error="Please choose feedback from drop down only.">
      <formula1>"STK Top,STK Bottom,STKx2,DTK Top,DTK Bottom,DTKx2,None"</formula1>
    </dataValidation>
    <dataValidation type="list" xr:uid="{EF28D411-512B-4089-9931-837056E9F1DF}" sqref="L10" showErrorMessage="1" errorTitle="An invalid feedback was entered" error="Please choose feedback from drop down only.">
      <formula1>"STK Top,STK Bottom,STKx2,DTK Top,DTK Bottom,DTKx2,None"</formula1>
    </dataValidation>
    <dataValidation type="list" xr:uid="{EC578B99-76BC-4001-A9E4-E2DC0E9126E3}" sqref="M10" showErrorMessage="1" errorTitle="An invalid feedback was entered" error="Please choose feedback from drop down only.">
      <formula1>"STK Top,STK Bottom,STKx2,DTK Top,DTK Bottom,DTKx2,None"</formula1>
    </dataValidation>
    <dataValidation type="list" xr:uid="{5638A28B-CB8C-4262-9E2B-3D482F023557}" sqref="N10" showErrorMessage="1" errorTitle="An invalid feedback was entered" error="Please choose feedback from drop down only.">
      <formula1>"STK Top,STK Bottom,STKx2,DTK Top,DTK Bottom,DTKx2,None"</formula1>
    </dataValidation>
    <dataValidation type="list" xr:uid="{DA26CE9B-EAB6-44EE-A9C4-AD2136DE3EBA}" sqref="O10" showErrorMessage="1" errorTitle="An invalid feedback was entered" error="Please choose feedback from drop down only.">
      <formula1>"STK Top,STK Bottom,STKx2,DTK Top,DTK Bottom,DTKx2,None"</formula1>
    </dataValidation>
    <dataValidation type="list" xr:uid="{D4F02F0C-B56E-4AB5-BB34-52CD603632D1}" sqref="P10" showErrorMessage="1" errorTitle="An invalid feedback was entered" error="Please choose feedback from drop down only.">
      <formula1>"STK Top,STK Bottom,STKx2,DTK Top,DTK Bottom,DTKx2,None"</formula1>
    </dataValidation>
    <dataValidation type="list" xr:uid="{526F1B0C-BE76-4674-AD0C-EFF2D9DF4C8B}" sqref="Q10" showErrorMessage="1" errorTitle="An invalid feedback was entered" error="Please choose feedback from drop down only.">
      <formula1>"STK Top,STK Bottom,STKx2,DTK Top,DTK Bottom,DTKx2,None"</formula1>
    </dataValidation>
    <dataValidation type="list" xr:uid="{34260D80-CA26-4A98-9CE4-7D10F02D5F29}" sqref="C23" showErrorMessage="1" errorTitle="An invalid feedback was entered" error="Please choose feedback from drop down only.">
      <formula1>"Yetel,Bulsatcom,A1,Yetel&amp;A1,N/A"</formula1>
    </dataValidation>
    <dataValidation type="list" xr:uid="{05F68499-D79C-41BD-8CD9-EFAF093EFACD}" sqref="D23" showErrorMessage="1" errorTitle="An invalid feedback was entered" error="Please choose feedback from drop down only.">
      <formula1>"Yetel,Bulsatcom,A1,Yetel&amp;A1,N/A"</formula1>
    </dataValidation>
    <dataValidation type="list" xr:uid="{926798C3-E251-422C-AE1E-F6D671FB9432}" sqref="E23" showErrorMessage="1" errorTitle="An invalid feedback was entered" error="Please choose feedback from drop down only.">
      <formula1>"Yetel,Bulsatcom,A1,Yetel&amp;A1,N/A"</formula1>
    </dataValidation>
    <dataValidation type="list" xr:uid="{A0498EBE-F19C-4AF6-966F-69600A0C05AC}" sqref="F23" showErrorMessage="1" errorTitle="An invalid feedback was entered" error="Please choose feedback from drop down only.">
      <formula1>"Yetel,Bulsatcom,A1,Yetel&amp;A1,N/A"</formula1>
    </dataValidation>
    <dataValidation type="list" xr:uid="{86EE5C2E-D561-4287-93D3-CF3C68DB7186}" sqref="G23" showErrorMessage="1" errorTitle="An invalid feedback was entered" error="Please choose feedback from drop down only.">
      <formula1>"Yetel,Bulsatcom,A1,Yetel&amp;A1,N/A"</formula1>
    </dataValidation>
    <dataValidation type="list" xr:uid="{98DB26C2-2885-4762-B76B-EA70175A2C2C}" sqref="H23" showErrorMessage="1" errorTitle="An invalid feedback was entered" error="Please choose feedback from drop down only.">
      <formula1>"Yetel,Bulsatcom,A1,Yetel&amp;A1,N/A"</formula1>
    </dataValidation>
    <dataValidation type="list" xr:uid="{899E05BE-363D-46BB-908E-6696AA628024}" sqref="I23" showErrorMessage="1" errorTitle="An invalid feedback was entered" error="Please choose feedback from drop down only.">
      <formula1>"Yetel,Bulsatcom,A1,Yetel&amp;A1,N/A"</formula1>
    </dataValidation>
    <dataValidation type="list" xr:uid="{06D0C27D-266C-44B7-9155-CEEF6ADCCBDF}" sqref="J23" showErrorMessage="1" errorTitle="An invalid feedback was entered" error="Please choose feedback from drop down only.">
      <formula1>"Yetel,Bulsatcom,A1,Yetel&amp;A1,N/A"</formula1>
    </dataValidation>
    <dataValidation type="list" xr:uid="{E1BCBD3A-2A26-4BE4-B0F0-28C20AFEE1FE}" sqref="K23" showErrorMessage="1" errorTitle="An invalid feedback was entered" error="Please choose feedback from drop down only.">
      <formula1>"Yetel,Bulsatcom,A1,Yetel&amp;A1,N/A"</formula1>
    </dataValidation>
    <dataValidation type="list" xr:uid="{FDBF029A-289F-4476-A982-DACA879D33D5}" sqref="L23" showErrorMessage="1" errorTitle="An invalid feedback was entered" error="Please choose feedback from drop down only.">
      <formula1>"Yetel,Bulsatcom,A1,Yetel&amp;A1,N/A"</formula1>
    </dataValidation>
    <dataValidation type="list" xr:uid="{F9735DD8-652D-4BE1-854A-8E795D2EA104}" sqref="M23" showErrorMessage="1" errorTitle="An invalid feedback was entered" error="Please choose feedback from drop down only.">
      <formula1>"Yetel,Bulsatcom,A1,Yetel&amp;A1,N/A"</formula1>
    </dataValidation>
    <dataValidation type="list" xr:uid="{FDC211F3-1F36-4CC4-AC6C-DDCD243866E5}" sqref="N23" showErrorMessage="1" errorTitle="An invalid feedback was entered" error="Please choose feedback from drop down only.">
      <formula1>"Yetel,Bulsatcom,A1,Yetel&amp;A1,N/A"</formula1>
    </dataValidation>
    <dataValidation type="list" xr:uid="{69A08DF0-F478-4618-810A-F965F62D0234}" sqref="O23" showErrorMessage="1" errorTitle="An invalid feedback was entered" error="Please choose feedback from drop down only.">
      <formula1>"Yetel,Bulsatcom,A1,Yetel&amp;A1,N/A"</formula1>
    </dataValidation>
    <dataValidation type="list" xr:uid="{33EAE1A0-33CC-4C93-8DD6-444D7D0471B4}" sqref="P23" showErrorMessage="1" errorTitle="An invalid feedback was entered" error="Please choose feedback from drop down only.">
      <formula1>"Yetel,Bulsatcom,A1,Yetel&amp;A1,N/A"</formula1>
    </dataValidation>
    <dataValidation type="list" xr:uid="{6C34D605-A532-4B5B-80D0-BD3A6DCD775A}" sqref="Q23" showErrorMessage="1" errorTitle="An invalid feedback was entered" error="Please choose feedback from drop down only.">
      <formula1>"Yetel,Bulsatcom,A1,Yetel&amp;A1,N/A"</formula1>
    </dataValidation>
    <dataValidation type="list" xr:uid="{55DA6586-B93B-4279-8B7C-61158BAB35B2}" sqref="C31" showErrorMessage="1" errorTitle="An invalid feedback was entered" error="Please choose feedback from drop down only.">
      <formula1>"1/2,5/4,7/8,RRU TOP JUMPER,N/A"</formula1>
    </dataValidation>
    <dataValidation type="list" xr:uid="{2BB5906C-86F6-4448-898A-7538D4991080}" sqref="D31" showErrorMessage="1" errorTitle="An invalid feedback was entered" error="Please choose feedback from drop down only.">
      <formula1>"1/2,5/4,7/8,RRU TOP JUMPER,N/A"</formula1>
    </dataValidation>
    <dataValidation type="list" xr:uid="{843E9647-1A56-4FDC-8E58-BF63EB6ECF91}" sqref="E31" showErrorMessage="1" errorTitle="An invalid feedback was entered" error="Please choose feedback from drop down only.">
      <formula1>"1/2,5/4,7/8,RRU TOP JUMPER,N/A"</formula1>
    </dataValidation>
    <dataValidation type="list" xr:uid="{DBA01AB4-3D51-4718-8217-65563C7E1DA4}" sqref="F31" showErrorMessage="1" errorTitle="An invalid feedback was entered" error="Please choose feedback from drop down only.">
      <formula1>"1/2,5/4,7/8,RRU TOP JUMPER,N/A"</formula1>
    </dataValidation>
    <dataValidation type="list" xr:uid="{8088956B-C532-46D6-AA16-F4DA82BE15B8}" sqref="G31" showErrorMessage="1" errorTitle="An invalid feedback was entered" error="Please choose feedback from drop down only.">
      <formula1>"1/2,5/4,7/8,RRU TOP JUMPER,N/A"</formula1>
    </dataValidation>
    <dataValidation type="list" xr:uid="{6EB354F7-1CBD-43B9-BAC0-9E340CD9CBD0}" sqref="H31" showErrorMessage="1" errorTitle="An invalid feedback was entered" error="Please choose feedback from drop down only.">
      <formula1>"1/2,5/4,7/8,RRU TOP JUMPER,N/A"</formula1>
    </dataValidation>
    <dataValidation type="list" xr:uid="{83B2B6F8-18D7-45E9-9DFC-8DE8F9B3252A}" sqref="I31" showErrorMessage="1" errorTitle="An invalid feedback was entered" error="Please choose feedback from drop down only.">
      <formula1>"1/2,5/4,7/8,RRU TOP JUMPER,N/A"</formula1>
    </dataValidation>
    <dataValidation type="list" xr:uid="{A1A57A80-3FC9-49F4-AE28-C053ED3BB6FD}" sqref="J31" showErrorMessage="1" errorTitle="An invalid feedback was entered" error="Please choose feedback from drop down only.">
      <formula1>"1/2,5/4,7/8,RRU TOP JUMPER,N/A"</formula1>
    </dataValidation>
    <dataValidation type="list" xr:uid="{3F25A7E4-1855-4147-91B4-EA1766A6325D}" sqref="K31" showErrorMessage="1" errorTitle="An invalid feedback was entered" error="Please choose feedback from drop down only.">
      <formula1>"1/2,5/4,7/8,RRU TOP JUMPER,N/A"</formula1>
    </dataValidation>
    <dataValidation type="list" xr:uid="{BB45BF9A-9C08-4936-90A1-732EA906C617}" sqref="L31" showErrorMessage="1" errorTitle="An invalid feedback was entered" error="Please choose feedback from drop down only.">
      <formula1>"1/2,5/4,7/8,RRU TOP JUMPER,N/A"</formula1>
    </dataValidation>
    <dataValidation type="list" xr:uid="{990ED740-3746-4186-A637-F746709118B3}" sqref="M31" showErrorMessage="1" errorTitle="An invalid feedback was entered" error="Please choose feedback from drop down only.">
      <formula1>"1/2,5/4,7/8,RRU TOP JUMPER,N/A"</formula1>
    </dataValidation>
    <dataValidation type="list" xr:uid="{A1805790-4571-4592-ADC0-026CB43E46AC}" sqref="N31" showErrorMessage="1" errorTitle="An invalid feedback was entered" error="Please choose feedback from drop down only.">
      <formula1>"1/2,5/4,7/8,RRU TOP JUMPER,N/A"</formula1>
    </dataValidation>
    <dataValidation type="list" xr:uid="{85CB5BE8-57EA-40E2-8164-1408717CF47C}" sqref="O31" showErrorMessage="1" errorTitle="An invalid feedback was entered" error="Please choose feedback from drop down only.">
      <formula1>"1/2,5/4,7/8,RRU TOP JUMPER,N/A"</formula1>
    </dataValidation>
    <dataValidation type="list" xr:uid="{19172D39-B4AF-41E2-9B07-CF37DA538260}" sqref="P31" showErrorMessage="1" errorTitle="An invalid feedback was entered" error="Please choose feedback from drop down only.">
      <formula1>"1/2,5/4,7/8,RRU TOP JUMPER,N/A"</formula1>
    </dataValidation>
    <dataValidation type="list" xr:uid="{0C96BE55-E412-43BC-A86A-60FEAD5998D9}" sqref="Q31" showErrorMessage="1" errorTitle="An invalid feedback was entered" error="Please choose feedback from drop down only.">
      <formula1>"1/2,5/4,7/8,RRU TOP JUMPER,N/A"</formula1>
    </dataValidation>
    <dataValidation type="list" xr:uid="{D2C28FCB-F562-4658-A689-17ECD2E8C233}" sqref="C4" showErrorMessage="1" errorTitle="An invalid feedback was entered" error="Please choose feedback from drop down only.">
      <formula1>"1,2,3,4,5,6,N/A"</formula1>
    </dataValidation>
    <dataValidation type="list" xr:uid="{85DF26B4-5220-4A6C-9FFA-842CF95E3573}" sqref="D4" showErrorMessage="1" errorTitle="An invalid feedback was entered" error="Please choose feedback from drop down only.">
      <formula1>"1,2,3,4,5,6,N/A"</formula1>
    </dataValidation>
    <dataValidation type="list" xr:uid="{1032144D-533A-4848-A7A8-A14D2361C0A3}" sqref="E4" showErrorMessage="1" errorTitle="An invalid feedback was entered" error="Please choose feedback from drop down only.">
      <formula1>"1,2,3,4,5,6,N/A"</formula1>
    </dataValidation>
    <dataValidation type="list" xr:uid="{BB4B209B-1639-4FA6-B66B-5FFE48EE2683}" sqref="F4" showErrorMessage="1" errorTitle="An invalid feedback was entered" error="Please choose feedback from drop down only.">
      <formula1>"1,2,3,4,5,6,N/A"</formula1>
    </dataValidation>
    <dataValidation type="list" xr:uid="{E3D04040-0191-493E-84DB-16313B8B4015}" sqref="G4" showErrorMessage="1" errorTitle="An invalid feedback was entered" error="Please choose feedback from drop down only.">
      <formula1>"1,2,3,4,5,6,N/A"</formula1>
    </dataValidation>
    <dataValidation type="list" xr:uid="{D4DC47E8-4746-4721-B8E7-222DC80626E6}" sqref="H4" showErrorMessage="1" errorTitle="An invalid feedback was entered" error="Please choose feedback from drop down only.">
      <formula1>"1,2,3,4,5,6,N/A"</formula1>
    </dataValidation>
    <dataValidation type="list" xr:uid="{8444C001-62F2-4C9C-B8BD-985F7A3738A6}" sqref="I4" showErrorMessage="1" errorTitle="An invalid feedback was entered" error="Please choose feedback from drop down only.">
      <formula1>"1,2,3,4,5,6,N/A"</formula1>
    </dataValidation>
    <dataValidation type="list" xr:uid="{AFED9FFB-143C-411D-A929-5DD85AA10100}" sqref="J4" showErrorMessage="1" errorTitle="An invalid feedback was entered" error="Please choose feedback from drop down only.">
      <formula1>"1,2,3,4,5,6,N/A"</formula1>
    </dataValidation>
    <dataValidation type="list" xr:uid="{F0C12950-B047-42FC-AAC1-DE58C7C5F0A6}" sqref="K4" showErrorMessage="1" errorTitle="An invalid feedback was entered" error="Please choose feedback from drop down only.">
      <formula1>"1,2,3,4,5,6,N/A"</formula1>
    </dataValidation>
    <dataValidation type="list" xr:uid="{20AFBFDE-37C5-45B0-B647-80CB03AE3AEA}" sqref="L4" showErrorMessage="1" errorTitle="An invalid feedback was entered" error="Please choose feedback from drop down only.">
      <formula1>"1,2,3,4,5,6,N/A"</formula1>
    </dataValidation>
    <dataValidation type="list" xr:uid="{AFD9E3B6-30D6-44C0-970A-0CBB3DCCFC84}" sqref="M4" showErrorMessage="1" errorTitle="An invalid feedback was entered" error="Please choose feedback from drop down only.">
      <formula1>"1,2,3,4,5,6,N/A"</formula1>
    </dataValidation>
    <dataValidation type="list" xr:uid="{00C783E2-4E81-437A-A25D-15EBD097AF70}" sqref="N4" showErrorMessage="1" errorTitle="An invalid feedback was entered" error="Please choose feedback from drop down only.">
      <formula1>"1,2,3,4,5,6,N/A"</formula1>
    </dataValidation>
    <dataValidation type="list" xr:uid="{DF8C9A7A-6C1F-4A8A-A904-789B3975D5D1}" sqref="O4" showErrorMessage="1" errorTitle="An invalid feedback was entered" error="Please choose feedback from drop down only.">
      <formula1>"1,2,3,4,5,6,N/A"</formula1>
    </dataValidation>
    <dataValidation type="list" xr:uid="{E225CDD4-C0F3-47A2-B31D-9E36FE160CEA}" sqref="P4" showErrorMessage="1" errorTitle="An invalid feedback was entered" error="Please choose feedback from drop down only.">
      <formula1>"1,2,3,4,5,6,N/A"</formula1>
    </dataValidation>
    <dataValidation type="list" xr:uid="{E800CBF1-9B0B-4C9C-9E1A-6911912CECF8}" sqref="Q4" showErrorMessage="1" errorTitle="An invalid feedback was entered" error="Please choose feedback from drop down only.">
      <formula1>"1,2,3,4,5,6,N/A"</formula1>
    </dataValidation>
    <dataValidation type="list" xr:uid="{6CDB41A3-56E0-4C2A-A4C9-117490FB29B3}" sqref="C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6FD25E3F-38B6-4034-ACD6-F888C44436DE}" sqref="D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5D441D14-EF1B-4065-AA19-A8D5E79A1FD0}" sqref="E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26D6D662-EC7D-48A8-94F1-FC6F0D5125B9}" sqref="F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884FC8EA-5702-4480-9530-759DBCC1D168}" sqref="G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FA54BF31-9A59-4C3E-B2C4-74ED7A7262CC}" sqref="H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709A6F32-2D50-45D6-BDDB-5E67EC1D80C9}" sqref="I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F3E755BD-A4C8-4A95-91F7-F6090405FB9A}" sqref="J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7C3ADFBA-8F38-4327-85C9-424D25A5B60D}" sqref="K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B535F1D0-F820-47BF-ADE2-796555FF3AE5}" sqref="L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9A7627E8-34E8-4B15-B0BA-6E83EF8961E6}" sqref="M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3CB4DE50-466A-490E-B4F4-33B64F332812}" sqref="N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3C03BEF6-EF68-45C9-B245-05AC5190FDBF}" sqref="O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7D1F2A86-F995-40C8-B0F2-CC95664BEBA0}" sqref="P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C7CAD195-32EC-4243-8BF9-096873CE505C}" sqref="Q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FC96986F-4996-4A2E-AFD8-4FE1F5D52044}" sqref="C28" showErrorMessage="1" errorTitle="An invalid feedback was entered" error="Please choose feedback from drop down only.">
      <formula1>"Yes,No,FlexRET"</formula1>
    </dataValidation>
    <dataValidation type="list" xr:uid="{B03EF838-B905-42DF-AEE5-7290F38FE65A}" sqref="D28" showErrorMessage="1" errorTitle="An invalid feedback was entered" error="Please choose feedback from drop down only.">
      <formula1>"Yes,No,FlexRET"</formula1>
    </dataValidation>
    <dataValidation type="list" xr:uid="{E7050C35-3529-4A30-A27E-65D3A9554F25}" sqref="E28" showErrorMessage="1" errorTitle="An invalid feedback was entered" error="Please choose feedback from drop down only.">
      <formula1>"Yes,No,FlexRET"</formula1>
    </dataValidation>
    <dataValidation type="list" xr:uid="{55525278-BD55-4630-8211-FC4DFC641772}" sqref="F28" showErrorMessage="1" errorTitle="An invalid feedback was entered" error="Please choose feedback from drop down only.">
      <formula1>"Yes,No,FlexRET"</formula1>
    </dataValidation>
    <dataValidation type="list" xr:uid="{FC75661F-02A4-46CA-8089-FAFDD061ED13}" sqref="G28" showErrorMessage="1" errorTitle="An invalid feedback was entered" error="Please choose feedback from drop down only.">
      <formula1>"Yes,No,FlexRET"</formula1>
    </dataValidation>
    <dataValidation type="list" xr:uid="{8D34EB1C-4B74-4B40-93D7-25C2BF629CA9}" sqref="H28" showErrorMessage="1" errorTitle="An invalid feedback was entered" error="Please choose feedback from drop down only.">
      <formula1>"Yes,No,FlexRET"</formula1>
    </dataValidation>
    <dataValidation type="list" xr:uid="{367C9C52-8083-4F3C-B11F-9C4944DFC965}" sqref="I28" showErrorMessage="1" errorTitle="An invalid feedback was entered" error="Please choose feedback from drop down only.">
      <formula1>"Yes,No,FlexRET"</formula1>
    </dataValidation>
    <dataValidation type="list" xr:uid="{53A20D12-BB66-4204-A665-238027CAF99B}" sqref="J28" showErrorMessage="1" errorTitle="An invalid feedback was entered" error="Please choose feedback from drop down only.">
      <formula1>"Yes,No,FlexRET"</formula1>
    </dataValidation>
    <dataValidation type="list" xr:uid="{FA82C4F4-4E91-43B1-8322-9CA5E4CD4114}" sqref="K28" showErrorMessage="1" errorTitle="An invalid feedback was entered" error="Please choose feedback from drop down only.">
      <formula1>"Yes,No,FlexRET"</formula1>
    </dataValidation>
    <dataValidation type="list" xr:uid="{985A8E06-C11D-40DB-A944-441E3A7840E9}" sqref="L28" showErrorMessage="1" errorTitle="An invalid feedback was entered" error="Please choose feedback from drop down only.">
      <formula1>"Yes,No,FlexRET"</formula1>
    </dataValidation>
    <dataValidation type="list" xr:uid="{E15B583A-9DF1-4706-BFFA-2DCF19D6E6E3}" sqref="M28" showErrorMessage="1" errorTitle="An invalid feedback was entered" error="Please choose feedback from drop down only.">
      <formula1>"Yes,No,FlexRET"</formula1>
    </dataValidation>
    <dataValidation type="list" xr:uid="{9508EB07-994A-4DED-9610-AE9AD666315D}" sqref="N28" showErrorMessage="1" errorTitle="An invalid feedback was entered" error="Please choose feedback from drop down only.">
      <formula1>"Yes,No,FlexRET"</formula1>
    </dataValidation>
    <dataValidation type="list" xr:uid="{F24194C9-5852-48F9-8133-29A70B03C963}" sqref="O28" showErrorMessage="1" errorTitle="An invalid feedback was entered" error="Please choose feedback from drop down only.">
      <formula1>"Yes,No,FlexRET"</formula1>
    </dataValidation>
    <dataValidation type="list" xr:uid="{3D796DFE-A45F-43A5-A16C-3C543AAEB59F}" sqref="P28" showErrorMessage="1" errorTitle="An invalid feedback was entered" error="Please choose feedback from drop down only.">
      <formula1>"Yes,No,FlexRET"</formula1>
    </dataValidation>
    <dataValidation type="list" xr:uid="{6F6BF7EF-C525-4E52-9042-7C193C5555B3}" sqref="Q28" showErrorMessage="1" errorTitle="An invalid feedback was entered" error="Please choose feedback from drop down only.">
      <formula1>"Yes,No,FlexRET"</formula1>
    </dataValidation>
    <dataValidation type="list" xr:uid="{78081435-C11C-498C-9EEB-3DE3EC2B47B2}" sqref="C29" showErrorMessage="1" errorTitle="An invalid feedback was entered" error="Please choose feedback from drop down only.">
      <formula1>"Yes,No,FlexRET"</formula1>
    </dataValidation>
    <dataValidation type="list" xr:uid="{32DD0E91-A5D0-4E30-98EE-015043D45EB2}" sqref="D29" showErrorMessage="1" errorTitle="An invalid feedback was entered" error="Please choose feedback from drop down only.">
      <formula1>"Yes,No,FlexRET"</formula1>
    </dataValidation>
    <dataValidation type="list" xr:uid="{3F67D982-8925-4D60-8EB7-4BBE9FB5C86F}" sqref="E29" showErrorMessage="1" errorTitle="An invalid feedback was entered" error="Please choose feedback from drop down only.">
      <formula1>"Yes,No,FlexRET"</formula1>
    </dataValidation>
    <dataValidation type="list" xr:uid="{1E9E2344-E4AE-437B-8195-682D8D5A9AB9}" sqref="F29" showErrorMessage="1" errorTitle="An invalid feedback was entered" error="Please choose feedback from drop down only.">
      <formula1>"Yes,No,FlexRET"</formula1>
    </dataValidation>
    <dataValidation type="list" xr:uid="{A55739A0-8D68-4E61-8CD7-1394849606D5}" sqref="G29" showErrorMessage="1" errorTitle="An invalid feedback was entered" error="Please choose feedback from drop down only.">
      <formula1>"Yes,No,FlexRET"</formula1>
    </dataValidation>
    <dataValidation type="list" xr:uid="{F7761088-344B-4D9E-8AB7-BAB605C6BF49}" sqref="H29" showErrorMessage="1" errorTitle="An invalid feedback was entered" error="Please choose feedback from drop down only.">
      <formula1>"Yes,No,FlexRET"</formula1>
    </dataValidation>
    <dataValidation type="list" xr:uid="{ECF30543-C2D6-4FCD-BE21-A3EAC05D13EA}" sqref="I29" showErrorMessage="1" errorTitle="An invalid feedback was entered" error="Please choose feedback from drop down only.">
      <formula1>"Yes,No,FlexRET"</formula1>
    </dataValidation>
    <dataValidation type="list" xr:uid="{8909558A-E897-4E74-A8A6-971FB7B213B3}" sqref="J29" showErrorMessage="1" errorTitle="An invalid feedback was entered" error="Please choose feedback from drop down only.">
      <formula1>"Yes,No,FlexRET"</formula1>
    </dataValidation>
    <dataValidation type="list" xr:uid="{8DA7B8A9-A82D-49EF-BE6D-6E10C1B1D4BA}" sqref="K29" showErrorMessage="1" errorTitle="An invalid feedback was entered" error="Please choose feedback from drop down only.">
      <formula1>"Yes,No,FlexRET"</formula1>
    </dataValidation>
    <dataValidation type="list" xr:uid="{7FE3E915-1541-4042-BF6E-8EEBB48A1E92}" sqref="L29" showErrorMessage="1" errorTitle="An invalid feedback was entered" error="Please choose feedback from drop down only.">
      <formula1>"Yes,No,FlexRET"</formula1>
    </dataValidation>
    <dataValidation type="list" xr:uid="{343BBFD1-096A-4620-A7D2-B2D0DA643639}" sqref="M29" showErrorMessage="1" errorTitle="An invalid feedback was entered" error="Please choose feedback from drop down only.">
      <formula1>"Yes,No,FlexRET"</formula1>
    </dataValidation>
    <dataValidation type="list" xr:uid="{248D48C7-C105-4148-A7F2-9471A5062F93}" sqref="N29" showErrorMessage="1" errorTitle="An invalid feedback was entered" error="Please choose feedback from drop down only.">
      <formula1>"Yes,No,FlexRET"</formula1>
    </dataValidation>
    <dataValidation type="list" xr:uid="{69A785FB-DF1F-4C06-8BA4-E2AAF25D37F4}" sqref="O29" showErrorMessage="1" errorTitle="An invalid feedback was entered" error="Please choose feedback from drop down only.">
      <formula1>"Yes,No,FlexRET"</formula1>
    </dataValidation>
    <dataValidation type="list" xr:uid="{74939A4F-EB0F-4772-85E3-CC749D77FF0E}" sqref="P29" showErrorMessage="1" errorTitle="An invalid feedback was entered" error="Please choose feedback from drop down only.">
      <formula1>"Yes,No,FlexRET"</formula1>
    </dataValidation>
    <dataValidation type="list" xr:uid="{5B7078E0-4363-430D-BBD4-199889635E23}" sqref="Q29" showErrorMessage="1" errorTitle="An invalid feedback was entered" error="Please choose feedback from drop down only.">
      <formula1>"Yes,No,FlexRET"</formula1>
    </dataValidation>
    <dataValidation type="list" xr:uid="{898D995B-7C25-4CBF-8D36-B1BE5C4389B4}" sqref="C25" showErrorMessage="1" errorTitle="An invalid feedback was entered" error="Please choose feedback from drop down only.">
      <formula1>"G,U,L,NR,GU,UL,GL,GUL,LNR,ULNR,None"</formula1>
    </dataValidation>
    <dataValidation type="list" xr:uid="{A206047C-A473-4133-87A2-11041A59A1C9}" sqref="D25" showErrorMessage="1" errorTitle="An invalid feedback was entered" error="Please choose feedback from drop down only.">
      <formula1>"G,U,L,NR,GU,UL,GL,GUL,LNR,ULNR,None"</formula1>
    </dataValidation>
    <dataValidation type="list" xr:uid="{A3E751ED-744B-4FFA-9E85-2D6BDD194C02}" sqref="E25" showErrorMessage="1" errorTitle="An invalid feedback was entered" error="Please choose feedback from drop down only.">
      <formula1>"G,U,L,NR,GU,UL,GL,GUL,LNR,ULNR,None"</formula1>
    </dataValidation>
    <dataValidation type="list" xr:uid="{811B620A-63A9-4800-95F8-CD4BC45813F6}" sqref="F25" showErrorMessage="1" errorTitle="An invalid feedback was entered" error="Please choose feedback from drop down only.">
      <formula1>"G,U,L,NR,GU,UL,GL,GUL,LNR,ULNR,None"</formula1>
    </dataValidation>
    <dataValidation type="list" xr:uid="{5D934D3C-6908-487B-94C8-ED04C0DAD3A0}" sqref="G25" showErrorMessage="1" errorTitle="An invalid feedback was entered" error="Please choose feedback from drop down only.">
      <formula1>"G,U,L,NR,GU,UL,GL,GUL,LNR,ULNR,None"</formula1>
    </dataValidation>
    <dataValidation type="list" xr:uid="{24F25CF4-D9B6-4CFE-BF64-F8FE2D73D7E8}" sqref="H25" showErrorMessage="1" errorTitle="An invalid feedback was entered" error="Please choose feedback from drop down only.">
      <formula1>"G,U,L,NR,GU,UL,GL,GUL,LNR,ULNR,None"</formula1>
    </dataValidation>
    <dataValidation type="list" xr:uid="{A820B663-5E53-4130-AD97-DBCE9C6D9BCE}" sqref="I25" showErrorMessage="1" errorTitle="An invalid feedback was entered" error="Please choose feedback from drop down only.">
      <formula1>"G,U,L,NR,GU,UL,GL,GUL,LNR,ULNR,None"</formula1>
    </dataValidation>
    <dataValidation type="list" xr:uid="{C69F15DE-103C-4FAF-8309-A0F1B6DC4D82}" sqref="J25" showErrorMessage="1" errorTitle="An invalid feedback was entered" error="Please choose feedback from drop down only.">
      <formula1>"G,U,L,NR,GU,UL,GL,GUL,LNR,ULNR,None"</formula1>
    </dataValidation>
    <dataValidation type="list" xr:uid="{DE42E831-A5FB-41CE-B843-DBA0B8F9FD32}" sqref="K25" showErrorMessage="1" errorTitle="An invalid feedback was entered" error="Please choose feedback from drop down only.">
      <formula1>"G,U,L,NR,GU,UL,GL,GUL,LNR,ULNR,None"</formula1>
    </dataValidation>
    <dataValidation type="list" xr:uid="{FCD525FB-CBC4-4D85-8C1E-60ACFF87870A}" sqref="L25" showErrorMessage="1" errorTitle="An invalid feedback was entered" error="Please choose feedback from drop down only.">
      <formula1>"G,U,L,NR,GU,UL,GL,GUL,LNR,ULNR,None"</formula1>
    </dataValidation>
    <dataValidation type="list" xr:uid="{52C9A15F-DDE0-43E7-A99E-521993DE25CF}" sqref="M25" showErrorMessage="1" errorTitle="An invalid feedback was entered" error="Please choose feedback from drop down only.">
      <formula1>"G,U,L,NR,GU,UL,GL,GUL,LNR,ULNR,None"</formula1>
    </dataValidation>
    <dataValidation type="list" xr:uid="{27ADF405-E9C8-4470-B749-47A2807AB92F}" sqref="N25" showErrorMessage="1" errorTitle="An invalid feedback was entered" error="Please choose feedback from drop down only.">
      <formula1>"G,U,L,NR,GU,UL,GL,GUL,LNR,ULNR,None"</formula1>
    </dataValidation>
    <dataValidation type="list" xr:uid="{0C7B5F36-25C2-4929-83FA-B028692F9073}" sqref="O25" showErrorMessage="1" errorTitle="An invalid feedback was entered" error="Please choose feedback from drop down only.">
      <formula1>"G,U,L,NR,GU,UL,GL,GUL,LNR,ULNR,None"</formula1>
    </dataValidation>
    <dataValidation type="list" xr:uid="{3C41DB08-CCFA-4E08-B5C6-E96D86E5470B}" sqref="P25" showErrorMessage="1" errorTitle="An invalid feedback was entered" error="Please choose feedback from drop down only.">
      <formula1>"G,U,L,NR,GU,UL,GL,GUL,LNR,ULNR,None"</formula1>
    </dataValidation>
    <dataValidation type="list" xr:uid="{B88C628B-5227-4F6B-AD38-8B053D6B794F}" sqref="Q25" showErrorMessage="1" errorTitle="An invalid feedback was entered" error="Please choose feedback from drop down only.">
      <formula1>"G,U,L,NR,GU,UL,GL,GUL,LNR,ULNR,None"</formula1>
    </dataValidation>
    <dataValidation type="list" xr:uid="{5491DFBE-B6AD-42F8-BA3A-348E90C45D6E}" sqref="C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7993E216-FE7B-4211-B720-3B56302093B3}" sqref="D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9CC2B5F9-70AF-4358-9A5F-CEE16C90DFC4}" sqref="E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DBBB8B95-B4DD-4A60-BE91-A16B28CC1A86}" sqref="F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FB626DC8-2B2F-4024-A8F4-D1B24BA02122}" sqref="G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BD285D53-CCDD-41D0-9526-8764CB330D67}" sqref="H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2BA3DB6B-ABD7-42F9-9FD8-9322E0BB72C0}" sqref="I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13E3F4A8-1D8D-40AB-A38F-03293EAA362A}" sqref="J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93F7B8E3-828F-4734-9731-F5E6D5E8DE4E}" sqref="K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54A93A75-45A8-452E-8DAF-5E12A00926AB}" sqref="L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41CED4FA-D372-4892-BDA5-7D90F8634B92}" sqref="M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59E8E114-FB31-46DD-AE5A-0C5CCD15E086}" sqref="N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716E90BF-B7FE-47CD-9163-CF8E4480397A}" sqref="O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72899346-7D1C-4482-AD87-76A7421ECEA5}" sqref="P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055447CC-C5C8-4456-BE4B-A5EC8ACBB1CB}" sqref="Q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</dataValidations>
  <pageMargins left="0.25" right="0.25" top="0.75" bottom="0.75" header="0.3" footer="0.3"/>
  <pageSetup paperSize="9" scale="56" fitToHeight="0" orientation="portrait"/>
  <headerFooter/>
  <extLst>
    <ext xmlns:x14="http://schemas.microsoft.com/office/spreadsheetml/2009/9/main" uri="{CCE6A557-97BC-4b89-ADB6-D9C93CAAB3DF}">
      <x14:dataValidations xmlns:xm="http://schemas.microsoft.com/office/excel/2006/main" count="60">
        <x14:dataValidation type="list" xr:uid="{9197DCAD-CA50-47BA-845D-83D2BDDA995D}" error="Please choose feedback from drop down only." errorTitle="An invalid feedback was entered" showErrorMessage="1">
          <x14:formula1>
            <xm:f>Antennas!A:A</xm:f>
          </x14:formula1>
          <xm:sqref>C8</xm:sqref>
        </x14:dataValidation>
        <x14:dataValidation type="list" xr:uid="{34FA96D6-948F-4170-BCF3-3C5BAC74D00E}" error="Please choose feedback from drop down only." errorTitle="An invalid feedback was entered" showErrorMessage="1">
          <x14:formula1>
            <xm:f>Antennas!A:A</xm:f>
          </x14:formula1>
          <xm:sqref>D8</xm:sqref>
        </x14:dataValidation>
        <x14:dataValidation type="list" xr:uid="{55F340EB-DE61-4BD3-A7BB-BECC701A4C09}" error="Please choose feedback from drop down only." errorTitle="An invalid feedback was entered" showErrorMessage="1">
          <x14:formula1>
            <xm:f>Antennas!A:A</xm:f>
          </x14:formula1>
          <xm:sqref>E8</xm:sqref>
        </x14:dataValidation>
        <x14:dataValidation type="list" xr:uid="{47A0FD8D-31A0-4AFD-9471-743773611087}" error="Please choose feedback from drop down only." errorTitle="An invalid feedback was entered" showErrorMessage="1">
          <x14:formula1>
            <xm:f>Antennas!A:A</xm:f>
          </x14:formula1>
          <xm:sqref>F8</xm:sqref>
        </x14:dataValidation>
        <x14:dataValidation type="list" xr:uid="{007C3413-FACC-4D85-BF01-BE4037C663D1}" error="Please choose feedback from drop down only." errorTitle="An invalid feedback was entered" showErrorMessage="1">
          <x14:formula1>
            <xm:f>Antennas!A:A</xm:f>
          </x14:formula1>
          <xm:sqref>G8</xm:sqref>
        </x14:dataValidation>
        <x14:dataValidation type="list" xr:uid="{CB7BB4F5-4219-48B5-A948-5F927DB318D6}" error="Please choose feedback from drop down only." errorTitle="An invalid feedback was entered" showErrorMessage="1">
          <x14:formula1>
            <xm:f>Antennas!A:A</xm:f>
          </x14:formula1>
          <xm:sqref>H8</xm:sqref>
        </x14:dataValidation>
        <x14:dataValidation type="list" xr:uid="{AA3921CE-B055-4A77-9432-A141BFDB915A}" error="Please choose feedback from drop down only." errorTitle="An invalid feedback was entered" showErrorMessage="1">
          <x14:formula1>
            <xm:f>Antennas!A:A</xm:f>
          </x14:formula1>
          <xm:sqref>I8</xm:sqref>
        </x14:dataValidation>
        <x14:dataValidation type="list" xr:uid="{A92B25B5-EE64-4AA8-BF49-B9275087A356}" error="Please choose feedback from drop down only." errorTitle="An invalid feedback was entered" showErrorMessage="1">
          <x14:formula1>
            <xm:f>Antennas!A:A</xm:f>
          </x14:formula1>
          <xm:sqref>J8</xm:sqref>
        </x14:dataValidation>
        <x14:dataValidation type="list" xr:uid="{6A940E56-0503-4DA8-96B3-086C315FF334}" error="Please choose feedback from drop down only." errorTitle="An invalid feedback was entered" showErrorMessage="1">
          <x14:formula1>
            <xm:f>Antennas!A:A</xm:f>
          </x14:formula1>
          <xm:sqref>K8</xm:sqref>
        </x14:dataValidation>
        <x14:dataValidation type="list" xr:uid="{A6478978-69CD-4E95-A4CA-784F9DE4BF45}" error="Please choose feedback from drop down only." errorTitle="An invalid feedback was entered" showErrorMessage="1">
          <x14:formula1>
            <xm:f>Antennas!A:A</xm:f>
          </x14:formula1>
          <xm:sqref>L8</xm:sqref>
        </x14:dataValidation>
        <x14:dataValidation type="list" xr:uid="{FC6969DA-1A98-4F64-8694-65311818A712}" error="Please choose feedback from drop down only." errorTitle="An invalid feedback was entered" showErrorMessage="1">
          <x14:formula1>
            <xm:f>Antennas!A:A</xm:f>
          </x14:formula1>
          <xm:sqref>M8</xm:sqref>
        </x14:dataValidation>
        <x14:dataValidation type="list" xr:uid="{E8C54042-521C-4613-9B93-3A3D3363EB96}" error="Please choose feedback from drop down only." errorTitle="An invalid feedback was entered" showErrorMessage="1">
          <x14:formula1>
            <xm:f>Antennas!A:A</xm:f>
          </x14:formula1>
          <xm:sqref>N8</xm:sqref>
        </x14:dataValidation>
        <x14:dataValidation type="list" xr:uid="{2AD2EFFD-50F9-4270-BBE6-1B4A551F2FDB}" error="Please choose feedback from drop down only." errorTitle="An invalid feedback was entered" showErrorMessage="1">
          <x14:formula1>
            <xm:f>Antennas!A:A</xm:f>
          </x14:formula1>
          <xm:sqref>O8</xm:sqref>
        </x14:dataValidation>
        <x14:dataValidation type="list" xr:uid="{AA823E51-B9EF-41BB-99B9-7F2F4B389839}" error="Please choose feedback from drop down only." errorTitle="An invalid feedback was entered" showErrorMessage="1">
          <x14:formula1>
            <xm:f>Antennas!A:A</xm:f>
          </x14:formula1>
          <xm:sqref>P8</xm:sqref>
        </x14:dataValidation>
        <x14:dataValidation type="list" xr:uid="{32FBE1FA-CEB7-4458-AAB9-AD0557D9B303}" error="Please choose feedback from drop down only." errorTitle="An invalid feedback was entered" showErrorMessage="1">
          <x14:formula1>
            <xm:f>Antennas!A:A</xm:f>
          </x14:formula1>
          <xm:sqref>Q8</xm:sqref>
        </x14:dataValidation>
        <x14:dataValidation type="list" xr:uid="{1131B22D-33AE-4F5E-B34A-270AB26AB237}" error="Please choose feedback from drop down only." errorTitle="An invalid feedback was entered" showErrorMessage="1">
          <x14:formula1>
            <xm:f>Combiners!A:A</xm:f>
          </x14:formula1>
          <xm:sqref>C39</xm:sqref>
        </x14:dataValidation>
        <x14:dataValidation type="list" xr:uid="{9FC801DE-89EE-47AD-B6A2-FD2CC8A2B892}" error="Please choose feedback from drop down only." errorTitle="An invalid feedback was entered" showErrorMessage="1">
          <x14:formula1>
            <xm:f>Combiners!A:A</xm:f>
          </x14:formula1>
          <xm:sqref>D39</xm:sqref>
        </x14:dataValidation>
        <x14:dataValidation type="list" xr:uid="{0961AEFE-310D-46F1-AB25-33F3FE96B152}" error="Please choose feedback from drop down only." errorTitle="An invalid feedback was entered" showErrorMessage="1">
          <x14:formula1>
            <xm:f>Combiners!A:A</xm:f>
          </x14:formula1>
          <xm:sqref>E39</xm:sqref>
        </x14:dataValidation>
        <x14:dataValidation type="list" xr:uid="{D504D0D7-335B-436F-9670-355A621ED2C7}" error="Please choose feedback from drop down only." errorTitle="An invalid feedback was entered" showErrorMessage="1">
          <x14:formula1>
            <xm:f>Combiners!A:A</xm:f>
          </x14:formula1>
          <xm:sqref>F39</xm:sqref>
        </x14:dataValidation>
        <x14:dataValidation type="list" xr:uid="{F6C1B78A-DF5B-43E5-AB94-2568359E4911}" error="Please choose feedback from drop down only." errorTitle="An invalid feedback was entered" showErrorMessage="1">
          <x14:formula1>
            <xm:f>Combiners!A:A</xm:f>
          </x14:formula1>
          <xm:sqref>G39</xm:sqref>
        </x14:dataValidation>
        <x14:dataValidation type="list" xr:uid="{4E1E200D-D1E7-4727-9276-894602B1308E}" error="Please choose feedback from drop down only." errorTitle="An invalid feedback was entered" showErrorMessage="1">
          <x14:formula1>
            <xm:f>Combiners!A:A</xm:f>
          </x14:formula1>
          <xm:sqref>H39</xm:sqref>
        </x14:dataValidation>
        <x14:dataValidation type="list" xr:uid="{44CDA0D9-3F94-445B-8DD9-042706C97D2A}" error="Please choose feedback from drop down only." errorTitle="An invalid feedback was entered" showErrorMessage="1">
          <x14:formula1>
            <xm:f>Combiners!A:A</xm:f>
          </x14:formula1>
          <xm:sqref>I39</xm:sqref>
        </x14:dataValidation>
        <x14:dataValidation type="list" xr:uid="{ECEC2D2E-8801-4970-B601-73512813E0A2}" error="Please choose feedback from drop down only." errorTitle="An invalid feedback was entered" showErrorMessage="1">
          <x14:formula1>
            <xm:f>Combiners!A:A</xm:f>
          </x14:formula1>
          <xm:sqref>J39</xm:sqref>
        </x14:dataValidation>
        <x14:dataValidation type="list" xr:uid="{8655EF87-7145-46D3-A38D-15B640BD1442}" error="Please choose feedback from drop down only." errorTitle="An invalid feedback was entered" showErrorMessage="1">
          <x14:formula1>
            <xm:f>Combiners!A:A</xm:f>
          </x14:formula1>
          <xm:sqref>K39</xm:sqref>
        </x14:dataValidation>
        <x14:dataValidation type="list" xr:uid="{F9730276-CA90-42FD-927D-25678B8FAD49}" error="Please choose feedback from drop down only." errorTitle="An invalid feedback was entered" showErrorMessage="1">
          <x14:formula1>
            <xm:f>Combiners!A:A</xm:f>
          </x14:formula1>
          <xm:sqref>L39</xm:sqref>
        </x14:dataValidation>
        <x14:dataValidation type="list" xr:uid="{9A18355D-4942-40A5-BFFA-E58C723B765F}" error="Please choose feedback from drop down only." errorTitle="An invalid feedback was entered" showErrorMessage="1">
          <x14:formula1>
            <xm:f>Combiners!A:A</xm:f>
          </x14:formula1>
          <xm:sqref>M39</xm:sqref>
        </x14:dataValidation>
        <x14:dataValidation type="list" xr:uid="{769E7276-084C-4F2C-AC44-2460DAFC330A}" error="Please choose feedback from drop down only." errorTitle="An invalid feedback was entered" showErrorMessage="1">
          <x14:formula1>
            <xm:f>Combiners!A:A</xm:f>
          </x14:formula1>
          <xm:sqref>N39</xm:sqref>
        </x14:dataValidation>
        <x14:dataValidation type="list" xr:uid="{87504495-91BF-432B-BA27-C5357603B9B9}" error="Please choose feedback from drop down only." errorTitle="An invalid feedback was entered" showErrorMessage="1">
          <x14:formula1>
            <xm:f>Combiners!A:A</xm:f>
          </x14:formula1>
          <xm:sqref>O39</xm:sqref>
        </x14:dataValidation>
        <x14:dataValidation type="list" xr:uid="{832279A6-E73E-4DF9-A8C5-3458F728521B}" error="Please choose feedback from drop down only." errorTitle="An invalid feedback was entered" showErrorMessage="1">
          <x14:formula1>
            <xm:f>Combiners!A:A</xm:f>
          </x14:formula1>
          <xm:sqref>P39</xm:sqref>
        </x14:dataValidation>
        <x14:dataValidation type="list" xr:uid="{C4FC6B8A-97E9-41D5-89E8-B823A818A4D2}" error="Please choose feedback from drop down only." errorTitle="An invalid feedback was entered" showErrorMessage="1">
          <x14:formula1>
            <xm:f>Combiners!A:A</xm:f>
          </x14:formula1>
          <xm:sqref>Q39</xm:sqref>
        </x14:dataValidation>
        <x14:dataValidation type="list" xr:uid="{622A628A-2118-495C-BB5D-F7754FD4C543}" error="Please choose feedback from drop down only." errorTitle="An invalid feedback was entered" showErrorMessage="0">
          <x14:formula1>
            <xm:f>RRUs!A:A</xm:f>
          </x14:formula1>
          <xm:sqref>C35</xm:sqref>
        </x14:dataValidation>
        <x14:dataValidation type="list" xr:uid="{BCAD9DE5-FAAC-4FAB-9A82-243EB5BB3DB3}" error="Please choose feedback from drop down only." errorTitle="An invalid feedback was entered" showErrorMessage="0">
          <x14:formula1>
            <xm:f>RRUs!A:A</xm:f>
          </x14:formula1>
          <xm:sqref>D35</xm:sqref>
        </x14:dataValidation>
        <x14:dataValidation type="list" xr:uid="{670AEDE3-7DC8-4B7F-A7A5-3F15708F6DE9}" error="Please choose feedback from drop down only." errorTitle="An invalid feedback was entered" showErrorMessage="0">
          <x14:formula1>
            <xm:f>RRUs!A:A</xm:f>
          </x14:formula1>
          <xm:sqref>E35</xm:sqref>
        </x14:dataValidation>
        <x14:dataValidation type="list" xr:uid="{30691663-F272-407D-A06D-AD5A5B86762B}" error="Please choose feedback from drop down only." errorTitle="An invalid feedback was entered" showErrorMessage="0">
          <x14:formula1>
            <xm:f>RRUs!A:A</xm:f>
          </x14:formula1>
          <xm:sqref>F35</xm:sqref>
        </x14:dataValidation>
        <x14:dataValidation type="list" xr:uid="{4FAB61C2-38FB-4008-A035-69C74D1C10CB}" error="Please choose feedback from drop down only." errorTitle="An invalid feedback was entered" showErrorMessage="0">
          <x14:formula1>
            <xm:f>RRUs!A:A</xm:f>
          </x14:formula1>
          <xm:sqref>G35</xm:sqref>
        </x14:dataValidation>
        <x14:dataValidation type="list" xr:uid="{09993794-347C-40E1-9239-8BFC1C73ECAE}" error="Please choose feedback from drop down only." errorTitle="An invalid feedback was entered" showErrorMessage="0">
          <x14:formula1>
            <xm:f>RRUs!A:A</xm:f>
          </x14:formula1>
          <xm:sqref>H35</xm:sqref>
        </x14:dataValidation>
        <x14:dataValidation type="list" xr:uid="{565D7710-0A26-4D1E-ADCD-B7444A4C8E4C}" error="Please choose feedback from drop down only." errorTitle="An invalid feedback was entered" showErrorMessage="0">
          <x14:formula1>
            <xm:f>RRUs!A:A</xm:f>
          </x14:formula1>
          <xm:sqref>I35</xm:sqref>
        </x14:dataValidation>
        <x14:dataValidation type="list" xr:uid="{FB12D05A-FFDF-48BD-9996-128E2C7E0C25}" error="Please choose feedback from drop down only." errorTitle="An invalid feedback was entered" showErrorMessage="0">
          <x14:formula1>
            <xm:f>RRUs!A:A</xm:f>
          </x14:formula1>
          <xm:sqref>J35</xm:sqref>
        </x14:dataValidation>
        <x14:dataValidation type="list" xr:uid="{1C5655A9-2E53-4BD3-8861-6366F8B7ABC6}" error="Please choose feedback from drop down only." errorTitle="An invalid feedback was entered" showErrorMessage="0">
          <x14:formula1>
            <xm:f>RRUs!A:A</xm:f>
          </x14:formula1>
          <xm:sqref>K35</xm:sqref>
        </x14:dataValidation>
        <x14:dataValidation type="list" xr:uid="{5EF58FB2-6F84-41E1-A3EB-9EDBE04377E7}" error="Please choose feedback from drop down only." errorTitle="An invalid feedback was entered" showErrorMessage="0">
          <x14:formula1>
            <xm:f>RRUs!A:A</xm:f>
          </x14:formula1>
          <xm:sqref>L35</xm:sqref>
        </x14:dataValidation>
        <x14:dataValidation type="list" xr:uid="{01FCD29A-A0F2-475C-9FF8-3AFA73F1850B}" error="Please choose feedback from drop down only." errorTitle="An invalid feedback was entered" showErrorMessage="0">
          <x14:formula1>
            <xm:f>RRUs!A:A</xm:f>
          </x14:formula1>
          <xm:sqref>M35</xm:sqref>
        </x14:dataValidation>
        <x14:dataValidation type="list" xr:uid="{4A8ABEE4-8746-4F2A-9C57-504E25F3EA2B}" error="Please choose feedback from drop down only." errorTitle="An invalid feedback was entered" showErrorMessage="0">
          <x14:formula1>
            <xm:f>RRUs!A:A</xm:f>
          </x14:formula1>
          <xm:sqref>N35</xm:sqref>
        </x14:dataValidation>
        <x14:dataValidation type="list" xr:uid="{6A80290E-04BE-47C0-9922-0F74AC9522FE}" error="Please choose feedback from drop down only." errorTitle="An invalid feedback was entered" showErrorMessage="0">
          <x14:formula1>
            <xm:f>RRUs!A:A</xm:f>
          </x14:formula1>
          <xm:sqref>O35</xm:sqref>
        </x14:dataValidation>
        <x14:dataValidation type="list" xr:uid="{F55026E4-E395-43CC-9446-C38C25D9584E}" error="Please choose feedback from drop down only." errorTitle="An invalid feedback was entered" showErrorMessage="0">
          <x14:formula1>
            <xm:f>RRUs!A:A</xm:f>
          </x14:formula1>
          <xm:sqref>P35</xm:sqref>
        </x14:dataValidation>
        <x14:dataValidation type="list" xr:uid="{5A8335C9-C4FA-4A45-843B-03D6B88F361E}" error="Please choose feedback from drop down only." errorTitle="An invalid feedback was entered" showErrorMessage="0">
          <x14:formula1>
            <xm:f>RRUs!A:A</xm:f>
          </x14:formula1>
          <xm:sqref>Q35</xm:sqref>
        </x14:dataValidation>
        <x14:dataValidation type="list" xr:uid="{C5E86487-D709-4FCB-AC79-5A48B39770FE}" error="Please choose feedback from drop down only." errorTitle="An invalid feedback was entered" showErrorMessage="1">
          <x14:formula1>
            <xm:f>Combiners!A:A</xm:f>
          </x14:formula1>
          <xm:sqref>C41</xm:sqref>
        </x14:dataValidation>
        <x14:dataValidation type="list" xr:uid="{879DD3A0-D7E1-463E-97A7-FE78F6ADB7B3}" error="Please choose feedback from drop down only." errorTitle="An invalid feedback was entered" showErrorMessage="1">
          <x14:formula1>
            <xm:f>Combiners!A:A</xm:f>
          </x14:formula1>
          <xm:sqref>D41</xm:sqref>
        </x14:dataValidation>
        <x14:dataValidation type="list" xr:uid="{AF789933-130F-448B-8E8C-9E88562C074C}" error="Please choose feedback from drop down only." errorTitle="An invalid feedback was entered" showErrorMessage="1">
          <x14:formula1>
            <xm:f>Combiners!A:A</xm:f>
          </x14:formula1>
          <xm:sqref>E41</xm:sqref>
        </x14:dataValidation>
        <x14:dataValidation type="list" xr:uid="{5DC73914-34A0-4613-B3B3-C51246DE4191}" error="Please choose feedback from drop down only." errorTitle="An invalid feedback was entered" showErrorMessage="1">
          <x14:formula1>
            <xm:f>Combiners!A:A</xm:f>
          </x14:formula1>
          <xm:sqref>F41</xm:sqref>
        </x14:dataValidation>
        <x14:dataValidation type="list" xr:uid="{AF9EB933-13C4-4C19-959B-6A3C50339902}" error="Please choose feedback from drop down only." errorTitle="An invalid feedback was entered" showErrorMessage="1">
          <x14:formula1>
            <xm:f>Combiners!A:A</xm:f>
          </x14:formula1>
          <xm:sqref>G41</xm:sqref>
        </x14:dataValidation>
        <x14:dataValidation type="list" xr:uid="{66EC5DD8-1A1E-4ECE-B384-1B359FE5F461}" error="Please choose feedback from drop down only." errorTitle="An invalid feedback was entered" showErrorMessage="1">
          <x14:formula1>
            <xm:f>Combiners!A:A</xm:f>
          </x14:formula1>
          <xm:sqref>H41</xm:sqref>
        </x14:dataValidation>
        <x14:dataValidation type="list" xr:uid="{2224E7ED-2CC3-4A3D-847D-112D0265170E}" error="Please choose feedback from drop down only." errorTitle="An invalid feedback was entered" showErrorMessage="1">
          <x14:formula1>
            <xm:f>Combiners!A:A</xm:f>
          </x14:formula1>
          <xm:sqref>I41</xm:sqref>
        </x14:dataValidation>
        <x14:dataValidation type="list" xr:uid="{0F4819A5-CDAF-465D-87DF-DA09746DD1BA}" error="Please choose feedback from drop down only." errorTitle="An invalid feedback was entered" showErrorMessage="1">
          <x14:formula1>
            <xm:f>Combiners!A:A</xm:f>
          </x14:formula1>
          <xm:sqref>J41</xm:sqref>
        </x14:dataValidation>
        <x14:dataValidation type="list" xr:uid="{9493C1A2-F381-4CEC-9415-E63B925319BC}" error="Please choose feedback from drop down only." errorTitle="An invalid feedback was entered" showErrorMessage="1">
          <x14:formula1>
            <xm:f>Combiners!A:A</xm:f>
          </x14:formula1>
          <xm:sqref>K41</xm:sqref>
        </x14:dataValidation>
        <x14:dataValidation type="list" xr:uid="{5BF9EEAE-6AD8-46B4-BE08-0329EBF95BEA}" error="Please choose feedback from drop down only." errorTitle="An invalid feedback was entered" showErrorMessage="1">
          <x14:formula1>
            <xm:f>Combiners!A:A</xm:f>
          </x14:formula1>
          <xm:sqref>L41</xm:sqref>
        </x14:dataValidation>
        <x14:dataValidation type="list" xr:uid="{BC14286B-B1C2-4E2F-812D-7BC03F42AF47}" error="Please choose feedback from drop down only." errorTitle="An invalid feedback was entered" showErrorMessage="1">
          <x14:formula1>
            <xm:f>Combiners!A:A</xm:f>
          </x14:formula1>
          <xm:sqref>M41</xm:sqref>
        </x14:dataValidation>
        <x14:dataValidation type="list" xr:uid="{B2881ED5-EF62-4974-9903-28CDDBAF6746}" error="Please choose feedback from drop down only." errorTitle="An invalid feedback was entered" showErrorMessage="1">
          <x14:formula1>
            <xm:f>Combiners!A:A</xm:f>
          </x14:formula1>
          <xm:sqref>N41</xm:sqref>
        </x14:dataValidation>
        <x14:dataValidation type="list" xr:uid="{C0CB9FB1-0C07-4907-88D3-AECB8A496C88}" error="Please choose feedback from drop down only." errorTitle="An invalid feedback was entered" showErrorMessage="1">
          <x14:formula1>
            <xm:f>Combiners!A:A</xm:f>
          </x14:formula1>
          <xm:sqref>O41</xm:sqref>
        </x14:dataValidation>
        <x14:dataValidation type="list" xr:uid="{39DDAB5F-55E7-4EEA-A4C2-68CBC50C831E}" error="Please choose feedback from drop down only." errorTitle="An invalid feedback was entered" showErrorMessage="1">
          <x14:formula1>
            <xm:f>Combiners!A:A</xm:f>
          </x14:formula1>
          <xm:sqref>P41</xm:sqref>
        </x14:dataValidation>
        <x14:dataValidation type="list" xr:uid="{8786EA12-D5FD-4191-8D8F-CD88EAEBC567}" error="Please choose feedback from drop down only." errorTitle="An invalid feedback was entered" showErrorMessage="1">
          <x14:formula1>
            <xm:f>Combiners!A:A</xm:f>
          </x14:formula1>
          <xm:sqref>Q41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3">
    <pageSetUpPr fitToPage="1"/>
  </sheetPr>
  <dimension ref="A1:U45"/>
  <sheetViews>
    <sheetView zoomScale="90" zoomScaleNormal="90" workbookViewId="0">
      <selection sqref="A1:B1"/>
    </sheetView>
  </sheetViews>
  <sheetFormatPr defaultColWidth="9.1328125" defaultRowHeight="12.75"/>
  <cols>
    <col min="1" max="1" bestFit="1" width="10.265625" customWidth="1" style="6"/>
    <col min="2" max="2" bestFit="1" width="40.1328125" customWidth="1" style="7"/>
    <col min="3" max="7" width="9.1328125" customWidth="1" style="21"/>
    <col min="8" max="8" bestFit="1" width="9.3984375" customWidth="1" style="21"/>
    <col min="9" max="16384" width="9.1328125" customWidth="1" style="21"/>
  </cols>
  <sheetData>
    <row r="1" ht="25.15" customHeight="1">
      <c r="A1" s="197">
        <f>Common!B2</f>
        <v>0</v>
      </c>
      <c r="B1" s="198"/>
      <c r="C1" s="257" t="s">
        <v>62</v>
      </c>
      <c r="D1" s="258"/>
      <c r="E1" s="258"/>
      <c r="F1" s="258"/>
      <c r="G1" s="258"/>
      <c r="H1" s="258"/>
      <c r="I1" s="258"/>
      <c r="J1" s="258"/>
      <c r="K1" s="258"/>
      <c r="L1" s="258"/>
      <c r="M1" s="258"/>
      <c r="N1" s="258"/>
      <c r="O1" s="258"/>
      <c r="P1" s="259"/>
    </row>
    <row r="2" ht="18">
      <c r="A2" s="33"/>
      <c r="B2" s="14" t="s">
        <v>1</v>
      </c>
      <c r="C2" s="217">
        <v>1</v>
      </c>
      <c r="D2" s="251"/>
      <c r="E2" s="251"/>
      <c r="F2" s="251"/>
      <c r="G2" s="251"/>
      <c r="H2" s="219"/>
      <c r="I2" s="252">
        <v>2</v>
      </c>
      <c r="J2" s="253"/>
      <c r="K2" s="253"/>
      <c r="L2" s="254"/>
      <c r="M2" s="252">
        <v>3</v>
      </c>
      <c r="N2" s="253"/>
      <c r="O2" s="255"/>
      <c r="P2" s="72">
        <v>4</v>
      </c>
    </row>
    <row r="3" ht="17.25">
      <c r="A3" s="241"/>
      <c r="B3" s="12" t="s">
        <v>2</v>
      </c>
      <c r="C3" s="226"/>
      <c r="D3" s="227"/>
      <c r="E3" s="227"/>
      <c r="F3" s="227"/>
      <c r="G3" s="227"/>
      <c r="H3" s="227"/>
      <c r="I3" s="227"/>
      <c r="J3" s="227"/>
      <c r="K3" s="227"/>
      <c r="L3" s="227"/>
      <c r="M3" s="227"/>
      <c r="N3" s="227"/>
      <c r="O3" s="227"/>
      <c r="P3" s="228"/>
    </row>
    <row r="4" ht="25.15" s="22" customFormat="1">
      <c r="A4" s="241"/>
      <c r="B4" s="9" t="s">
        <v>3</v>
      </c>
      <c r="C4" s="248"/>
      <c r="D4" s="249"/>
      <c r="E4" s="249"/>
      <c r="F4" s="249"/>
      <c r="G4" s="249"/>
      <c r="H4" s="249"/>
      <c r="I4" s="249"/>
      <c r="J4" s="249"/>
      <c r="K4" s="249"/>
      <c r="L4" s="249"/>
      <c r="M4" s="249"/>
      <c r="N4" s="249"/>
      <c r="O4" s="249"/>
      <c r="P4" s="250"/>
    </row>
    <row r="5" ht="24.75">
      <c r="A5" s="241"/>
      <c r="B5" s="13" t="s">
        <v>4</v>
      </c>
      <c r="C5" s="245">
        <v>150</v>
      </c>
      <c r="D5" s="246"/>
      <c r="E5" s="246"/>
      <c r="F5" s="246"/>
      <c r="G5" s="246"/>
      <c r="H5" s="246"/>
      <c r="I5" s="246"/>
      <c r="J5" s="246"/>
      <c r="K5" s="246"/>
      <c r="L5" s="246"/>
      <c r="M5" s="246"/>
      <c r="N5" s="246"/>
      <c r="O5" s="246"/>
      <c r="P5" s="247"/>
    </row>
    <row r="6" ht="25.15" s="22" customFormat="1">
      <c r="A6" s="241"/>
      <c r="B6" s="32" t="s">
        <v>5</v>
      </c>
      <c r="C6" s="260"/>
      <c r="D6" s="261"/>
      <c r="E6" s="261"/>
      <c r="F6" s="261"/>
      <c r="G6" s="261"/>
      <c r="H6" s="261"/>
      <c r="I6" s="261"/>
      <c r="J6" s="261"/>
      <c r="K6" s="261"/>
      <c r="L6" s="261"/>
      <c r="M6" s="261"/>
      <c r="N6" s="261"/>
      <c r="O6" s="261"/>
      <c r="P6" s="262"/>
    </row>
    <row r="7" ht="17.25">
      <c r="A7" s="241"/>
      <c r="B7" s="8" t="s">
        <v>6</v>
      </c>
      <c r="C7" s="226" t="s">
        <v>49</v>
      </c>
      <c r="D7" s="227"/>
      <c r="E7" s="227"/>
      <c r="F7" s="227"/>
      <c r="G7" s="227"/>
      <c r="H7" s="228"/>
      <c r="I7" s="227"/>
      <c r="J7" s="227"/>
      <c r="K7" s="227"/>
      <c r="L7" s="228"/>
      <c r="M7" s="227"/>
      <c r="N7" s="227"/>
      <c r="O7" s="228"/>
      <c r="P7" s="90"/>
    </row>
    <row r="8" ht="17.65" s="22" customFormat="1">
      <c r="A8" s="241"/>
      <c r="B8" s="9" t="s">
        <v>7</v>
      </c>
      <c r="C8" s="229" t="s">
        <v>49</v>
      </c>
      <c r="D8" s="230"/>
      <c r="E8" s="230"/>
      <c r="F8" s="230"/>
      <c r="G8" s="230"/>
      <c r="H8" s="231"/>
      <c r="I8" s="229"/>
      <c r="J8" s="230"/>
      <c r="K8" s="230"/>
      <c r="L8" s="231"/>
      <c r="M8" s="229"/>
      <c r="N8" s="230"/>
      <c r="O8" s="231"/>
      <c r="P8" s="91"/>
    </row>
    <row r="9" ht="17.25">
      <c r="A9" s="241"/>
      <c r="B9" s="8" t="s">
        <v>8</v>
      </c>
      <c r="C9" s="211" t="s">
        <v>50</v>
      </c>
      <c r="D9" s="212"/>
      <c r="E9" s="212"/>
      <c r="F9" s="212"/>
      <c r="G9" s="212"/>
      <c r="H9" s="213"/>
      <c r="I9" s="212"/>
      <c r="J9" s="212"/>
      <c r="K9" s="212"/>
      <c r="L9" s="213"/>
      <c r="M9" s="212"/>
      <c r="N9" s="212"/>
      <c r="O9" s="213"/>
      <c r="P9" s="90"/>
    </row>
    <row r="10" ht="17.65" s="22" customFormat="1">
      <c r="A10" s="241"/>
      <c r="B10" s="10" t="s">
        <v>9</v>
      </c>
      <c r="C10" s="229"/>
      <c r="D10" s="230"/>
      <c r="E10" s="230"/>
      <c r="F10" s="230"/>
      <c r="G10" s="230"/>
      <c r="H10" s="231"/>
      <c r="I10" s="229"/>
      <c r="J10" s="230"/>
      <c r="K10" s="230"/>
      <c r="L10" s="231"/>
      <c r="M10" s="229"/>
      <c r="N10" s="230"/>
      <c r="O10" s="231"/>
      <c r="P10" s="91"/>
    </row>
    <row r="11" ht="17.25">
      <c r="A11" s="241"/>
      <c r="B11" s="8" t="s">
        <v>10</v>
      </c>
      <c r="C11" s="211">
        <v>15</v>
      </c>
      <c r="D11" s="212"/>
      <c r="E11" s="212"/>
      <c r="F11" s="212"/>
      <c r="G11" s="212"/>
      <c r="H11" s="213"/>
      <c r="I11" s="212"/>
      <c r="J11" s="212"/>
      <c r="K11" s="212"/>
      <c r="L11" s="213"/>
      <c r="M11" s="212"/>
      <c r="N11" s="212"/>
      <c r="O11" s="213"/>
      <c r="P11" s="90"/>
    </row>
    <row r="12" ht="17.65" s="22" customFormat="1">
      <c r="A12" s="241"/>
      <c r="B12" s="10" t="s">
        <v>11</v>
      </c>
      <c r="C12" s="214"/>
      <c r="D12" s="215"/>
      <c r="E12" s="215"/>
      <c r="F12" s="215"/>
      <c r="G12" s="215"/>
      <c r="H12" s="216"/>
      <c r="I12" s="214"/>
      <c r="J12" s="215"/>
      <c r="K12" s="215"/>
      <c r="L12" s="216"/>
      <c r="M12" s="214"/>
      <c r="N12" s="215"/>
      <c r="O12" s="216"/>
      <c r="P12" s="91"/>
    </row>
    <row r="13" ht="17.25">
      <c r="A13" s="241"/>
      <c r="B13" s="8" t="s">
        <v>12</v>
      </c>
      <c r="C13" s="211"/>
      <c r="D13" s="212"/>
      <c r="E13" s="212"/>
      <c r="F13" s="212"/>
      <c r="G13" s="212"/>
      <c r="H13" s="213"/>
      <c r="I13" s="212"/>
      <c r="J13" s="212"/>
      <c r="K13" s="212"/>
      <c r="L13" s="213"/>
      <c r="M13" s="212"/>
      <c r="N13" s="212"/>
      <c r="O13" s="213"/>
      <c r="P13" s="90"/>
    </row>
    <row r="14" ht="17.65" s="22" customFormat="1">
      <c r="A14" s="241"/>
      <c r="B14" s="10" t="s">
        <v>13</v>
      </c>
      <c r="C14" s="208"/>
      <c r="D14" s="209"/>
      <c r="E14" s="209"/>
      <c r="F14" s="209"/>
      <c r="G14" s="209"/>
      <c r="H14" s="210"/>
      <c r="I14" s="208"/>
      <c r="J14" s="209"/>
      <c r="K14" s="209"/>
      <c r="L14" s="210"/>
      <c r="M14" s="208"/>
      <c r="N14" s="209"/>
      <c r="O14" s="210"/>
      <c r="P14" s="92"/>
    </row>
    <row r="15" ht="17.25">
      <c r="A15" s="241"/>
      <c r="B15" s="8" t="s">
        <v>14</v>
      </c>
      <c r="C15" s="211">
        <v>0</v>
      </c>
      <c r="D15" s="212"/>
      <c r="E15" s="212"/>
      <c r="F15" s="212"/>
      <c r="G15" s="212"/>
      <c r="H15" s="213"/>
      <c r="I15" s="212"/>
      <c r="J15" s="212"/>
      <c r="K15" s="212"/>
      <c r="L15" s="213"/>
      <c r="M15" s="212"/>
      <c r="N15" s="212"/>
      <c r="O15" s="213"/>
      <c r="P15" s="93"/>
    </row>
    <row r="16" ht="17.25" s="22" customFormat="1">
      <c r="A16" s="241"/>
      <c r="B16" s="68" t="s">
        <v>15</v>
      </c>
      <c r="C16" s="199"/>
      <c r="D16" s="200"/>
      <c r="E16" s="200"/>
      <c r="F16" s="200"/>
      <c r="G16" s="200"/>
      <c r="H16" s="201"/>
      <c r="I16" s="202"/>
      <c r="J16" s="203"/>
      <c r="K16" s="203"/>
      <c r="L16" s="204"/>
      <c r="M16" s="202"/>
      <c r="N16" s="203"/>
      <c r="O16" s="204"/>
      <c r="P16" s="75"/>
    </row>
    <row r="17" ht="17.25">
      <c r="A17" s="256"/>
      <c r="B17" s="70" t="s">
        <v>16</v>
      </c>
      <c r="C17" s="65" t="s">
        <v>17</v>
      </c>
      <c r="D17" s="65" t="s">
        <v>18</v>
      </c>
      <c r="E17" s="65" t="s">
        <v>19</v>
      </c>
      <c r="F17" s="65" t="s">
        <v>20</v>
      </c>
      <c r="G17" s="65" t="s">
        <v>21</v>
      </c>
      <c r="H17" s="65" t="s">
        <v>22</v>
      </c>
      <c r="I17" s="65" t="s">
        <v>17</v>
      </c>
      <c r="J17" s="65" t="s">
        <v>18</v>
      </c>
      <c r="K17" s="65" t="s">
        <v>19</v>
      </c>
      <c r="L17" s="65" t="s">
        <v>20</v>
      </c>
      <c r="M17" s="65" t="s">
        <v>17</v>
      </c>
      <c r="N17" s="65" t="s">
        <v>18</v>
      </c>
      <c r="O17" s="65" t="s">
        <v>19</v>
      </c>
      <c r="P17" s="76" t="s">
        <v>17</v>
      </c>
    </row>
    <row r="18" ht="17.25">
      <c r="A18" s="256"/>
      <c r="B18" s="70" t="s">
        <v>23</v>
      </c>
      <c r="C18" s="63" t="s">
        <v>51</v>
      </c>
      <c r="D18" s="64" t="s">
        <v>52</v>
      </c>
      <c r="E18" s="64" t="s">
        <v>53</v>
      </c>
      <c r="F18" s="64"/>
      <c r="G18" s="64"/>
      <c r="H18" s="65"/>
      <c r="I18" s="63"/>
      <c r="J18" s="64"/>
      <c r="K18" s="64"/>
      <c r="L18" s="65"/>
      <c r="M18" s="63"/>
      <c r="N18" s="64"/>
      <c r="O18" s="65"/>
      <c r="P18" s="77"/>
    </row>
    <row r="19" ht="17.25">
      <c r="A19" s="256"/>
      <c r="B19" s="71" t="s">
        <v>24</v>
      </c>
      <c r="C19" s="99">
        <f>VLOOKUP(C8,AntennasPortName!A:H,2,FALSE)</f>
      </c>
      <c r="D19" s="99">
        <f>VLOOKUP(C8,AntennasPortName!A:H,3,FALSE)</f>
      </c>
      <c r="E19" s="99">
        <f>VLOOKUP(C8,AntennasPortName!A:H,4,FALSE)</f>
      </c>
      <c r="F19" s="99">
        <f>VLOOKUP(C8,AntennasPortName!A:H,5,FALSE)</f>
      </c>
      <c r="G19" s="99">
        <f>VLOOKUP(C8,AntennasPortName!A:H,6,FALSE)</f>
      </c>
      <c r="H19" s="99">
        <f>VLOOKUP(C8,AntennasPortName!A:H,7,FALSE)</f>
      </c>
      <c r="I19" s="99">
        <f>VLOOKUP(I8,AntennasPortName!A:H,2,FALSE)</f>
      </c>
      <c r="J19" s="99">
        <f>VLOOKUP(I8,AntennasPortName!A:H,3,FALSE)</f>
      </c>
      <c r="K19" s="99">
        <f>VLOOKUP(I8,AntennasPortName!A:H,4,FALSE)</f>
      </c>
      <c r="L19" s="99">
        <f>VLOOKUP(I8,AntennasPortName!A:H,5,FALSE)</f>
      </c>
      <c r="M19" s="99">
        <f>VLOOKUP(M8,AntennasPortName!A:H,2,FALSE)</f>
      </c>
      <c r="N19" s="99">
        <f>VLOOKUP(M8,AntennasPortName!A:H,3,FALSE)</f>
      </c>
      <c r="O19" s="99">
        <f>VLOOKUP(M8,AntennasPortName!A:H,4,FALSE)</f>
      </c>
      <c r="P19" s="99">
        <f>VLOOKUP(P8,AntennasPortName!A:H,2,FALSE)</f>
      </c>
    </row>
    <row r="20" ht="17.25">
      <c r="A20" s="241"/>
      <c r="B20" s="69" t="s">
        <v>25</v>
      </c>
      <c r="C20" s="61" t="s">
        <v>54</v>
      </c>
      <c r="D20" s="62" t="s">
        <v>55</v>
      </c>
      <c r="E20" s="62" t="s">
        <v>54</v>
      </c>
      <c r="F20" s="62"/>
      <c r="G20" s="62"/>
      <c r="H20" s="62"/>
      <c r="I20" s="61"/>
      <c r="J20" s="62"/>
      <c r="K20" s="62"/>
      <c r="L20" s="66"/>
      <c r="M20" s="67"/>
      <c r="N20" s="62"/>
      <c r="O20" s="66"/>
      <c r="P20" s="66"/>
    </row>
    <row r="21" ht="17.65">
      <c r="A21" s="241"/>
      <c r="B21" s="18" t="s">
        <v>26</v>
      </c>
      <c r="C21" s="42">
        <f>VLOOKUP(C8,Antennas!A:H,2,FALSE)</f>
      </c>
      <c r="D21" s="43">
        <f>VLOOKUP(C8,Antennas!A:H,3,FALSE)</f>
      </c>
      <c r="E21" s="43">
        <f>VLOOKUP(C8,Antennas!A:H,4,FALSE)</f>
      </c>
      <c r="F21" s="43">
        <f>VLOOKUP(C8,Antennas!A:H,5,FALSE)</f>
      </c>
      <c r="G21" s="43">
        <f>VLOOKUP(C8,Antennas!A:H,6,FALSE)</f>
      </c>
      <c r="H21" s="43">
        <f>VLOOKUP(C8,Antennas!A:H,7,FALSE)</f>
      </c>
      <c r="I21" s="43">
        <f>VLOOKUP(I8,Antennas!A:H,2,FALSE)</f>
      </c>
      <c r="J21" s="43">
        <f>VLOOKUP(I8,Antennas!A:H,3,FALSE)</f>
      </c>
      <c r="K21" s="43">
        <f>VLOOKUP(I8,Antennas!A:H,4,FALSE)</f>
      </c>
      <c r="L21" s="44">
        <f>VLOOKUP(I8,Antennas!A:H,5,FALSE)</f>
      </c>
      <c r="M21" s="45">
        <f>VLOOKUP(M8,Antennas!A:H,2,FALSE)</f>
      </c>
      <c r="N21" s="43">
        <f>VLOOKUP(M8,Antennas!A:H,3,FALSE)</f>
      </c>
      <c r="O21" s="42">
        <f>VLOOKUP(M8,Antennas!A:H,4,FALSE)</f>
      </c>
      <c r="P21" s="42">
        <f>VLOOKUP(P8,Antennas!A:H,2,FALSE)</f>
      </c>
      <c r="R21" s="17"/>
    </row>
    <row r="22" ht="17.65" s="22" customFormat="1">
      <c r="A22" s="241"/>
      <c r="B22" s="28" t="s">
        <v>27</v>
      </c>
      <c r="C22" s="46"/>
      <c r="D22" s="47"/>
      <c r="E22" s="47"/>
      <c r="F22" s="47"/>
      <c r="G22" s="47"/>
      <c r="H22" s="47"/>
      <c r="I22" s="47"/>
      <c r="J22" s="47"/>
      <c r="K22" s="47"/>
      <c r="L22" s="48"/>
      <c r="M22" s="49"/>
      <c r="N22" s="47"/>
      <c r="O22" s="50"/>
      <c r="P22" s="50"/>
    </row>
    <row r="23" ht="17.65" s="22" customFormat="1">
      <c r="A23" s="241"/>
      <c r="B23" s="28" t="s">
        <v>28</v>
      </c>
      <c r="C23" s="46"/>
      <c r="D23" s="46"/>
      <c r="E23" s="46"/>
      <c r="F23" s="46"/>
      <c r="G23" s="46"/>
      <c r="H23" s="46"/>
      <c r="I23" s="46"/>
      <c r="J23" s="46"/>
      <c r="K23" s="46"/>
      <c r="L23" s="46"/>
      <c r="M23" s="46"/>
      <c r="N23" s="46"/>
      <c r="O23" s="46"/>
      <c r="P23" s="46"/>
    </row>
    <row r="24" ht="17.25">
      <c r="A24" s="241"/>
      <c r="B24" s="11" t="s">
        <v>29</v>
      </c>
      <c r="C24" s="25" t="s">
        <v>56</v>
      </c>
      <c r="D24" s="25" t="s">
        <v>57</v>
      </c>
      <c r="E24" s="25" t="s">
        <v>57</v>
      </c>
      <c r="F24" s="25"/>
      <c r="G24" s="25"/>
      <c r="H24" s="25"/>
      <c r="I24" s="25"/>
      <c r="J24" s="25"/>
      <c r="K24" s="25"/>
      <c r="L24" s="25"/>
      <c r="M24" s="25"/>
      <c r="N24" s="25"/>
      <c r="O24" s="25"/>
      <c r="P24" s="25"/>
    </row>
    <row r="25" ht="17.65" s="22" customFormat="1">
      <c r="A25" s="241"/>
      <c r="B25" s="29" t="s">
        <v>30</v>
      </c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78"/>
    </row>
    <row r="26" ht="17.25">
      <c r="A26" s="241"/>
      <c r="B26" s="27" t="s">
        <v>31</v>
      </c>
      <c r="C26" s="24">
        <v>1</v>
      </c>
      <c r="D26" s="24">
        <v>0</v>
      </c>
      <c r="E26" s="24">
        <v>0</v>
      </c>
      <c r="F26" s="24"/>
      <c r="G26" s="24"/>
      <c r="H26" s="24"/>
      <c r="I26" s="24"/>
      <c r="J26" s="24"/>
      <c r="K26" s="24"/>
      <c r="L26" s="24"/>
      <c r="M26" s="24"/>
      <c r="N26" s="24"/>
      <c r="O26" s="24"/>
      <c r="P26" s="24"/>
    </row>
    <row r="27" ht="17.65" s="22" customFormat="1">
      <c r="A27" s="241"/>
      <c r="B27" s="30" t="s">
        <v>32</v>
      </c>
      <c r="C27" s="52"/>
      <c r="D27" s="52"/>
      <c r="E27" s="52"/>
      <c r="F27" s="52"/>
      <c r="G27" s="52"/>
      <c r="H27" s="52"/>
      <c r="I27" s="52"/>
      <c r="J27" s="52"/>
      <c r="K27" s="52"/>
      <c r="L27" s="52"/>
      <c r="M27" s="52"/>
      <c r="N27" s="52"/>
      <c r="O27" s="52"/>
      <c r="P27" s="52"/>
    </row>
    <row r="28" ht="17.25">
      <c r="A28" s="241"/>
      <c r="B28" s="11" t="s">
        <v>33</v>
      </c>
      <c r="C28" s="24"/>
      <c r="D28" s="24"/>
      <c r="E28" s="24"/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</row>
    <row r="29" ht="17.65" s="22" customFormat="1">
      <c r="A29" s="241"/>
      <c r="B29" s="31" t="s">
        <v>34</v>
      </c>
      <c r="C29" s="51"/>
      <c r="D29" s="51"/>
      <c r="E29" s="51"/>
      <c r="F29" s="51"/>
      <c r="G29" s="51"/>
      <c r="H29" s="51"/>
      <c r="I29" s="51"/>
      <c r="J29" s="51"/>
      <c r="K29" s="51"/>
      <c r="L29" s="51"/>
      <c r="M29" s="51"/>
      <c r="N29" s="51"/>
      <c r="O29" s="51"/>
      <c r="P29" s="78"/>
    </row>
    <row r="30" ht="17.25">
      <c r="A30" s="241"/>
      <c r="B30" s="27" t="s">
        <v>35</v>
      </c>
      <c r="C30" s="24" t="s">
        <v>58</v>
      </c>
      <c r="D30" s="24"/>
      <c r="E30" s="24"/>
      <c r="F30" s="24"/>
      <c r="G30" s="24"/>
      <c r="H30" s="24"/>
      <c r="I30" s="24"/>
      <c r="J30" s="24"/>
      <c r="K30" s="24"/>
      <c r="L30" s="24"/>
      <c r="M30" s="24"/>
      <c r="N30" s="24"/>
      <c r="O30" s="24"/>
      <c r="P30" s="24"/>
    </row>
    <row r="31" ht="17.65" s="22" customFormat="1">
      <c r="A31" s="241"/>
      <c r="B31" s="30" t="s">
        <v>36</v>
      </c>
      <c r="C31" s="53"/>
      <c r="D31" s="53"/>
      <c r="E31" s="53"/>
      <c r="F31" s="53"/>
      <c r="G31" s="53"/>
      <c r="H31" s="53"/>
      <c r="I31" s="53"/>
      <c r="J31" s="53"/>
      <c r="K31" s="53"/>
      <c r="L31" s="53"/>
      <c r="M31" s="53"/>
      <c r="N31" s="53"/>
      <c r="O31" s="53"/>
      <c r="P31" s="79"/>
    </row>
    <row r="32" ht="17.25">
      <c r="A32" s="241"/>
      <c r="B32" s="11" t="s">
        <v>37</v>
      </c>
      <c r="C32" s="25">
        <v>15</v>
      </c>
      <c r="D32" s="25">
        <v>0</v>
      </c>
      <c r="E32" s="25">
        <v>0</v>
      </c>
      <c r="F32" s="25"/>
      <c r="G32" s="25"/>
      <c r="H32" s="25"/>
      <c r="I32" s="25"/>
      <c r="J32" s="25"/>
      <c r="K32" s="25"/>
      <c r="L32" s="25"/>
      <c r="M32" s="25"/>
      <c r="N32" s="25"/>
      <c r="O32" s="25"/>
      <c r="P32" s="25"/>
    </row>
    <row r="33" ht="17.65" s="22" customFormat="1">
      <c r="A33" s="241"/>
      <c r="B33" s="30" t="s">
        <v>38</v>
      </c>
      <c r="C33" s="51"/>
      <c r="D33" s="51"/>
      <c r="E33" s="51"/>
      <c r="F33" s="51"/>
      <c r="G33" s="51"/>
      <c r="H33" s="51"/>
      <c r="I33" s="51"/>
      <c r="J33" s="51"/>
      <c r="K33" s="51"/>
      <c r="L33" s="51"/>
      <c r="M33" s="51"/>
      <c r="N33" s="51"/>
      <c r="O33" s="51"/>
      <c r="P33" s="78"/>
    </row>
    <row r="34" ht="17.25">
      <c r="A34" s="241"/>
      <c r="B34" s="27" t="s">
        <v>39</v>
      </c>
      <c r="C34" s="24" t="s">
        <v>59</v>
      </c>
      <c r="D34" s="24"/>
      <c r="E34" s="24"/>
      <c r="F34" s="24"/>
      <c r="G34" s="24"/>
      <c r="H34" s="24"/>
      <c r="I34" s="24"/>
      <c r="J34" s="24"/>
      <c r="K34" s="24"/>
      <c r="L34" s="24"/>
      <c r="M34" s="24"/>
      <c r="N34" s="24"/>
      <c r="O34" s="24"/>
      <c r="P34" s="24"/>
      <c r="U34" s="22"/>
    </row>
    <row r="35" ht="17.65" s="22" customFormat="1">
      <c r="A35" s="241"/>
      <c r="B35" s="28" t="s">
        <v>40</v>
      </c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78"/>
      <c r="U35" s="21"/>
    </row>
    <row r="36" ht="17.25">
      <c r="A36" s="241"/>
      <c r="B36" s="11" t="s">
        <v>41</v>
      </c>
      <c r="C36" s="25" t="s">
        <v>60</v>
      </c>
      <c r="D36" s="25"/>
      <c r="E36" s="25"/>
      <c r="F36" s="25"/>
      <c r="G36" s="25"/>
      <c r="H36" s="25"/>
      <c r="I36" s="25"/>
      <c r="J36" s="25"/>
      <c r="K36" s="25"/>
      <c r="L36" s="25"/>
      <c r="M36" s="25"/>
      <c r="N36" s="25"/>
      <c r="O36" s="25"/>
      <c r="P36" s="25"/>
    </row>
    <row r="37" ht="17.65" s="22" customFormat="1">
      <c r="A37" s="241"/>
      <c r="B37" s="28" t="s">
        <v>42</v>
      </c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78"/>
    </row>
    <row r="38" ht="17.25">
      <c r="A38" s="241"/>
      <c r="B38" s="11" t="s">
        <v>43</v>
      </c>
      <c r="C38" s="25" t="s">
        <v>61</v>
      </c>
      <c r="D38" s="25"/>
      <c r="E38" s="25"/>
      <c r="F38" s="25"/>
      <c r="G38" s="25"/>
      <c r="H38" s="25"/>
      <c r="I38" s="25"/>
      <c r="J38" s="25"/>
      <c r="K38" s="25"/>
      <c r="L38" s="25"/>
      <c r="M38" s="25"/>
      <c r="N38" s="25"/>
      <c r="O38" s="25"/>
      <c r="P38" s="25"/>
    </row>
    <row r="39" ht="17.65" s="22" customFormat="1">
      <c r="A39" s="241"/>
      <c r="B39" s="28" t="s">
        <v>44</v>
      </c>
      <c r="C39" s="51"/>
      <c r="D39" s="51"/>
      <c r="E39" s="51"/>
      <c r="F39" s="51"/>
      <c r="G39" s="51"/>
      <c r="H39" s="51"/>
      <c r="I39" s="51"/>
      <c r="J39" s="51"/>
      <c r="K39" s="51"/>
      <c r="L39" s="51"/>
      <c r="M39" s="51"/>
      <c r="N39" s="51"/>
      <c r="O39" s="51"/>
      <c r="P39" s="78"/>
    </row>
    <row r="40" ht="17.25">
      <c r="A40" s="241"/>
      <c r="B40" s="11" t="s">
        <v>45</v>
      </c>
      <c r="C40" s="26" t="s">
        <v>61</v>
      </c>
      <c r="D40" s="26"/>
      <c r="E40" s="26"/>
      <c r="F40" s="26"/>
      <c r="G40" s="26"/>
      <c r="H40" s="26"/>
      <c r="I40" s="26"/>
      <c r="J40" s="26"/>
      <c r="K40" s="26"/>
      <c r="L40" s="26"/>
      <c r="M40" s="26"/>
      <c r="N40" s="26"/>
      <c r="O40" s="26"/>
      <c r="P40" s="26"/>
    </row>
    <row r="41" ht="17.65" s="22" customFormat="1">
      <c r="A41" s="241"/>
      <c r="B41" s="29" t="s">
        <v>46</v>
      </c>
      <c r="C41" s="51"/>
      <c r="D41" s="51"/>
      <c r="E41" s="51"/>
      <c r="F41" s="51"/>
      <c r="G41" s="51"/>
      <c r="H41" s="51"/>
      <c r="I41" s="51"/>
      <c r="J41" s="51"/>
      <c r="K41" s="51"/>
      <c r="L41" s="51"/>
      <c r="M41" s="51"/>
      <c r="N41" s="51"/>
      <c r="O41" s="51"/>
      <c r="P41" s="78"/>
    </row>
    <row r="42" ht="12.75" customHeight="1">
      <c r="A42" s="223" t="s">
        <v>47</v>
      </c>
      <c r="B42" s="280"/>
      <c r="C42" s="233"/>
      <c r="D42" s="233"/>
      <c r="E42" s="233"/>
      <c r="F42" s="233"/>
      <c r="G42" s="233"/>
      <c r="H42" s="233"/>
      <c r="I42" s="233"/>
      <c r="J42" s="233"/>
      <c r="K42" s="233"/>
      <c r="L42" s="233"/>
      <c r="M42" s="233"/>
      <c r="N42" s="233"/>
      <c r="O42" s="233"/>
      <c r="P42" s="234"/>
      <c r="Q42" s="22"/>
      <c r="R42" s="22"/>
      <c r="S42" s="22"/>
    </row>
    <row r="43" ht="13.15" customHeight="1">
      <c r="A43" s="224"/>
      <c r="B43" s="235"/>
      <c r="C43" s="236"/>
      <c r="D43" s="236"/>
      <c r="E43" s="236"/>
      <c r="F43" s="236"/>
      <c r="G43" s="236"/>
      <c r="H43" s="236"/>
      <c r="I43" s="236"/>
      <c r="J43" s="236"/>
      <c r="K43" s="236"/>
      <c r="L43" s="236"/>
      <c r="M43" s="236"/>
      <c r="N43" s="236"/>
      <c r="O43" s="236"/>
      <c r="P43" s="237"/>
      <c r="Q43" s="22"/>
      <c r="R43" s="22"/>
      <c r="S43" s="22"/>
    </row>
    <row r="44" ht="13.15" customHeight="1">
      <c r="A44" s="224"/>
      <c r="B44" s="235"/>
      <c r="C44" s="236"/>
      <c r="D44" s="236"/>
      <c r="E44" s="236"/>
      <c r="F44" s="236"/>
      <c r="G44" s="236"/>
      <c r="H44" s="236"/>
      <c r="I44" s="236"/>
      <c r="J44" s="236"/>
      <c r="K44" s="236"/>
      <c r="L44" s="236"/>
      <c r="M44" s="236"/>
      <c r="N44" s="236"/>
      <c r="O44" s="236"/>
      <c r="P44" s="237"/>
      <c r="Q44" s="22"/>
      <c r="R44" s="22"/>
      <c r="S44" s="22"/>
    </row>
    <row r="45" ht="13.9" customHeight="1">
      <c r="A45" s="225"/>
      <c r="B45" s="238"/>
      <c r="C45" s="239"/>
      <c r="D45" s="239"/>
      <c r="E45" s="239"/>
      <c r="F45" s="239"/>
      <c r="G45" s="239"/>
      <c r="H45" s="239"/>
      <c r="I45" s="239"/>
      <c r="J45" s="239"/>
      <c r="K45" s="239"/>
      <c r="L45" s="239"/>
      <c r="M45" s="239"/>
      <c r="N45" s="239"/>
      <c r="O45" s="239"/>
      <c r="P45" s="240"/>
      <c r="Q45" s="22"/>
      <c r="R45" s="22"/>
      <c r="S45" s="22"/>
    </row>
  </sheetData>
  <mergeCells>
    <mergeCell ref="C1:P1"/>
    <mergeCell ref="C3:P3"/>
    <mergeCell ref="C4:P4"/>
    <mergeCell ref="C5:P5"/>
    <mergeCell ref="C6:P6"/>
    <mergeCell ref="C16:H16"/>
    <mergeCell ref="I16:L16"/>
    <mergeCell ref="M16:O16"/>
    <mergeCell ref="B42:P45"/>
    <mergeCell ref="C12:H12"/>
    <mergeCell ref="I12:L12"/>
    <mergeCell ref="M12:O12"/>
    <mergeCell ref="C13:H13"/>
    <mergeCell ref="I13:L13"/>
    <mergeCell ref="M13:O13"/>
    <mergeCell ref="C14:H14"/>
    <mergeCell ref="I14:L14"/>
    <mergeCell ref="M14:O14"/>
    <mergeCell ref="C15:H15"/>
    <mergeCell ref="I15:L15"/>
    <mergeCell ref="M15:O15"/>
    <mergeCell ref="C10:H10"/>
    <mergeCell ref="I10:L10"/>
    <mergeCell ref="M10:O10"/>
    <mergeCell ref="C11:H11"/>
    <mergeCell ref="I11:L11"/>
    <mergeCell ref="M11:O11"/>
    <mergeCell ref="C8:H8"/>
    <mergeCell ref="I8:L8"/>
    <mergeCell ref="M8:O8"/>
    <mergeCell ref="C9:H9"/>
    <mergeCell ref="I9:L9"/>
    <mergeCell ref="M9:O9"/>
    <mergeCell ref="A1:B1"/>
    <mergeCell ref="A42:A45"/>
    <mergeCell ref="A36:A41"/>
    <mergeCell ref="A34:A35"/>
    <mergeCell ref="A3:A33"/>
    <mergeCell ref="C7:H7"/>
    <mergeCell ref="C2:H2"/>
    <mergeCell ref="I2:L2"/>
    <mergeCell ref="M2:O2"/>
    <mergeCell ref="I7:L7"/>
    <mergeCell ref="M7:O7"/>
  </mergeCells>
  <conditionalFormatting sqref="C22:E22 C4 H22:O22">
    <cfRule type="cellIs" dxfId="0" priority="43" operator="greaterThan">
      <formula>0</formula>
    </cfRule>
  </conditionalFormatting>
  <conditionalFormatting sqref="C21:E21 H21:O21">
    <cfRule type="expression" dxfId="1" priority="42">
      <formula>ISERROR(C21)</formula>
    </cfRule>
  </conditionalFormatting>
  <conditionalFormatting sqref="C21:E21 H21:O21">
    <cfRule type="cellIs" dxfId="1" priority="41" operator="equal">
      <formula>0</formula>
    </cfRule>
  </conditionalFormatting>
  <conditionalFormatting sqref="C21:E21 H21:O21">
    <cfRule type="cellIs" dxfId="3" priority="40" operator="greaterThan">
      <formula>0</formula>
    </cfRule>
  </conditionalFormatting>
  <conditionalFormatting sqref="C27:O27 D29:O29 D33:O33">
    <cfRule type="cellIs" dxfId="0" priority="39" operator="notEqual">
      <formula>VALUE(C26)</formula>
    </cfRule>
  </conditionalFormatting>
  <conditionalFormatting sqref="C8:O8 C10:O10 C12:O12 C14:O14 C16:O16 C27:O27 D29:O29 D31:O31 D33:O33 D35:O35 D37:O37 D25:O25 D39:O39 D41:O41">
    <cfRule type="expression" dxfId="10" priority="35">
      <formula>ISBLANK(C8)</formula>
    </cfRule>
  </conditionalFormatting>
  <conditionalFormatting sqref="C29">
    <cfRule type="cellIs" dxfId="0" priority="37" operator="notEqual">
      <formula>VALUE(C28)</formula>
    </cfRule>
  </conditionalFormatting>
  <conditionalFormatting sqref="C29">
    <cfRule type="expression" dxfId="10" priority="36">
      <formula>ISBLANK(C29)</formula>
    </cfRule>
  </conditionalFormatting>
  <conditionalFormatting sqref="C8:O8 C10:O10 C12:O12 C14:O14 C16:O16 C31:O31 D35:O35 D37:O37 D25:O25 D39:O39 D41:O41">
    <cfRule type="cellIs" dxfId="0" priority="38" operator="notEqual">
      <formula>C7</formula>
    </cfRule>
  </conditionalFormatting>
  <conditionalFormatting sqref="C31">
    <cfRule type="expression" dxfId="10" priority="34">
      <formula>ISBLANK(C31)</formula>
    </cfRule>
  </conditionalFormatting>
  <conditionalFormatting sqref="C33">
    <cfRule type="cellIs" dxfId="0" priority="33" operator="notEqual">
      <formula>VALUE(C32)</formula>
    </cfRule>
  </conditionalFormatting>
  <conditionalFormatting sqref="C33">
    <cfRule type="expression" dxfId="10" priority="32">
      <formula>ISBLANK(C33)</formula>
    </cfRule>
  </conditionalFormatting>
  <conditionalFormatting sqref="C35">
    <cfRule type="cellIs" dxfId="0" priority="31" operator="notEqual">
      <formula>C34</formula>
    </cfRule>
  </conditionalFormatting>
  <conditionalFormatting sqref="C35">
    <cfRule type="expression" dxfId="10" priority="30">
      <formula>ISBLANK(C35)</formula>
    </cfRule>
  </conditionalFormatting>
  <conditionalFormatting sqref="C37">
    <cfRule type="cellIs" dxfId="0" priority="29" operator="notEqual">
      <formula>C36</formula>
    </cfRule>
  </conditionalFormatting>
  <conditionalFormatting sqref="C37">
    <cfRule type="expression" dxfId="10" priority="28">
      <formula>ISBLANK(C37)</formula>
    </cfRule>
  </conditionalFormatting>
  <conditionalFormatting sqref="C6">
    <cfRule type="expression" dxfId="10" priority="26">
      <formula>ISBLANK(C6)</formula>
    </cfRule>
    <cfRule type="cellIs" dxfId="0" priority="27" operator="notEqual">
      <formula>C5</formula>
    </cfRule>
  </conditionalFormatting>
  <conditionalFormatting sqref="C25">
    <cfRule type="cellIs" dxfId="0" priority="25" operator="notEqual">
      <formula>C24</formula>
    </cfRule>
  </conditionalFormatting>
  <conditionalFormatting sqref="C25">
    <cfRule type="expression" dxfId="10" priority="24">
      <formula>ISBLANK(C25)</formula>
    </cfRule>
  </conditionalFormatting>
  <conditionalFormatting sqref="C39">
    <cfRule type="cellIs" dxfId="0" priority="23" operator="notEqual">
      <formula>C38</formula>
    </cfRule>
  </conditionalFormatting>
  <conditionalFormatting sqref="C39">
    <cfRule type="expression" dxfId="10" priority="22">
      <formula>ISBLANK(C39)</formula>
    </cfRule>
  </conditionalFormatting>
  <conditionalFormatting sqref="C41">
    <cfRule type="cellIs" dxfId="0" priority="21" operator="notEqual">
      <formula>C40</formula>
    </cfRule>
  </conditionalFormatting>
  <conditionalFormatting sqref="C41">
    <cfRule type="expression" dxfId="10" priority="20">
      <formula>ISBLANK(C41)</formula>
    </cfRule>
  </conditionalFormatting>
  <conditionalFormatting sqref="C24:O41">
    <cfRule type="expression" dxfId="1" priority="19" stopIfTrue="1">
      <formula>OR(C$22="Free",C$22="Telenor",C$22="Mtel",C$22="Telenor&amp;Mtel")</formula>
    </cfRule>
  </conditionalFormatting>
  <conditionalFormatting sqref="F22:G22">
    <cfRule type="cellIs" dxfId="0" priority="18" operator="greaterThan">
      <formula>0</formula>
    </cfRule>
  </conditionalFormatting>
  <conditionalFormatting sqref="F21:G21">
    <cfRule type="expression" dxfId="1" priority="17">
      <formula>ISERROR(F21)</formula>
    </cfRule>
  </conditionalFormatting>
  <conditionalFormatting sqref="F21:G21">
    <cfRule type="cellIs" dxfId="1" priority="16" operator="equal">
      <formula>0</formula>
    </cfRule>
  </conditionalFormatting>
  <conditionalFormatting sqref="F21:G21">
    <cfRule type="cellIs" dxfId="3" priority="15" operator="greaterThan">
      <formula>0</formula>
    </cfRule>
  </conditionalFormatting>
  <conditionalFormatting sqref="P22">
    <cfRule type="cellIs" dxfId="0" priority="14" operator="greaterThan">
      <formula>0</formula>
    </cfRule>
  </conditionalFormatting>
  <conditionalFormatting sqref="P21">
    <cfRule type="expression" dxfId="1" priority="13">
      <formula>ISERROR(P21)</formula>
    </cfRule>
  </conditionalFormatting>
  <conditionalFormatting sqref="P21">
    <cfRule type="cellIs" dxfId="1" priority="12" operator="equal">
      <formula>0</formula>
    </cfRule>
  </conditionalFormatting>
  <conditionalFormatting sqref="P21">
    <cfRule type="cellIs" dxfId="3" priority="11" operator="greaterThan">
      <formula>0</formula>
    </cfRule>
  </conditionalFormatting>
  <conditionalFormatting sqref="P27 P29 P33">
    <cfRule type="cellIs" dxfId="0" priority="10" operator="notEqual">
      <formula>VALUE(P26)</formula>
    </cfRule>
  </conditionalFormatting>
  <conditionalFormatting sqref="P8 P10 P12 P14 P16 P27 P29 P31 P33 P35 P37 P25 P39 P41">
    <cfRule type="expression" dxfId="10" priority="8">
      <formula>ISBLANK(P8)</formula>
    </cfRule>
  </conditionalFormatting>
  <conditionalFormatting sqref="P8 P10 P12 P14 P16 P31 P35 P37 P25 P39 P41">
    <cfRule type="cellIs" dxfId="0" priority="9" operator="notEqual">
      <formula>P7</formula>
    </cfRule>
  </conditionalFormatting>
  <conditionalFormatting sqref="P24:P41">
    <cfRule type="expression" dxfId="1" priority="7" stopIfTrue="1">
      <formula>OR(P$22="Free",P$22="Telenor",P$22="Mtel",P$22="Telenor&amp;Mtel")</formula>
    </cfRule>
  </conditionalFormatting>
  <conditionalFormatting sqref="C19">
    <cfRule type="cellIs" dxfId="1" priority="4" operator="equal">
      <formula>0</formula>
    </cfRule>
    <cfRule type="expression" dxfId="1" priority="6">
      <formula>ISERROR(C19)</formula>
    </cfRule>
  </conditionalFormatting>
  <conditionalFormatting sqref="D19:P19">
    <cfRule type="cellIs" dxfId="1" priority="2" operator="equal">
      <formula>0</formula>
    </cfRule>
    <cfRule type="expression" dxfId="1" priority="3">
      <formula>ISERROR(D19)</formula>
    </cfRule>
  </conditionalFormatting>
  <conditionalFormatting sqref="C23:P23">
    <cfRule type="cellIs" dxfId="0" priority="1" operator="greaterThan">
      <formula>0</formula>
    </cfRule>
  </conditionalFormatting>
  <dataValidations count="165">
    <dataValidation type="list" xr:uid="{1AF007D7-5D4C-4738-9244-1C3C7821FECA}" sqref="C2" showErrorMessage="1" errorTitle="An invalid feedback was entered" error="Please choose feedback from drop down only.">
      <formula1>"1,2,3"</formula1>
    </dataValidation>
    <dataValidation type="list" xr:uid="{5D3B3C30-FA99-4297-B5D5-F82DC557E101}" sqref="D2" showErrorMessage="1" errorTitle="An invalid feedback was entered" error="Please choose feedback from drop down only.">
      <formula1>"1,2,3"</formula1>
    </dataValidation>
    <dataValidation type="list" xr:uid="{A1BF418F-6C1F-491C-B21F-FB335EF8F132}" sqref="E2" showErrorMessage="1" errorTitle="An invalid feedback was entered" error="Please choose feedback from drop down only.">
      <formula1>"1,2,3"</formula1>
    </dataValidation>
    <dataValidation type="list" xr:uid="{76C56584-E09B-4B75-9EF6-EE9502E25109}" sqref="F2" showErrorMessage="1" errorTitle="An invalid feedback was entered" error="Please choose feedback from drop down only.">
      <formula1>"1,2,3"</formula1>
    </dataValidation>
    <dataValidation type="list" xr:uid="{291D9D9D-39A8-40B4-BEEA-21E302E1B1BA}" sqref="G2" showErrorMessage="1" errorTitle="An invalid feedback was entered" error="Please choose feedback from drop down only.">
      <formula1>"1,2,3"</formula1>
    </dataValidation>
    <dataValidation type="list" xr:uid="{0AF1F416-99CC-4C93-A8D0-3D70DAF4345F}" sqref="H2" showErrorMessage="1" errorTitle="An invalid feedback was entered" error="Please choose feedback from drop down only.">
      <formula1>"1,2,3"</formula1>
    </dataValidation>
    <dataValidation type="list" xr:uid="{DFF800BB-08D5-4960-9E09-CE1DB5C94FDC}" sqref="I2" showErrorMessage="1" errorTitle="An invalid feedback was entered" error="Please choose feedback from drop down only.">
      <formula1>"1,2,3"</formula1>
    </dataValidation>
    <dataValidation type="list" xr:uid="{14904C2C-E6A1-48D4-83C1-02D970B8CDC6}" sqref="J2" showErrorMessage="1" errorTitle="An invalid feedback was entered" error="Please choose feedback from drop down only.">
      <formula1>"1,2,3"</formula1>
    </dataValidation>
    <dataValidation type="list" xr:uid="{EA24D3D9-97FB-4FE9-9AC0-28E2B9CFC778}" sqref="K2" showErrorMessage="1" errorTitle="An invalid feedback was entered" error="Please choose feedback from drop down only.">
      <formula1>"1,2,3"</formula1>
    </dataValidation>
    <dataValidation type="list" xr:uid="{9C2BCBF9-8F76-44E6-BFC8-7BB556EBA894}" sqref="L2" showErrorMessage="1" errorTitle="An invalid feedback was entered" error="Please choose feedback from drop down only.">
      <formula1>"1,2,3"</formula1>
    </dataValidation>
    <dataValidation type="list" xr:uid="{4BF4759D-2532-4FAD-83C4-5200F519D77D}" sqref="M2" showErrorMessage="1" errorTitle="An invalid feedback was entered" error="Please choose feedback from drop down only.">
      <formula1>"1,2,3"</formula1>
    </dataValidation>
    <dataValidation type="list" xr:uid="{B63EA2BA-0525-47AA-8008-76532EF2D0A0}" sqref="N2" showErrorMessage="1" errorTitle="An invalid feedback was entered" error="Please choose feedback from drop down only.">
      <formula1>"1,2,3"</formula1>
    </dataValidation>
    <dataValidation type="list" xr:uid="{AA34F5A6-AE61-4AEE-898E-A2551D60AEF8}" sqref="O2" showErrorMessage="1" errorTitle="An invalid feedback was entered" error="Please choose feedback from drop down only.">
      <formula1>"1,2,3"</formula1>
    </dataValidation>
    <dataValidation type="list" xr:uid="{B2FE5BCF-428C-4F0F-BCDB-08DECE876687}" sqref="P2" showErrorMessage="1" errorTitle="An invalid feedback was entered" error="Please choose feedback from drop down only.">
      <formula1>"1,2,3"</formula1>
    </dataValidation>
    <dataValidation type="list" xr:uid="{BA2DC703-A0B2-4B5A-9ED1-94DAB096B9F4}" sqref="Q2" showErrorMessage="1" errorTitle="An invalid feedback was entered" error="Please choose feedback from drop down only.">
      <formula1>"1,2,3"</formula1>
    </dataValidation>
    <dataValidation type="list" xr:uid="{BF1F65CC-6B18-41EF-9772-4700CDBEB321}" sqref="C17" showErrorMessage="1" errorTitle="An invalid feedback was entered" error="Please choose feedback from drop down only.">
      <formula1>"1-2,3-4,5-6,7-8,9-10,N/A"</formula1>
    </dataValidation>
    <dataValidation type="list" xr:uid="{7F74FE08-54A4-4E0B-892B-5E1D45960166}" sqref="D17" showErrorMessage="1" errorTitle="An invalid feedback was entered" error="Please choose feedback from drop down only.">
      <formula1>"1-2,3-4,5-6,7-8,9-10,N/A"</formula1>
    </dataValidation>
    <dataValidation type="list" xr:uid="{59B59967-CB3F-4799-A146-74338D4A3A60}" sqref="E17" showErrorMessage="1" errorTitle="An invalid feedback was entered" error="Please choose feedback from drop down only.">
      <formula1>"1-2,3-4,5-6,7-8,9-10,N/A"</formula1>
    </dataValidation>
    <dataValidation type="list" xr:uid="{56CC8BE2-3232-485B-A475-B787AF5A3AFE}" sqref="F17" showErrorMessage="1" errorTitle="An invalid feedback was entered" error="Please choose feedback from drop down only.">
      <formula1>"1-2,3-4,5-6,7-8,9-10,N/A"</formula1>
    </dataValidation>
    <dataValidation type="list" xr:uid="{D5E03D55-FC57-40F5-BCE3-28D555954DF7}" sqref="G17" showErrorMessage="1" errorTitle="An invalid feedback was entered" error="Please choose feedback from drop down only.">
      <formula1>"1-2,3-4,5-6,7-8,9-10,N/A"</formula1>
    </dataValidation>
    <dataValidation type="list" xr:uid="{781DEBF6-502D-4F60-8022-ED9E56D80522}" sqref="H17" showErrorMessage="1" errorTitle="An invalid feedback was entered" error="Please choose feedback from drop down only.">
      <formula1>"1-2,3-4,5-6,7-8,9-10,N/A"</formula1>
    </dataValidation>
    <dataValidation type="list" xr:uid="{AEACD858-E6F9-4BB5-82B9-EC082CB51527}" sqref="I17" showErrorMessage="1" errorTitle="An invalid feedback was entered" error="Please choose feedback from drop down only.">
      <formula1>"1-2,3-4,5-6,7-8,9-10,N/A"</formula1>
    </dataValidation>
    <dataValidation type="list" xr:uid="{7406BDEE-DE20-4955-971B-ABBAE2B881C0}" sqref="J17" showErrorMessage="1" errorTitle="An invalid feedback was entered" error="Please choose feedback from drop down only.">
      <formula1>"1-2,3-4,5-6,7-8,9-10,N/A"</formula1>
    </dataValidation>
    <dataValidation type="list" xr:uid="{0DCC0458-D313-4DD1-AE5B-4D254EBC7202}" sqref="K17" showErrorMessage="1" errorTitle="An invalid feedback was entered" error="Please choose feedback from drop down only.">
      <formula1>"1-2,3-4,5-6,7-8,9-10,N/A"</formula1>
    </dataValidation>
    <dataValidation type="list" xr:uid="{3FB7341A-AF3A-43E1-9D77-06EF2EDE8F16}" sqref="L17" showErrorMessage="1" errorTitle="An invalid feedback was entered" error="Please choose feedback from drop down only.">
      <formula1>"1-2,3-4,5-6,7-8,9-10,N/A"</formula1>
    </dataValidation>
    <dataValidation type="list" xr:uid="{E43AA836-A346-4DA1-8720-8C3FE19937AB}" sqref="M17" showErrorMessage="1" errorTitle="An invalid feedback was entered" error="Please choose feedback from drop down only.">
      <formula1>"1-2,3-4,5-6,7-8,9-10,N/A"</formula1>
    </dataValidation>
    <dataValidation type="list" xr:uid="{48D36304-85B9-46CA-ACFC-BD1494153C2E}" sqref="N17" showErrorMessage="1" errorTitle="An invalid feedback was entered" error="Please choose feedback from drop down only.">
      <formula1>"1-2,3-4,5-6,7-8,9-10,N/A"</formula1>
    </dataValidation>
    <dataValidation type="list" xr:uid="{BB237E38-B7C6-402B-8267-6C88048E9E62}" sqref="O17" showErrorMessage="1" errorTitle="An invalid feedback was entered" error="Please choose feedback from drop down only.">
      <formula1>"1-2,3-4,5-6,7-8,9-10,N/A"</formula1>
    </dataValidation>
    <dataValidation type="list" xr:uid="{436AB2FF-1F7F-4C54-8353-E955125A2CC3}" sqref="P17" showErrorMessage="1" errorTitle="An invalid feedback was entered" error="Please choose feedback from drop down only.">
      <formula1>"1-2,3-4,5-6,7-8,9-10,N/A"</formula1>
    </dataValidation>
    <dataValidation type="list" xr:uid="{804350E6-F896-49EC-9035-A62747D151C1}" sqref="Q17" showErrorMessage="1" errorTitle="An invalid feedback was entered" error="Please choose feedback from drop down only.">
      <formula1>"1-2,3-4,5-6,7-8,9-10,N/A"</formula1>
    </dataValidation>
    <dataValidation type="list" xr:uid="{3A2F64B6-7BA7-4B5D-969E-ABC93A256FA7}" sqref="C10" showErrorMessage="1" errorTitle="An invalid feedback was entered" error="Please choose feedback from drop down only.">
      <formula1>"STK Top,STK Bottom,STKx2,DTK Top,DTK Bottom,DTKx2,None"</formula1>
    </dataValidation>
    <dataValidation type="list" xr:uid="{2230754B-9D44-481C-AC2C-DF88523ACEA0}" sqref="D10" showErrorMessage="1" errorTitle="An invalid feedback was entered" error="Please choose feedback from drop down only.">
      <formula1>"STK Top,STK Bottom,STKx2,DTK Top,DTK Bottom,DTKx2,None"</formula1>
    </dataValidation>
    <dataValidation type="list" xr:uid="{20F01901-CD26-443D-91F7-B4DA3AF5216D}" sqref="E10" showErrorMessage="1" errorTitle="An invalid feedback was entered" error="Please choose feedback from drop down only.">
      <formula1>"STK Top,STK Bottom,STKx2,DTK Top,DTK Bottom,DTKx2,None"</formula1>
    </dataValidation>
    <dataValidation type="list" xr:uid="{8AA30DC9-62C6-4AA3-A747-62858A00D7CE}" sqref="F10" showErrorMessage="1" errorTitle="An invalid feedback was entered" error="Please choose feedback from drop down only.">
      <formula1>"STK Top,STK Bottom,STKx2,DTK Top,DTK Bottom,DTKx2,None"</formula1>
    </dataValidation>
    <dataValidation type="list" xr:uid="{2D349229-E6A7-4D84-BD04-C4C98D8F2819}" sqref="G10" showErrorMessage="1" errorTitle="An invalid feedback was entered" error="Please choose feedback from drop down only.">
      <formula1>"STK Top,STK Bottom,STKx2,DTK Top,DTK Bottom,DTKx2,None"</formula1>
    </dataValidation>
    <dataValidation type="list" xr:uid="{DC058C9B-3CB1-4607-B03A-DA2A62CAA834}" sqref="H10" showErrorMessage="1" errorTitle="An invalid feedback was entered" error="Please choose feedback from drop down only.">
      <formula1>"STK Top,STK Bottom,STKx2,DTK Top,DTK Bottom,DTKx2,None"</formula1>
    </dataValidation>
    <dataValidation type="list" xr:uid="{6C13908D-1A28-4A56-BA72-D5FAFFC800C7}" sqref="I10" showErrorMessage="1" errorTitle="An invalid feedback was entered" error="Please choose feedback from drop down only.">
      <formula1>"STK Top,STK Bottom,STKx2,DTK Top,DTK Bottom,DTKx2,None"</formula1>
    </dataValidation>
    <dataValidation type="list" xr:uid="{19A2576D-5297-45B0-9926-7D90E3D92070}" sqref="J10" showErrorMessage="1" errorTitle="An invalid feedback was entered" error="Please choose feedback from drop down only.">
      <formula1>"STK Top,STK Bottom,STKx2,DTK Top,DTK Bottom,DTKx2,None"</formula1>
    </dataValidation>
    <dataValidation type="list" xr:uid="{28CCE6E8-633D-4671-8F8F-31DB2A04A680}" sqref="K10" showErrorMessage="1" errorTitle="An invalid feedback was entered" error="Please choose feedback from drop down only.">
      <formula1>"STK Top,STK Bottom,STKx2,DTK Top,DTK Bottom,DTKx2,None"</formula1>
    </dataValidation>
    <dataValidation type="list" xr:uid="{09A7B1BD-7730-464E-9199-495D3E225378}" sqref="L10" showErrorMessage="1" errorTitle="An invalid feedback was entered" error="Please choose feedback from drop down only.">
      <formula1>"STK Top,STK Bottom,STKx2,DTK Top,DTK Bottom,DTKx2,None"</formula1>
    </dataValidation>
    <dataValidation type="list" xr:uid="{9AD22E4D-9D15-4779-8278-33998B69ECFF}" sqref="M10" showErrorMessage="1" errorTitle="An invalid feedback was entered" error="Please choose feedback from drop down only.">
      <formula1>"STK Top,STK Bottom,STKx2,DTK Top,DTK Bottom,DTKx2,None"</formula1>
    </dataValidation>
    <dataValidation type="list" xr:uid="{A49EE848-E614-4ADA-B334-D40C5D66BF81}" sqref="N10" showErrorMessage="1" errorTitle="An invalid feedback was entered" error="Please choose feedback from drop down only.">
      <formula1>"STK Top,STK Bottom,STKx2,DTK Top,DTK Bottom,DTKx2,None"</formula1>
    </dataValidation>
    <dataValidation type="list" xr:uid="{5F2C554D-22A8-4EA5-81FE-EF452F6B81A8}" sqref="O10" showErrorMessage="1" errorTitle="An invalid feedback was entered" error="Please choose feedback from drop down only.">
      <formula1>"STK Top,STK Bottom,STKx2,DTK Top,DTK Bottom,DTKx2,None"</formula1>
    </dataValidation>
    <dataValidation type="list" xr:uid="{1E01BABE-04AB-4DA2-83E2-8B4600C067CC}" sqref="P10" showErrorMessage="1" errorTitle="An invalid feedback was entered" error="Please choose feedback from drop down only.">
      <formula1>"STK Top,STK Bottom,STKx2,DTK Top,DTK Bottom,DTKx2,None"</formula1>
    </dataValidation>
    <dataValidation type="list" xr:uid="{FF11B570-4B6A-4E8C-B2EA-E01F30F664EB}" sqref="Q10" showErrorMessage="1" errorTitle="An invalid feedback was entered" error="Please choose feedback from drop down only.">
      <formula1>"STK Top,STK Bottom,STKx2,DTK Top,DTK Bottom,DTKx2,None"</formula1>
    </dataValidation>
    <dataValidation type="list" xr:uid="{5F75C4DF-0FFE-434D-B19C-53CEDE5A24B8}" sqref="C23" showErrorMessage="1" errorTitle="An invalid feedback was entered" error="Please choose feedback from drop down only.">
      <formula1>"Yetel,Bulsatcom,A1,Yetel&amp;A1,N/A"</formula1>
    </dataValidation>
    <dataValidation type="list" xr:uid="{C16FEE72-ED12-4B8C-BB81-B3B9E5EB1091}" sqref="D23" showErrorMessage="1" errorTitle="An invalid feedback was entered" error="Please choose feedback from drop down only.">
      <formula1>"Yetel,Bulsatcom,A1,Yetel&amp;A1,N/A"</formula1>
    </dataValidation>
    <dataValidation type="list" xr:uid="{F262D631-E0BA-42B4-9215-A9139CE0F67E}" sqref="E23" showErrorMessage="1" errorTitle="An invalid feedback was entered" error="Please choose feedback from drop down only.">
      <formula1>"Yetel,Bulsatcom,A1,Yetel&amp;A1,N/A"</formula1>
    </dataValidation>
    <dataValidation type="list" xr:uid="{0CD8B32E-A889-42A5-A122-5AD603410C58}" sqref="F23" showErrorMessage="1" errorTitle="An invalid feedback was entered" error="Please choose feedback from drop down only.">
      <formula1>"Yetel,Bulsatcom,A1,Yetel&amp;A1,N/A"</formula1>
    </dataValidation>
    <dataValidation type="list" xr:uid="{147AE15B-A1B6-4A4D-8E11-D459B752DE32}" sqref="G23" showErrorMessage="1" errorTitle="An invalid feedback was entered" error="Please choose feedback from drop down only.">
      <formula1>"Yetel,Bulsatcom,A1,Yetel&amp;A1,N/A"</formula1>
    </dataValidation>
    <dataValidation type="list" xr:uid="{D4C53A6A-E894-4C2F-A8B7-1A42A2AB250B}" sqref="H23" showErrorMessage="1" errorTitle="An invalid feedback was entered" error="Please choose feedback from drop down only.">
      <formula1>"Yetel,Bulsatcom,A1,Yetel&amp;A1,N/A"</formula1>
    </dataValidation>
    <dataValidation type="list" xr:uid="{CA20CCEC-DA6E-4D3D-B7A4-6245923569BC}" sqref="I23" showErrorMessage="1" errorTitle="An invalid feedback was entered" error="Please choose feedback from drop down only.">
      <formula1>"Yetel,Bulsatcom,A1,Yetel&amp;A1,N/A"</formula1>
    </dataValidation>
    <dataValidation type="list" xr:uid="{E91EBDDF-C098-44F9-83CC-163B1C124584}" sqref="J23" showErrorMessage="1" errorTitle="An invalid feedback was entered" error="Please choose feedback from drop down only.">
      <formula1>"Yetel,Bulsatcom,A1,Yetel&amp;A1,N/A"</formula1>
    </dataValidation>
    <dataValidation type="list" xr:uid="{01ECEDEC-982A-4688-9524-7FE2887316DE}" sqref="K23" showErrorMessage="1" errorTitle="An invalid feedback was entered" error="Please choose feedback from drop down only.">
      <formula1>"Yetel,Bulsatcom,A1,Yetel&amp;A1,N/A"</formula1>
    </dataValidation>
    <dataValidation type="list" xr:uid="{7EF01091-DABF-424B-BDC6-7798EB06D61D}" sqref="L23" showErrorMessage="1" errorTitle="An invalid feedback was entered" error="Please choose feedback from drop down only.">
      <formula1>"Yetel,Bulsatcom,A1,Yetel&amp;A1,N/A"</formula1>
    </dataValidation>
    <dataValidation type="list" xr:uid="{D73C5FC0-FED6-40D7-868D-5FF3516EAA3D}" sqref="M23" showErrorMessage="1" errorTitle="An invalid feedback was entered" error="Please choose feedback from drop down only.">
      <formula1>"Yetel,Bulsatcom,A1,Yetel&amp;A1,N/A"</formula1>
    </dataValidation>
    <dataValidation type="list" xr:uid="{300DFEBC-0E11-462A-B7D1-829897D45A40}" sqref="N23" showErrorMessage="1" errorTitle="An invalid feedback was entered" error="Please choose feedback from drop down only.">
      <formula1>"Yetel,Bulsatcom,A1,Yetel&amp;A1,N/A"</formula1>
    </dataValidation>
    <dataValidation type="list" xr:uid="{7FFA3D45-6E38-4357-9970-B2F6CF4785E0}" sqref="O23" showErrorMessage="1" errorTitle="An invalid feedback was entered" error="Please choose feedback from drop down only.">
      <formula1>"Yetel,Bulsatcom,A1,Yetel&amp;A1,N/A"</formula1>
    </dataValidation>
    <dataValidation type="list" xr:uid="{54D5517D-1830-4043-B0B9-174EB6AE881B}" sqref="P23" showErrorMessage="1" errorTitle="An invalid feedback was entered" error="Please choose feedback from drop down only.">
      <formula1>"Yetel,Bulsatcom,A1,Yetel&amp;A1,N/A"</formula1>
    </dataValidation>
    <dataValidation type="list" xr:uid="{5528D29B-02AB-418B-B26C-F6D25FB301E5}" sqref="Q23" showErrorMessage="1" errorTitle="An invalid feedback was entered" error="Please choose feedback from drop down only.">
      <formula1>"Yetel,Bulsatcom,A1,Yetel&amp;A1,N/A"</formula1>
    </dataValidation>
    <dataValidation type="list" xr:uid="{289357C5-CD4A-4016-82D2-467B4D6086A5}" sqref="C31" showErrorMessage="1" errorTitle="An invalid feedback was entered" error="Please choose feedback from drop down only.">
      <formula1>"1/2,5/4,7/8,RRU TOP JUMPER,N/A"</formula1>
    </dataValidation>
    <dataValidation type="list" xr:uid="{3C071EF6-599A-4D77-8903-5BEB84802955}" sqref="D31" showErrorMessage="1" errorTitle="An invalid feedback was entered" error="Please choose feedback from drop down only.">
      <formula1>"1/2,5/4,7/8,RRU TOP JUMPER,N/A"</formula1>
    </dataValidation>
    <dataValidation type="list" xr:uid="{3BBBE4CE-74DD-43CF-B02A-AACF8F755F57}" sqref="E31" showErrorMessage="1" errorTitle="An invalid feedback was entered" error="Please choose feedback from drop down only.">
      <formula1>"1/2,5/4,7/8,RRU TOP JUMPER,N/A"</formula1>
    </dataValidation>
    <dataValidation type="list" xr:uid="{F96CF78C-9E37-477D-92F7-DDB00F2C56F8}" sqref="F31" showErrorMessage="1" errorTitle="An invalid feedback was entered" error="Please choose feedback from drop down only.">
      <formula1>"1/2,5/4,7/8,RRU TOP JUMPER,N/A"</formula1>
    </dataValidation>
    <dataValidation type="list" xr:uid="{A92847E7-EB33-49F1-949D-399407047163}" sqref="G31" showErrorMessage="1" errorTitle="An invalid feedback was entered" error="Please choose feedback from drop down only.">
      <formula1>"1/2,5/4,7/8,RRU TOP JUMPER,N/A"</formula1>
    </dataValidation>
    <dataValidation type="list" xr:uid="{88E269A7-F625-47C8-9AD1-11C74C7DC417}" sqref="H31" showErrorMessage="1" errorTitle="An invalid feedback was entered" error="Please choose feedback from drop down only.">
      <formula1>"1/2,5/4,7/8,RRU TOP JUMPER,N/A"</formula1>
    </dataValidation>
    <dataValidation type="list" xr:uid="{4407D154-D247-40CA-ACC7-848475741B14}" sqref="I31" showErrorMessage="1" errorTitle="An invalid feedback was entered" error="Please choose feedback from drop down only.">
      <formula1>"1/2,5/4,7/8,RRU TOP JUMPER,N/A"</formula1>
    </dataValidation>
    <dataValidation type="list" xr:uid="{CF2EFFC2-7722-464D-AE59-2E383EBB4E3D}" sqref="J31" showErrorMessage="1" errorTitle="An invalid feedback was entered" error="Please choose feedback from drop down only.">
      <formula1>"1/2,5/4,7/8,RRU TOP JUMPER,N/A"</formula1>
    </dataValidation>
    <dataValidation type="list" xr:uid="{330BD3C1-73C7-4396-A2BD-A1EE9CAD822C}" sqref="K31" showErrorMessage="1" errorTitle="An invalid feedback was entered" error="Please choose feedback from drop down only.">
      <formula1>"1/2,5/4,7/8,RRU TOP JUMPER,N/A"</formula1>
    </dataValidation>
    <dataValidation type="list" xr:uid="{AC954EFC-634A-4C66-97A9-B379C8AB987B}" sqref="L31" showErrorMessage="1" errorTitle="An invalid feedback was entered" error="Please choose feedback from drop down only.">
      <formula1>"1/2,5/4,7/8,RRU TOP JUMPER,N/A"</formula1>
    </dataValidation>
    <dataValidation type="list" xr:uid="{9B56D124-9085-46F6-AE73-D7CE0733716F}" sqref="M31" showErrorMessage="1" errorTitle="An invalid feedback was entered" error="Please choose feedback from drop down only.">
      <formula1>"1/2,5/4,7/8,RRU TOP JUMPER,N/A"</formula1>
    </dataValidation>
    <dataValidation type="list" xr:uid="{79582106-74EB-4070-BC75-4F4D35661B95}" sqref="N31" showErrorMessage="1" errorTitle="An invalid feedback was entered" error="Please choose feedback from drop down only.">
      <formula1>"1/2,5/4,7/8,RRU TOP JUMPER,N/A"</formula1>
    </dataValidation>
    <dataValidation type="list" xr:uid="{3AF472A5-1203-4A0A-A93B-02A51DA34806}" sqref="O31" showErrorMessage="1" errorTitle="An invalid feedback was entered" error="Please choose feedback from drop down only.">
      <formula1>"1/2,5/4,7/8,RRU TOP JUMPER,N/A"</formula1>
    </dataValidation>
    <dataValidation type="list" xr:uid="{26C3279A-7077-4B5E-863D-745973AC59B7}" sqref="P31" showErrorMessage="1" errorTitle="An invalid feedback was entered" error="Please choose feedback from drop down only.">
      <formula1>"1/2,5/4,7/8,RRU TOP JUMPER,N/A"</formula1>
    </dataValidation>
    <dataValidation type="list" xr:uid="{76A9C9FE-FBCD-4C95-AF78-09E6C9106BD0}" sqref="Q31" showErrorMessage="1" errorTitle="An invalid feedback was entered" error="Please choose feedback from drop down only.">
      <formula1>"1/2,5/4,7/8,RRU TOP JUMPER,N/A"</formula1>
    </dataValidation>
    <dataValidation type="list" xr:uid="{79CB9761-90E8-4927-9330-21E3403BB7F4}" sqref="C4" showErrorMessage="1" errorTitle="An invalid feedback was entered" error="Please choose feedback from drop down only.">
      <formula1>"1,2,3,4,5,6,N/A"</formula1>
    </dataValidation>
    <dataValidation type="list" xr:uid="{3D735099-CBF4-4F30-8F23-F08C3CDF0DCE}" sqref="D4" showErrorMessage="1" errorTitle="An invalid feedback was entered" error="Please choose feedback from drop down only.">
      <formula1>"1,2,3,4,5,6,N/A"</formula1>
    </dataValidation>
    <dataValidation type="list" xr:uid="{4BAA480E-C0AD-4F25-A395-39201A4B5060}" sqref="E4" showErrorMessage="1" errorTitle="An invalid feedback was entered" error="Please choose feedback from drop down only.">
      <formula1>"1,2,3,4,5,6,N/A"</formula1>
    </dataValidation>
    <dataValidation type="list" xr:uid="{E6ACD88F-C25D-4E42-8DE5-29491F99C71F}" sqref="F4" showErrorMessage="1" errorTitle="An invalid feedback was entered" error="Please choose feedback from drop down only.">
      <formula1>"1,2,3,4,5,6,N/A"</formula1>
    </dataValidation>
    <dataValidation type="list" xr:uid="{5B71FAB4-43A2-4918-B54B-A7D82A2B2FAA}" sqref="G4" showErrorMessage="1" errorTitle="An invalid feedback was entered" error="Please choose feedback from drop down only.">
      <formula1>"1,2,3,4,5,6,N/A"</formula1>
    </dataValidation>
    <dataValidation type="list" xr:uid="{665F23D2-C8D7-4DD1-A168-06A940EEB979}" sqref="H4" showErrorMessage="1" errorTitle="An invalid feedback was entered" error="Please choose feedback from drop down only.">
      <formula1>"1,2,3,4,5,6,N/A"</formula1>
    </dataValidation>
    <dataValidation type="list" xr:uid="{B41BB0CA-65A6-4822-ACC3-8D6744DA9B21}" sqref="I4" showErrorMessage="1" errorTitle="An invalid feedback was entered" error="Please choose feedback from drop down only.">
      <formula1>"1,2,3,4,5,6,N/A"</formula1>
    </dataValidation>
    <dataValidation type="list" xr:uid="{1A2C2457-B445-46C1-90F7-F461B1C6C11E}" sqref="J4" showErrorMessage="1" errorTitle="An invalid feedback was entered" error="Please choose feedback from drop down only.">
      <formula1>"1,2,3,4,5,6,N/A"</formula1>
    </dataValidation>
    <dataValidation type="list" xr:uid="{EF3AC396-9A36-4874-A8D4-719B4946D903}" sqref="K4" showErrorMessage="1" errorTitle="An invalid feedback was entered" error="Please choose feedback from drop down only.">
      <formula1>"1,2,3,4,5,6,N/A"</formula1>
    </dataValidation>
    <dataValidation type="list" xr:uid="{E2302871-1E5E-4977-89E8-CFCE76F2A3BC}" sqref="L4" showErrorMessage="1" errorTitle="An invalid feedback was entered" error="Please choose feedback from drop down only.">
      <formula1>"1,2,3,4,5,6,N/A"</formula1>
    </dataValidation>
    <dataValidation type="list" xr:uid="{0862E9A0-3807-429E-A3D6-52AF3D446C19}" sqref="M4" showErrorMessage="1" errorTitle="An invalid feedback was entered" error="Please choose feedback from drop down only.">
      <formula1>"1,2,3,4,5,6,N/A"</formula1>
    </dataValidation>
    <dataValidation type="list" xr:uid="{B5CDF1C1-CFC2-49D8-91D5-EB6966D76750}" sqref="N4" showErrorMessage="1" errorTitle="An invalid feedback was entered" error="Please choose feedback from drop down only.">
      <formula1>"1,2,3,4,5,6,N/A"</formula1>
    </dataValidation>
    <dataValidation type="list" xr:uid="{1E428E40-DB49-401B-B657-0311F1822D5F}" sqref="O4" showErrorMessage="1" errorTitle="An invalid feedback was entered" error="Please choose feedback from drop down only.">
      <formula1>"1,2,3,4,5,6,N/A"</formula1>
    </dataValidation>
    <dataValidation type="list" xr:uid="{4524954C-0EAD-4DBE-B159-1FAC425D9E2D}" sqref="P4" showErrorMessage="1" errorTitle="An invalid feedback was entered" error="Please choose feedback from drop down only.">
      <formula1>"1,2,3,4,5,6,N/A"</formula1>
    </dataValidation>
    <dataValidation type="list" xr:uid="{4F3F5BF2-5C80-4A34-A01B-C35661FA8966}" sqref="Q4" showErrorMessage="1" errorTitle="An invalid feedback was entered" error="Please choose feedback from drop down only.">
      <formula1>"1,2,3,4,5,6,N/A"</formula1>
    </dataValidation>
    <dataValidation type="list" xr:uid="{CF4695E6-EA4B-46AF-8F33-67D81E4D1585}" sqref="C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B23EAC05-AC9E-4CB7-B669-E463ABD69C1F}" sqref="D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13CE0632-373F-45C6-8A92-E307E561CF1B}" sqref="E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ECA02A2D-57A1-4E43-A638-DADFBF5F1CFD}" sqref="F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7D38F2EA-C0F1-4151-9AE1-9A7E5A448799}" sqref="G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857AD23E-3E8E-4901-A089-5ED9938609F1}" sqref="H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1442B304-98EF-4BE1-A449-014B7B910DAC}" sqref="I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6F22AA3F-E4F9-40EB-B02E-8357E9F8A150}" sqref="J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9EE7E16D-F79E-465F-8503-5048798BE0FD}" sqref="K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5FEF4F1A-36EE-4F33-9F2D-BF2D4A033674}" sqref="L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3ACFA0FC-2095-43B7-AA8D-68F5DD9057AC}" sqref="M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BE019AAC-1F08-4990-93FE-B4B121F35F19}" sqref="N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7B39CA60-45BF-486A-934B-0615099AE266}" sqref="O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C43665D2-D927-4A44-8D47-00676453209E}" sqref="P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70B4EF60-58E1-49BC-8C6C-07891E49EAD9}" sqref="Q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07CE503E-D5AF-4879-9F1B-3F5E5A049A92}" sqref="C28" showErrorMessage="1" errorTitle="An invalid feedback was entered" error="Please choose feedback from drop down only.">
      <formula1>"Yes,No,FlexRET"</formula1>
    </dataValidation>
    <dataValidation type="list" xr:uid="{F82B98FE-39F1-41A6-A169-61837518A305}" sqref="D28" showErrorMessage="1" errorTitle="An invalid feedback was entered" error="Please choose feedback from drop down only.">
      <formula1>"Yes,No,FlexRET"</formula1>
    </dataValidation>
    <dataValidation type="list" xr:uid="{941F56D7-44E3-45DA-BD18-3AECDFB3D977}" sqref="E28" showErrorMessage="1" errorTitle="An invalid feedback was entered" error="Please choose feedback from drop down only.">
      <formula1>"Yes,No,FlexRET"</formula1>
    </dataValidation>
    <dataValidation type="list" xr:uid="{A47F0143-6931-44FB-8597-06A245807859}" sqref="F28" showErrorMessage="1" errorTitle="An invalid feedback was entered" error="Please choose feedback from drop down only.">
      <formula1>"Yes,No,FlexRET"</formula1>
    </dataValidation>
    <dataValidation type="list" xr:uid="{75692341-27EA-47E2-A331-4CDE42C30804}" sqref="G28" showErrorMessage="1" errorTitle="An invalid feedback was entered" error="Please choose feedback from drop down only.">
      <formula1>"Yes,No,FlexRET"</formula1>
    </dataValidation>
    <dataValidation type="list" xr:uid="{E60E5BEB-0EDD-4F00-B8DD-A8916C26FBF6}" sqref="H28" showErrorMessage="1" errorTitle="An invalid feedback was entered" error="Please choose feedback from drop down only.">
      <formula1>"Yes,No,FlexRET"</formula1>
    </dataValidation>
    <dataValidation type="list" xr:uid="{FA4BEC08-5D31-4FA7-AF80-FC9E619C86FC}" sqref="I28" showErrorMessage="1" errorTitle="An invalid feedback was entered" error="Please choose feedback from drop down only.">
      <formula1>"Yes,No,FlexRET"</formula1>
    </dataValidation>
    <dataValidation type="list" xr:uid="{99F6A5CA-0163-443E-82C1-90BD39CD155E}" sqref="J28" showErrorMessage="1" errorTitle="An invalid feedback was entered" error="Please choose feedback from drop down only.">
      <formula1>"Yes,No,FlexRET"</formula1>
    </dataValidation>
    <dataValidation type="list" xr:uid="{8F2F7C65-4D54-49EB-A135-7E021EBB52C6}" sqref="K28" showErrorMessage="1" errorTitle="An invalid feedback was entered" error="Please choose feedback from drop down only.">
      <formula1>"Yes,No,FlexRET"</formula1>
    </dataValidation>
    <dataValidation type="list" xr:uid="{142C2502-AEE0-4DD9-9B97-100240D00345}" sqref="L28" showErrorMessage="1" errorTitle="An invalid feedback was entered" error="Please choose feedback from drop down only.">
      <formula1>"Yes,No,FlexRET"</formula1>
    </dataValidation>
    <dataValidation type="list" xr:uid="{3B7A6AC7-8976-4527-BE89-6A4DC6785C10}" sqref="M28" showErrorMessage="1" errorTitle="An invalid feedback was entered" error="Please choose feedback from drop down only.">
      <formula1>"Yes,No,FlexRET"</formula1>
    </dataValidation>
    <dataValidation type="list" xr:uid="{70CFEC1C-28E6-4479-9548-4C972AFDBD61}" sqref="N28" showErrorMessage="1" errorTitle="An invalid feedback was entered" error="Please choose feedback from drop down only.">
      <formula1>"Yes,No,FlexRET"</formula1>
    </dataValidation>
    <dataValidation type="list" xr:uid="{95DE02E2-A922-4730-9826-1A1BE0839512}" sqref="O28" showErrorMessage="1" errorTitle="An invalid feedback was entered" error="Please choose feedback from drop down only.">
      <formula1>"Yes,No,FlexRET"</formula1>
    </dataValidation>
    <dataValidation type="list" xr:uid="{2F51E2A1-1D3A-4A08-9051-C761DFF705A5}" sqref="P28" showErrorMessage="1" errorTitle="An invalid feedback was entered" error="Please choose feedback from drop down only.">
      <formula1>"Yes,No,FlexRET"</formula1>
    </dataValidation>
    <dataValidation type="list" xr:uid="{56631235-B701-48B6-92C2-21DA9DA62455}" sqref="Q28" showErrorMessage="1" errorTitle="An invalid feedback was entered" error="Please choose feedback from drop down only.">
      <formula1>"Yes,No,FlexRET"</formula1>
    </dataValidation>
    <dataValidation type="list" xr:uid="{F7BD48F2-3B75-4C07-ABB6-5FDD06074B1D}" sqref="C29" showErrorMessage="1" errorTitle="An invalid feedback was entered" error="Please choose feedback from drop down only.">
      <formula1>"Yes,No,FlexRET"</formula1>
    </dataValidation>
    <dataValidation type="list" xr:uid="{20EDAD05-A4F6-4BAF-BEFB-42F1116395D5}" sqref="D29" showErrorMessage="1" errorTitle="An invalid feedback was entered" error="Please choose feedback from drop down only.">
      <formula1>"Yes,No,FlexRET"</formula1>
    </dataValidation>
    <dataValidation type="list" xr:uid="{13B0B0A1-C11F-4451-B699-6FCC25722B34}" sqref="E29" showErrorMessage="1" errorTitle="An invalid feedback was entered" error="Please choose feedback from drop down only.">
      <formula1>"Yes,No,FlexRET"</formula1>
    </dataValidation>
    <dataValidation type="list" xr:uid="{65B050A3-7691-4E0C-BD10-46E7042450E9}" sqref="F29" showErrorMessage="1" errorTitle="An invalid feedback was entered" error="Please choose feedback from drop down only.">
      <formula1>"Yes,No,FlexRET"</formula1>
    </dataValidation>
    <dataValidation type="list" xr:uid="{AAB381CF-8235-48F2-8610-3C193FC115CF}" sqref="G29" showErrorMessage="1" errorTitle="An invalid feedback was entered" error="Please choose feedback from drop down only.">
      <formula1>"Yes,No,FlexRET"</formula1>
    </dataValidation>
    <dataValidation type="list" xr:uid="{E47A70DB-257F-4FC2-9C41-3740E2A01831}" sqref="H29" showErrorMessage="1" errorTitle="An invalid feedback was entered" error="Please choose feedback from drop down only.">
      <formula1>"Yes,No,FlexRET"</formula1>
    </dataValidation>
    <dataValidation type="list" xr:uid="{B3763F14-AEBE-4583-99C1-BA192E2A18F8}" sqref="I29" showErrorMessage="1" errorTitle="An invalid feedback was entered" error="Please choose feedback from drop down only.">
      <formula1>"Yes,No,FlexRET"</formula1>
    </dataValidation>
    <dataValidation type="list" xr:uid="{0774847B-F6DA-4A97-B30F-8120515F5A42}" sqref="J29" showErrorMessage="1" errorTitle="An invalid feedback was entered" error="Please choose feedback from drop down only.">
      <formula1>"Yes,No,FlexRET"</formula1>
    </dataValidation>
    <dataValidation type="list" xr:uid="{88889374-BCB0-42C0-8113-C4D7051BC5D2}" sqref="K29" showErrorMessage="1" errorTitle="An invalid feedback was entered" error="Please choose feedback from drop down only.">
      <formula1>"Yes,No,FlexRET"</formula1>
    </dataValidation>
    <dataValidation type="list" xr:uid="{5DC17983-E57D-448E-83CC-F72646063FDD}" sqref="L29" showErrorMessage="1" errorTitle="An invalid feedback was entered" error="Please choose feedback from drop down only.">
      <formula1>"Yes,No,FlexRET"</formula1>
    </dataValidation>
    <dataValidation type="list" xr:uid="{09E86F31-F042-45F3-9DA7-26DD0426D03F}" sqref="M29" showErrorMessage="1" errorTitle="An invalid feedback was entered" error="Please choose feedback from drop down only.">
      <formula1>"Yes,No,FlexRET"</formula1>
    </dataValidation>
    <dataValidation type="list" xr:uid="{AF0F7DC0-20F6-459D-9D29-F7148198CDE8}" sqref="N29" showErrorMessage="1" errorTitle="An invalid feedback was entered" error="Please choose feedback from drop down only.">
      <formula1>"Yes,No,FlexRET"</formula1>
    </dataValidation>
    <dataValidation type="list" xr:uid="{69451AB6-9EAF-49C0-824F-988DA4FD617F}" sqref="O29" showErrorMessage="1" errorTitle="An invalid feedback was entered" error="Please choose feedback from drop down only.">
      <formula1>"Yes,No,FlexRET"</formula1>
    </dataValidation>
    <dataValidation type="list" xr:uid="{DC03109A-7A4A-409F-B5BF-CE77A2BD4370}" sqref="P29" showErrorMessage="1" errorTitle="An invalid feedback was entered" error="Please choose feedback from drop down only.">
      <formula1>"Yes,No,FlexRET"</formula1>
    </dataValidation>
    <dataValidation type="list" xr:uid="{6357D435-0599-4667-8F32-D28C8B4CDE20}" sqref="Q29" showErrorMessage="1" errorTitle="An invalid feedback was entered" error="Please choose feedback from drop down only.">
      <formula1>"Yes,No,FlexRET"</formula1>
    </dataValidation>
    <dataValidation type="list" xr:uid="{F95BCE20-0860-4B3C-BAAD-15ADBE831F8E}" sqref="C25" showErrorMessage="1" errorTitle="An invalid feedback was entered" error="Please choose feedback from drop down only.">
      <formula1>"G,U,L,NR,GU,UL,GL,GUL,LNR,ULNR,None"</formula1>
    </dataValidation>
    <dataValidation type="list" xr:uid="{5084CC9C-BCD9-48ED-B792-046D75D97892}" sqref="D25" showErrorMessage="1" errorTitle="An invalid feedback was entered" error="Please choose feedback from drop down only.">
      <formula1>"G,U,L,NR,GU,UL,GL,GUL,LNR,ULNR,None"</formula1>
    </dataValidation>
    <dataValidation type="list" xr:uid="{B9AB58E1-55E4-45D4-8DEA-2278C7CC7C7A}" sqref="E25" showErrorMessage="1" errorTitle="An invalid feedback was entered" error="Please choose feedback from drop down only.">
      <formula1>"G,U,L,NR,GU,UL,GL,GUL,LNR,ULNR,None"</formula1>
    </dataValidation>
    <dataValidation type="list" xr:uid="{5243FF48-DD8D-43A6-B5B2-213857986B08}" sqref="F25" showErrorMessage="1" errorTitle="An invalid feedback was entered" error="Please choose feedback from drop down only.">
      <formula1>"G,U,L,NR,GU,UL,GL,GUL,LNR,ULNR,None"</formula1>
    </dataValidation>
    <dataValidation type="list" xr:uid="{4C236839-38B6-4786-B896-1C4F9B24AB7B}" sqref="G25" showErrorMessage="1" errorTitle="An invalid feedback was entered" error="Please choose feedback from drop down only.">
      <formula1>"G,U,L,NR,GU,UL,GL,GUL,LNR,ULNR,None"</formula1>
    </dataValidation>
    <dataValidation type="list" xr:uid="{4BDC0D8E-3330-4453-A47D-8D59F5636500}" sqref="H25" showErrorMessage="1" errorTitle="An invalid feedback was entered" error="Please choose feedback from drop down only.">
      <formula1>"G,U,L,NR,GU,UL,GL,GUL,LNR,ULNR,None"</formula1>
    </dataValidation>
    <dataValidation type="list" xr:uid="{D9731352-16F4-42D2-88B3-1C285B688942}" sqref="I25" showErrorMessage="1" errorTitle="An invalid feedback was entered" error="Please choose feedback from drop down only.">
      <formula1>"G,U,L,NR,GU,UL,GL,GUL,LNR,ULNR,None"</formula1>
    </dataValidation>
    <dataValidation type="list" xr:uid="{E77CA91D-4238-4CB1-9370-CD6DD7964B92}" sqref="J25" showErrorMessage="1" errorTitle="An invalid feedback was entered" error="Please choose feedback from drop down only.">
      <formula1>"G,U,L,NR,GU,UL,GL,GUL,LNR,ULNR,None"</formula1>
    </dataValidation>
    <dataValidation type="list" xr:uid="{0A07C74A-9E2C-46D2-BD96-01D45573293F}" sqref="K25" showErrorMessage="1" errorTitle="An invalid feedback was entered" error="Please choose feedback from drop down only.">
      <formula1>"G,U,L,NR,GU,UL,GL,GUL,LNR,ULNR,None"</formula1>
    </dataValidation>
    <dataValidation type="list" xr:uid="{86579955-8DDF-439D-8ADC-1FB78AA5D162}" sqref="L25" showErrorMessage="1" errorTitle="An invalid feedback was entered" error="Please choose feedback from drop down only.">
      <formula1>"G,U,L,NR,GU,UL,GL,GUL,LNR,ULNR,None"</formula1>
    </dataValidation>
    <dataValidation type="list" xr:uid="{E352AB7B-8C02-4DD4-974A-D4389DE17A41}" sqref="M25" showErrorMessage="1" errorTitle="An invalid feedback was entered" error="Please choose feedback from drop down only.">
      <formula1>"G,U,L,NR,GU,UL,GL,GUL,LNR,ULNR,None"</formula1>
    </dataValidation>
    <dataValidation type="list" xr:uid="{8B418F73-5945-4AEA-8F68-E9BD270FDC49}" sqref="N25" showErrorMessage="1" errorTitle="An invalid feedback was entered" error="Please choose feedback from drop down only.">
      <formula1>"G,U,L,NR,GU,UL,GL,GUL,LNR,ULNR,None"</formula1>
    </dataValidation>
    <dataValidation type="list" xr:uid="{0803E95D-68A8-4267-8BE4-2A68735F1149}" sqref="O25" showErrorMessage="1" errorTitle="An invalid feedback was entered" error="Please choose feedback from drop down only.">
      <formula1>"G,U,L,NR,GU,UL,GL,GUL,LNR,ULNR,None"</formula1>
    </dataValidation>
    <dataValidation type="list" xr:uid="{E406A9AA-0476-4CF8-8A2F-FCA884F90AA0}" sqref="P25" showErrorMessage="1" errorTitle="An invalid feedback was entered" error="Please choose feedback from drop down only.">
      <formula1>"G,U,L,NR,GU,UL,GL,GUL,LNR,ULNR,None"</formula1>
    </dataValidation>
    <dataValidation type="list" xr:uid="{EDA0927F-1394-4799-B9CB-A96D39BBCBB1}" sqref="Q25" showErrorMessage="1" errorTitle="An invalid feedback was entered" error="Please choose feedback from drop down only.">
      <formula1>"G,U,L,NR,GU,UL,GL,GUL,LNR,ULNR,None"</formula1>
    </dataValidation>
    <dataValidation type="list" xr:uid="{33308B75-3343-4659-B8B1-4C031635F008}" sqref="C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190E6260-0FE0-4AD2-895C-B249B606A669}" sqref="D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37E6BE62-F87D-49FE-B9B3-D6E7AE4EC330}" sqref="E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948ED4BB-1726-4D5F-A059-B05BFF62CB29}" sqref="F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4652E52A-CD91-4CE9-894D-FBF69D49D1F2}" sqref="G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77DBE27B-BC77-4C69-9AB4-C3BC66E07556}" sqref="H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4B085CD9-BC5C-4947-BE09-4F2E906815A7}" sqref="I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8621E9BF-B601-4729-8261-D95404529D77}" sqref="J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2AA83109-8C04-48C2-BBE4-F1EE712C4604}" sqref="K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AD7208E1-AEA6-4583-A800-E385E938F500}" sqref="L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DF149B6A-3A36-4AD0-84EB-0CBDE9D17604}" sqref="M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BD778EAF-FB14-49AC-8D01-1A1D96E520DE}" sqref="N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429D5511-CCF9-4AB0-8732-9839437B0EB7}" sqref="O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4046979D-8003-40EB-B6FD-958A68BADE9D}" sqref="P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912A22FE-6C72-4A20-A7F2-D4E06D6EA586}" sqref="Q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</dataValidations>
  <pageMargins left="0.25" right="0.25" top="0.75" bottom="0.75" header="0.3" footer="0.3"/>
  <pageSetup paperSize="9" scale="56" fitToHeight="0" orientation="portrait"/>
  <headerFooter/>
  <extLst>
    <ext xmlns:x14="http://schemas.microsoft.com/office/spreadsheetml/2009/9/main" uri="{CCE6A557-97BC-4b89-ADB6-D9C93CAAB3DF}">
      <x14:dataValidations xmlns:xm="http://schemas.microsoft.com/office/excel/2006/main" count="60">
        <x14:dataValidation type="list" xr:uid="{B0924FCA-0790-44EA-A3A3-4EF473F6EDD3}" error="Please choose feedback from drop down only." errorTitle="An invalid feedback was entered" showErrorMessage="1">
          <x14:formula1>
            <xm:f>Antennas!A:A</xm:f>
          </x14:formula1>
          <xm:sqref>C8</xm:sqref>
        </x14:dataValidation>
        <x14:dataValidation type="list" xr:uid="{A38945EE-78A7-45A1-B3D0-2EF9E7C52895}" error="Please choose feedback from drop down only." errorTitle="An invalid feedback was entered" showErrorMessage="1">
          <x14:formula1>
            <xm:f>Antennas!A:A</xm:f>
          </x14:formula1>
          <xm:sqref>D8</xm:sqref>
        </x14:dataValidation>
        <x14:dataValidation type="list" xr:uid="{A19786E0-FDB1-4169-BFDC-4B0FE379F1BB}" error="Please choose feedback from drop down only." errorTitle="An invalid feedback was entered" showErrorMessage="1">
          <x14:formula1>
            <xm:f>Antennas!A:A</xm:f>
          </x14:formula1>
          <xm:sqref>E8</xm:sqref>
        </x14:dataValidation>
        <x14:dataValidation type="list" xr:uid="{4D5E57AE-6E9F-4E12-B05A-69E8414E986D}" error="Please choose feedback from drop down only." errorTitle="An invalid feedback was entered" showErrorMessage="1">
          <x14:formula1>
            <xm:f>Antennas!A:A</xm:f>
          </x14:formula1>
          <xm:sqref>F8</xm:sqref>
        </x14:dataValidation>
        <x14:dataValidation type="list" xr:uid="{0146DF7B-F9D3-4849-9833-E67B46A97CCA}" error="Please choose feedback from drop down only." errorTitle="An invalid feedback was entered" showErrorMessage="1">
          <x14:formula1>
            <xm:f>Antennas!A:A</xm:f>
          </x14:formula1>
          <xm:sqref>G8</xm:sqref>
        </x14:dataValidation>
        <x14:dataValidation type="list" xr:uid="{AE2977DF-3A31-43F6-840E-423C12F87998}" error="Please choose feedback from drop down only." errorTitle="An invalid feedback was entered" showErrorMessage="1">
          <x14:formula1>
            <xm:f>Antennas!A:A</xm:f>
          </x14:formula1>
          <xm:sqref>H8</xm:sqref>
        </x14:dataValidation>
        <x14:dataValidation type="list" xr:uid="{0A1F7036-C24C-4569-A374-05CA0CE2998C}" error="Please choose feedback from drop down only." errorTitle="An invalid feedback was entered" showErrorMessage="1">
          <x14:formula1>
            <xm:f>Antennas!A:A</xm:f>
          </x14:formula1>
          <xm:sqref>I8</xm:sqref>
        </x14:dataValidation>
        <x14:dataValidation type="list" xr:uid="{F71B479A-F829-4643-9849-A7EABB50C66C}" error="Please choose feedback from drop down only." errorTitle="An invalid feedback was entered" showErrorMessage="1">
          <x14:formula1>
            <xm:f>Antennas!A:A</xm:f>
          </x14:formula1>
          <xm:sqref>J8</xm:sqref>
        </x14:dataValidation>
        <x14:dataValidation type="list" xr:uid="{267B7FC8-E7C7-4236-B4A7-C40C0DACC891}" error="Please choose feedback from drop down only." errorTitle="An invalid feedback was entered" showErrorMessage="1">
          <x14:formula1>
            <xm:f>Antennas!A:A</xm:f>
          </x14:formula1>
          <xm:sqref>K8</xm:sqref>
        </x14:dataValidation>
        <x14:dataValidation type="list" xr:uid="{8CA7B524-3130-4A51-96A2-F9FBABD0D12E}" error="Please choose feedback from drop down only." errorTitle="An invalid feedback was entered" showErrorMessage="1">
          <x14:formula1>
            <xm:f>Antennas!A:A</xm:f>
          </x14:formula1>
          <xm:sqref>L8</xm:sqref>
        </x14:dataValidation>
        <x14:dataValidation type="list" xr:uid="{95FC9C86-13B9-47B6-BE6C-184958743D31}" error="Please choose feedback from drop down only." errorTitle="An invalid feedback was entered" showErrorMessage="1">
          <x14:formula1>
            <xm:f>Antennas!A:A</xm:f>
          </x14:formula1>
          <xm:sqref>M8</xm:sqref>
        </x14:dataValidation>
        <x14:dataValidation type="list" xr:uid="{B7DFC0D4-7FD7-4036-BD1A-C25B62873BC6}" error="Please choose feedback from drop down only." errorTitle="An invalid feedback was entered" showErrorMessage="1">
          <x14:formula1>
            <xm:f>Antennas!A:A</xm:f>
          </x14:formula1>
          <xm:sqref>N8</xm:sqref>
        </x14:dataValidation>
        <x14:dataValidation type="list" xr:uid="{9DBEA27E-0175-44E3-985F-2D1E86458AA6}" error="Please choose feedback from drop down only." errorTitle="An invalid feedback was entered" showErrorMessage="1">
          <x14:formula1>
            <xm:f>Antennas!A:A</xm:f>
          </x14:formula1>
          <xm:sqref>O8</xm:sqref>
        </x14:dataValidation>
        <x14:dataValidation type="list" xr:uid="{C3171253-24F0-41E7-913A-772CE3D02E64}" error="Please choose feedback from drop down only." errorTitle="An invalid feedback was entered" showErrorMessage="1">
          <x14:formula1>
            <xm:f>Antennas!A:A</xm:f>
          </x14:formula1>
          <xm:sqref>P8</xm:sqref>
        </x14:dataValidation>
        <x14:dataValidation type="list" xr:uid="{29D285F3-C7F9-4B05-838B-94D0238779D6}" error="Please choose feedback from drop down only." errorTitle="An invalid feedback was entered" showErrorMessage="1">
          <x14:formula1>
            <xm:f>Antennas!A:A</xm:f>
          </x14:formula1>
          <xm:sqref>Q8</xm:sqref>
        </x14:dataValidation>
        <x14:dataValidation type="list" xr:uid="{E72F0320-5FC2-4DF0-81E3-F914F4261E39}" error="Please choose feedback from drop down only." errorTitle="An invalid feedback was entered" showErrorMessage="1">
          <x14:formula1>
            <xm:f>Combiners!A:A</xm:f>
          </x14:formula1>
          <xm:sqref>C39</xm:sqref>
        </x14:dataValidation>
        <x14:dataValidation type="list" xr:uid="{E4A55A2A-0149-4571-A51C-132A9AB761D3}" error="Please choose feedback from drop down only." errorTitle="An invalid feedback was entered" showErrorMessage="1">
          <x14:formula1>
            <xm:f>Combiners!A:A</xm:f>
          </x14:formula1>
          <xm:sqref>D39</xm:sqref>
        </x14:dataValidation>
        <x14:dataValidation type="list" xr:uid="{517B474F-54E7-4C7D-A344-5294FB8189EC}" error="Please choose feedback from drop down only." errorTitle="An invalid feedback was entered" showErrorMessage="1">
          <x14:formula1>
            <xm:f>Combiners!A:A</xm:f>
          </x14:formula1>
          <xm:sqref>E39</xm:sqref>
        </x14:dataValidation>
        <x14:dataValidation type="list" xr:uid="{AD7E9F01-1F6A-41AB-B088-6952D39DBC92}" error="Please choose feedback from drop down only." errorTitle="An invalid feedback was entered" showErrorMessage="1">
          <x14:formula1>
            <xm:f>Combiners!A:A</xm:f>
          </x14:formula1>
          <xm:sqref>F39</xm:sqref>
        </x14:dataValidation>
        <x14:dataValidation type="list" xr:uid="{04F4B5D2-B088-4FA8-A979-F3BE6CA5DF44}" error="Please choose feedback from drop down only." errorTitle="An invalid feedback was entered" showErrorMessage="1">
          <x14:formula1>
            <xm:f>Combiners!A:A</xm:f>
          </x14:formula1>
          <xm:sqref>G39</xm:sqref>
        </x14:dataValidation>
        <x14:dataValidation type="list" xr:uid="{EC1D010D-A893-48C1-8623-0084D7A1FD2D}" error="Please choose feedback from drop down only." errorTitle="An invalid feedback was entered" showErrorMessage="1">
          <x14:formula1>
            <xm:f>Combiners!A:A</xm:f>
          </x14:formula1>
          <xm:sqref>H39</xm:sqref>
        </x14:dataValidation>
        <x14:dataValidation type="list" xr:uid="{9BE9FCA1-C5EC-401B-8A52-3B9E04EA6814}" error="Please choose feedback from drop down only." errorTitle="An invalid feedback was entered" showErrorMessage="1">
          <x14:formula1>
            <xm:f>Combiners!A:A</xm:f>
          </x14:formula1>
          <xm:sqref>I39</xm:sqref>
        </x14:dataValidation>
        <x14:dataValidation type="list" xr:uid="{FEFBF356-57D8-42C4-BB11-716F81409C64}" error="Please choose feedback from drop down only." errorTitle="An invalid feedback was entered" showErrorMessage="1">
          <x14:formula1>
            <xm:f>Combiners!A:A</xm:f>
          </x14:formula1>
          <xm:sqref>J39</xm:sqref>
        </x14:dataValidation>
        <x14:dataValidation type="list" xr:uid="{62EC932F-F22D-4DA8-BE9C-80DAECF11462}" error="Please choose feedback from drop down only." errorTitle="An invalid feedback was entered" showErrorMessage="1">
          <x14:formula1>
            <xm:f>Combiners!A:A</xm:f>
          </x14:formula1>
          <xm:sqref>K39</xm:sqref>
        </x14:dataValidation>
        <x14:dataValidation type="list" xr:uid="{6EF9DA62-A67D-4C2A-BEA3-F0CFD62DA8B7}" error="Please choose feedback from drop down only." errorTitle="An invalid feedback was entered" showErrorMessage="1">
          <x14:formula1>
            <xm:f>Combiners!A:A</xm:f>
          </x14:formula1>
          <xm:sqref>L39</xm:sqref>
        </x14:dataValidation>
        <x14:dataValidation type="list" xr:uid="{A1EAC628-E9B3-4851-81DF-D46A50241436}" error="Please choose feedback from drop down only." errorTitle="An invalid feedback was entered" showErrorMessage="1">
          <x14:formula1>
            <xm:f>Combiners!A:A</xm:f>
          </x14:formula1>
          <xm:sqref>M39</xm:sqref>
        </x14:dataValidation>
        <x14:dataValidation type="list" xr:uid="{DB6A8FB8-4E70-4D89-BBB5-597DA4B51C44}" error="Please choose feedback from drop down only." errorTitle="An invalid feedback was entered" showErrorMessage="1">
          <x14:formula1>
            <xm:f>Combiners!A:A</xm:f>
          </x14:formula1>
          <xm:sqref>N39</xm:sqref>
        </x14:dataValidation>
        <x14:dataValidation type="list" xr:uid="{210A7F2A-FE9C-4D66-81D2-BA22D1FFDB60}" error="Please choose feedback from drop down only." errorTitle="An invalid feedback was entered" showErrorMessage="1">
          <x14:formula1>
            <xm:f>Combiners!A:A</xm:f>
          </x14:formula1>
          <xm:sqref>O39</xm:sqref>
        </x14:dataValidation>
        <x14:dataValidation type="list" xr:uid="{2BAA688B-7B2F-4E54-8465-7485F864A6ED}" error="Please choose feedback from drop down only." errorTitle="An invalid feedback was entered" showErrorMessage="1">
          <x14:formula1>
            <xm:f>Combiners!A:A</xm:f>
          </x14:formula1>
          <xm:sqref>P39</xm:sqref>
        </x14:dataValidation>
        <x14:dataValidation type="list" xr:uid="{7C0A31F6-D457-4DB2-B8FB-59DB25E8B56C}" error="Please choose feedback from drop down only." errorTitle="An invalid feedback was entered" showErrorMessage="1">
          <x14:formula1>
            <xm:f>Combiners!A:A</xm:f>
          </x14:formula1>
          <xm:sqref>Q39</xm:sqref>
        </x14:dataValidation>
        <x14:dataValidation type="list" xr:uid="{53F8401E-1547-4352-832E-DB9DF3EC8C38}" error="Please choose feedback from drop down only." errorTitle="An invalid feedback was entered" showErrorMessage="0">
          <x14:formula1>
            <xm:f>RRUs!A:A</xm:f>
          </x14:formula1>
          <xm:sqref>C35</xm:sqref>
        </x14:dataValidation>
        <x14:dataValidation type="list" xr:uid="{88125B51-19EE-457F-A1D1-DE190D2AD40C}" error="Please choose feedback from drop down only." errorTitle="An invalid feedback was entered" showErrorMessage="0">
          <x14:formula1>
            <xm:f>RRUs!A:A</xm:f>
          </x14:formula1>
          <xm:sqref>D35</xm:sqref>
        </x14:dataValidation>
        <x14:dataValidation type="list" xr:uid="{EEB58064-0196-4FFA-9924-5FC126A628AB}" error="Please choose feedback from drop down only." errorTitle="An invalid feedback was entered" showErrorMessage="0">
          <x14:formula1>
            <xm:f>RRUs!A:A</xm:f>
          </x14:formula1>
          <xm:sqref>E35</xm:sqref>
        </x14:dataValidation>
        <x14:dataValidation type="list" xr:uid="{A9B887B5-FDB5-4C94-A0F4-13CF8C8E4687}" error="Please choose feedback from drop down only." errorTitle="An invalid feedback was entered" showErrorMessage="0">
          <x14:formula1>
            <xm:f>RRUs!A:A</xm:f>
          </x14:formula1>
          <xm:sqref>F35</xm:sqref>
        </x14:dataValidation>
        <x14:dataValidation type="list" xr:uid="{E0D09045-DF09-4920-9609-DD50BDFA501A}" error="Please choose feedback from drop down only." errorTitle="An invalid feedback was entered" showErrorMessage="0">
          <x14:formula1>
            <xm:f>RRUs!A:A</xm:f>
          </x14:formula1>
          <xm:sqref>G35</xm:sqref>
        </x14:dataValidation>
        <x14:dataValidation type="list" xr:uid="{18771158-6356-4954-BD2C-868F5C609528}" error="Please choose feedback from drop down only." errorTitle="An invalid feedback was entered" showErrorMessage="0">
          <x14:formula1>
            <xm:f>RRUs!A:A</xm:f>
          </x14:formula1>
          <xm:sqref>H35</xm:sqref>
        </x14:dataValidation>
        <x14:dataValidation type="list" xr:uid="{2F5D082C-C069-4B01-A875-E1243192BF16}" error="Please choose feedback from drop down only." errorTitle="An invalid feedback was entered" showErrorMessage="0">
          <x14:formula1>
            <xm:f>RRUs!A:A</xm:f>
          </x14:formula1>
          <xm:sqref>I35</xm:sqref>
        </x14:dataValidation>
        <x14:dataValidation type="list" xr:uid="{34C1C3FC-78BA-41C3-A68A-3AFE7CD30C9E}" error="Please choose feedback from drop down only." errorTitle="An invalid feedback was entered" showErrorMessage="0">
          <x14:formula1>
            <xm:f>RRUs!A:A</xm:f>
          </x14:formula1>
          <xm:sqref>J35</xm:sqref>
        </x14:dataValidation>
        <x14:dataValidation type="list" xr:uid="{F974D6BE-FD44-4948-9C99-F1AA33EABCF3}" error="Please choose feedback from drop down only." errorTitle="An invalid feedback was entered" showErrorMessage="0">
          <x14:formula1>
            <xm:f>RRUs!A:A</xm:f>
          </x14:formula1>
          <xm:sqref>K35</xm:sqref>
        </x14:dataValidation>
        <x14:dataValidation type="list" xr:uid="{8CCA08F9-E454-4DD9-AB0E-BD1A7EE9E26B}" error="Please choose feedback from drop down only." errorTitle="An invalid feedback was entered" showErrorMessage="0">
          <x14:formula1>
            <xm:f>RRUs!A:A</xm:f>
          </x14:formula1>
          <xm:sqref>L35</xm:sqref>
        </x14:dataValidation>
        <x14:dataValidation type="list" xr:uid="{FB104D45-79D7-4330-B920-A5A775E80405}" error="Please choose feedback from drop down only." errorTitle="An invalid feedback was entered" showErrorMessage="0">
          <x14:formula1>
            <xm:f>RRUs!A:A</xm:f>
          </x14:formula1>
          <xm:sqref>M35</xm:sqref>
        </x14:dataValidation>
        <x14:dataValidation type="list" xr:uid="{4FB1A77B-4536-4739-941E-C8D6AE54CC1A}" error="Please choose feedback from drop down only." errorTitle="An invalid feedback was entered" showErrorMessage="0">
          <x14:formula1>
            <xm:f>RRUs!A:A</xm:f>
          </x14:formula1>
          <xm:sqref>N35</xm:sqref>
        </x14:dataValidation>
        <x14:dataValidation type="list" xr:uid="{CEEB7440-9C7D-4EFA-B182-D04D8011B3ED}" error="Please choose feedback from drop down only." errorTitle="An invalid feedback was entered" showErrorMessage="0">
          <x14:formula1>
            <xm:f>RRUs!A:A</xm:f>
          </x14:formula1>
          <xm:sqref>O35</xm:sqref>
        </x14:dataValidation>
        <x14:dataValidation type="list" xr:uid="{C6FA2F8B-607D-4817-9279-D4BD7A985753}" error="Please choose feedback from drop down only." errorTitle="An invalid feedback was entered" showErrorMessage="0">
          <x14:formula1>
            <xm:f>RRUs!A:A</xm:f>
          </x14:formula1>
          <xm:sqref>P35</xm:sqref>
        </x14:dataValidation>
        <x14:dataValidation type="list" xr:uid="{F569874F-91C4-4353-9596-9A49C1EF9EB1}" error="Please choose feedback from drop down only." errorTitle="An invalid feedback was entered" showErrorMessage="0">
          <x14:formula1>
            <xm:f>RRUs!A:A</xm:f>
          </x14:formula1>
          <xm:sqref>Q35</xm:sqref>
        </x14:dataValidation>
        <x14:dataValidation type="list" xr:uid="{C639AF13-7291-4128-9A7D-2E63DADD7228}" error="Please choose feedback from drop down only." errorTitle="An invalid feedback was entered" showErrorMessage="1">
          <x14:formula1>
            <xm:f>Combiners!A:A</xm:f>
          </x14:formula1>
          <xm:sqref>C41</xm:sqref>
        </x14:dataValidation>
        <x14:dataValidation type="list" xr:uid="{DE328370-EDC3-4754-9A39-CD87F5C6AA1C}" error="Please choose feedback from drop down only." errorTitle="An invalid feedback was entered" showErrorMessage="1">
          <x14:formula1>
            <xm:f>Combiners!A:A</xm:f>
          </x14:formula1>
          <xm:sqref>D41</xm:sqref>
        </x14:dataValidation>
        <x14:dataValidation type="list" xr:uid="{1A664B55-6BA9-4F07-8462-F7CC777C991D}" error="Please choose feedback from drop down only." errorTitle="An invalid feedback was entered" showErrorMessage="1">
          <x14:formula1>
            <xm:f>Combiners!A:A</xm:f>
          </x14:formula1>
          <xm:sqref>E41</xm:sqref>
        </x14:dataValidation>
        <x14:dataValidation type="list" xr:uid="{96F5E1C1-0EBF-471D-87E0-C1A4F63F22E0}" error="Please choose feedback from drop down only." errorTitle="An invalid feedback was entered" showErrorMessage="1">
          <x14:formula1>
            <xm:f>Combiners!A:A</xm:f>
          </x14:formula1>
          <xm:sqref>F41</xm:sqref>
        </x14:dataValidation>
        <x14:dataValidation type="list" xr:uid="{8F6DD08B-9F2A-4DC8-8978-E3484C723CFC}" error="Please choose feedback from drop down only." errorTitle="An invalid feedback was entered" showErrorMessage="1">
          <x14:formula1>
            <xm:f>Combiners!A:A</xm:f>
          </x14:formula1>
          <xm:sqref>G41</xm:sqref>
        </x14:dataValidation>
        <x14:dataValidation type="list" xr:uid="{D9AB08DA-0A1E-43B6-B5B7-D3060581A46F}" error="Please choose feedback from drop down only." errorTitle="An invalid feedback was entered" showErrorMessage="1">
          <x14:formula1>
            <xm:f>Combiners!A:A</xm:f>
          </x14:formula1>
          <xm:sqref>H41</xm:sqref>
        </x14:dataValidation>
        <x14:dataValidation type="list" xr:uid="{249D2776-7064-493D-8A80-6F9685B87910}" error="Please choose feedback from drop down only." errorTitle="An invalid feedback was entered" showErrorMessage="1">
          <x14:formula1>
            <xm:f>Combiners!A:A</xm:f>
          </x14:formula1>
          <xm:sqref>I41</xm:sqref>
        </x14:dataValidation>
        <x14:dataValidation type="list" xr:uid="{DE249443-A4AC-4759-BF02-04F5DA22A79F}" error="Please choose feedback from drop down only." errorTitle="An invalid feedback was entered" showErrorMessage="1">
          <x14:formula1>
            <xm:f>Combiners!A:A</xm:f>
          </x14:formula1>
          <xm:sqref>J41</xm:sqref>
        </x14:dataValidation>
        <x14:dataValidation type="list" xr:uid="{229DD596-DD1B-4AB6-A9E9-F8E012B7BF90}" error="Please choose feedback from drop down only." errorTitle="An invalid feedback was entered" showErrorMessage="1">
          <x14:formula1>
            <xm:f>Combiners!A:A</xm:f>
          </x14:formula1>
          <xm:sqref>K41</xm:sqref>
        </x14:dataValidation>
        <x14:dataValidation type="list" xr:uid="{6F824712-E3C2-4535-A3B7-62AF8BC14B07}" error="Please choose feedback from drop down only." errorTitle="An invalid feedback was entered" showErrorMessage="1">
          <x14:formula1>
            <xm:f>Combiners!A:A</xm:f>
          </x14:formula1>
          <xm:sqref>L41</xm:sqref>
        </x14:dataValidation>
        <x14:dataValidation type="list" xr:uid="{EE04E59A-BFA4-4784-AB6C-C16E350E8CE0}" error="Please choose feedback from drop down only." errorTitle="An invalid feedback was entered" showErrorMessage="1">
          <x14:formula1>
            <xm:f>Combiners!A:A</xm:f>
          </x14:formula1>
          <xm:sqref>M41</xm:sqref>
        </x14:dataValidation>
        <x14:dataValidation type="list" xr:uid="{28610A2F-5D15-4AA9-81DD-CF532CD494DB}" error="Please choose feedback from drop down only." errorTitle="An invalid feedback was entered" showErrorMessage="1">
          <x14:formula1>
            <xm:f>Combiners!A:A</xm:f>
          </x14:formula1>
          <xm:sqref>N41</xm:sqref>
        </x14:dataValidation>
        <x14:dataValidation type="list" xr:uid="{3AB01896-BD86-4410-A544-A1368348E354}" error="Please choose feedback from drop down only." errorTitle="An invalid feedback was entered" showErrorMessage="1">
          <x14:formula1>
            <xm:f>Combiners!A:A</xm:f>
          </x14:formula1>
          <xm:sqref>O41</xm:sqref>
        </x14:dataValidation>
        <x14:dataValidation type="list" xr:uid="{5C44B33A-9DFF-486F-B746-9A7C28BB7665}" error="Please choose feedback from drop down only." errorTitle="An invalid feedback was entered" showErrorMessage="1">
          <x14:formula1>
            <xm:f>Combiners!A:A</xm:f>
          </x14:formula1>
          <xm:sqref>P41</xm:sqref>
        </x14:dataValidation>
        <x14:dataValidation type="list" xr:uid="{4D21CD42-39E0-445C-AC6B-7B8509214929}" error="Please choose feedback from drop down only." errorTitle="An invalid feedback was entered" showErrorMessage="1">
          <x14:formula1>
            <xm:f>Combiners!A:A</xm:f>
          </x14:formula1>
          <xm:sqref>Q41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4">
    <pageSetUpPr fitToPage="1"/>
  </sheetPr>
  <dimension ref="A1:U45"/>
  <sheetViews>
    <sheetView zoomScale="90" zoomScaleNormal="90" workbookViewId="0">
      <selection sqref="A1:B1"/>
    </sheetView>
  </sheetViews>
  <sheetFormatPr defaultColWidth="9.1328125" defaultRowHeight="12.75"/>
  <cols>
    <col min="1" max="1" bestFit="1" width="10.265625" customWidth="1" style="6"/>
    <col min="2" max="2" bestFit="1" width="40.1328125" customWidth="1" style="7"/>
    <col min="3" max="7" width="9.1328125" customWidth="1" style="21"/>
    <col min="8" max="8" bestFit="1" width="9.3984375" customWidth="1" style="21"/>
    <col min="9" max="16384" width="9.1328125" customWidth="1" style="21"/>
  </cols>
  <sheetData>
    <row r="1" ht="25.15" customHeight="1">
      <c r="A1" s="197">
        <f>Common!B2</f>
        <v>0</v>
      </c>
      <c r="B1" s="198"/>
      <c r="C1" s="258" t="s">
        <v>0</v>
      </c>
      <c r="D1" s="258"/>
      <c r="E1" s="258"/>
      <c r="F1" s="258"/>
      <c r="G1" s="258"/>
      <c r="H1" s="258"/>
      <c r="I1" s="258"/>
      <c r="J1" s="258"/>
      <c r="K1" s="258"/>
      <c r="L1" s="258"/>
      <c r="M1" s="258"/>
      <c r="N1" s="258"/>
      <c r="O1" s="258"/>
      <c r="P1" s="259"/>
    </row>
    <row r="2" ht="18">
      <c r="A2" s="33"/>
      <c r="B2" s="14" t="s">
        <v>1</v>
      </c>
      <c r="C2" s="217">
        <v>1</v>
      </c>
      <c r="D2" s="251"/>
      <c r="E2" s="251"/>
      <c r="F2" s="251"/>
      <c r="G2" s="251"/>
      <c r="H2" s="219"/>
      <c r="I2" s="252">
        <v>2</v>
      </c>
      <c r="J2" s="253"/>
      <c r="K2" s="253"/>
      <c r="L2" s="254"/>
      <c r="M2" s="252">
        <v>3</v>
      </c>
      <c r="N2" s="253"/>
      <c r="O2" s="255"/>
      <c r="P2" s="72">
        <v>4</v>
      </c>
    </row>
    <row r="3" ht="17.25">
      <c r="A3" s="241"/>
      <c r="B3" s="12" t="s">
        <v>2</v>
      </c>
      <c r="C3" s="226"/>
      <c r="D3" s="227"/>
      <c r="E3" s="227"/>
      <c r="F3" s="227"/>
      <c r="G3" s="227"/>
      <c r="H3" s="227"/>
      <c r="I3" s="227"/>
      <c r="J3" s="227"/>
      <c r="K3" s="227"/>
      <c r="L3" s="227"/>
      <c r="M3" s="227"/>
      <c r="N3" s="227"/>
      <c r="O3" s="227"/>
      <c r="P3" s="228"/>
    </row>
    <row r="4" ht="25.15" s="22" customFormat="1">
      <c r="A4" s="241"/>
      <c r="B4" s="9" t="s">
        <v>3</v>
      </c>
      <c r="C4" s="242"/>
      <c r="D4" s="243"/>
      <c r="E4" s="243"/>
      <c r="F4" s="243"/>
      <c r="G4" s="243"/>
      <c r="H4" s="243"/>
      <c r="I4" s="243"/>
      <c r="J4" s="243"/>
      <c r="K4" s="243"/>
      <c r="L4" s="243"/>
      <c r="M4" s="243"/>
      <c r="N4" s="243"/>
      <c r="O4" s="243"/>
      <c r="P4" s="244"/>
    </row>
    <row r="5" ht="24.75">
      <c r="A5" s="241"/>
      <c r="B5" s="13" t="s">
        <v>4</v>
      </c>
      <c r="C5" s="245"/>
      <c r="D5" s="246"/>
      <c r="E5" s="246"/>
      <c r="F5" s="246"/>
      <c r="G5" s="246"/>
      <c r="H5" s="246"/>
      <c r="I5" s="246"/>
      <c r="J5" s="246"/>
      <c r="K5" s="246"/>
      <c r="L5" s="246"/>
      <c r="M5" s="246"/>
      <c r="N5" s="246"/>
      <c r="O5" s="246"/>
      <c r="P5" s="247"/>
    </row>
    <row r="6" ht="25.15" s="22" customFormat="1">
      <c r="A6" s="241"/>
      <c r="B6" s="32" t="s">
        <v>5</v>
      </c>
      <c r="C6" s="260"/>
      <c r="D6" s="261"/>
      <c r="E6" s="261"/>
      <c r="F6" s="261"/>
      <c r="G6" s="261"/>
      <c r="H6" s="261"/>
      <c r="I6" s="261"/>
      <c r="J6" s="261"/>
      <c r="K6" s="261"/>
      <c r="L6" s="261"/>
      <c r="M6" s="261"/>
      <c r="N6" s="261"/>
      <c r="O6" s="261"/>
      <c r="P6" s="262"/>
    </row>
    <row r="7" ht="17.25">
      <c r="A7" s="241"/>
      <c r="B7" s="8" t="s">
        <v>6</v>
      </c>
      <c r="C7" s="226"/>
      <c r="D7" s="227"/>
      <c r="E7" s="227"/>
      <c r="F7" s="227"/>
      <c r="G7" s="227"/>
      <c r="H7" s="228"/>
      <c r="I7" s="227"/>
      <c r="J7" s="227"/>
      <c r="K7" s="227"/>
      <c r="L7" s="228"/>
      <c r="M7" s="227"/>
      <c r="N7" s="227"/>
      <c r="O7" s="228"/>
      <c r="P7" s="73"/>
    </row>
    <row r="8" ht="17.65" s="22" customFormat="1">
      <c r="A8" s="241"/>
      <c r="B8" s="9" t="s">
        <v>7</v>
      </c>
      <c r="C8" s="229"/>
      <c r="D8" s="230"/>
      <c r="E8" s="230"/>
      <c r="F8" s="230"/>
      <c r="G8" s="230"/>
      <c r="H8" s="231"/>
      <c r="I8" s="229"/>
      <c r="J8" s="230"/>
      <c r="K8" s="230"/>
      <c r="L8" s="231"/>
      <c r="M8" s="229"/>
      <c r="N8" s="230"/>
      <c r="O8" s="231"/>
      <c r="P8" s="74"/>
    </row>
    <row r="9" ht="17.25">
      <c r="A9" s="241"/>
      <c r="B9" s="8" t="s">
        <v>8</v>
      </c>
      <c r="C9" s="211"/>
      <c r="D9" s="212"/>
      <c r="E9" s="212"/>
      <c r="F9" s="212"/>
      <c r="G9" s="212"/>
      <c r="H9" s="213"/>
      <c r="I9" s="212"/>
      <c r="J9" s="212"/>
      <c r="K9" s="212"/>
      <c r="L9" s="213"/>
      <c r="M9" s="212"/>
      <c r="N9" s="212"/>
      <c r="O9" s="213"/>
      <c r="P9" s="73"/>
    </row>
    <row r="10" ht="17.65" s="22" customFormat="1">
      <c r="A10" s="241"/>
      <c r="B10" s="10" t="s">
        <v>9</v>
      </c>
      <c r="C10" s="229"/>
      <c r="D10" s="230"/>
      <c r="E10" s="230"/>
      <c r="F10" s="230"/>
      <c r="G10" s="230"/>
      <c r="H10" s="231"/>
      <c r="I10" s="229"/>
      <c r="J10" s="230"/>
      <c r="K10" s="230"/>
      <c r="L10" s="231"/>
      <c r="M10" s="229"/>
      <c r="N10" s="230"/>
      <c r="O10" s="231"/>
      <c r="P10" s="74"/>
    </row>
    <row r="11" ht="17.25">
      <c r="A11" s="241"/>
      <c r="B11" s="8" t="s">
        <v>10</v>
      </c>
      <c r="C11" s="211"/>
      <c r="D11" s="212"/>
      <c r="E11" s="212"/>
      <c r="F11" s="212"/>
      <c r="G11" s="212"/>
      <c r="H11" s="213"/>
      <c r="I11" s="212"/>
      <c r="J11" s="212"/>
      <c r="K11" s="212"/>
      <c r="L11" s="213"/>
      <c r="M11" s="212"/>
      <c r="N11" s="212"/>
      <c r="O11" s="213"/>
      <c r="P11" s="73"/>
    </row>
    <row r="12" ht="17.65" s="22" customFormat="1">
      <c r="A12" s="241"/>
      <c r="B12" s="10" t="s">
        <v>11</v>
      </c>
      <c r="C12" s="214"/>
      <c r="D12" s="215"/>
      <c r="E12" s="215"/>
      <c r="F12" s="215"/>
      <c r="G12" s="215"/>
      <c r="H12" s="216"/>
      <c r="I12" s="214"/>
      <c r="J12" s="215"/>
      <c r="K12" s="215"/>
      <c r="L12" s="216"/>
      <c r="M12" s="214"/>
      <c r="N12" s="215"/>
      <c r="O12" s="216"/>
      <c r="P12" s="74"/>
    </row>
    <row r="13" ht="17.25">
      <c r="A13" s="241"/>
      <c r="B13" s="8" t="s">
        <v>12</v>
      </c>
      <c r="C13" s="211"/>
      <c r="D13" s="212"/>
      <c r="E13" s="212"/>
      <c r="F13" s="212"/>
      <c r="G13" s="212"/>
      <c r="H13" s="213"/>
      <c r="I13" s="212"/>
      <c r="J13" s="212"/>
      <c r="K13" s="212"/>
      <c r="L13" s="213"/>
      <c r="M13" s="212"/>
      <c r="N13" s="212"/>
      <c r="O13" s="213"/>
      <c r="P13" s="73"/>
    </row>
    <row r="14" ht="17.65" s="22" customFormat="1">
      <c r="A14" s="241"/>
      <c r="B14" s="10" t="s">
        <v>13</v>
      </c>
      <c r="C14" s="208"/>
      <c r="D14" s="209"/>
      <c r="E14" s="209"/>
      <c r="F14" s="209"/>
      <c r="G14" s="209"/>
      <c r="H14" s="210"/>
      <c r="I14" s="208"/>
      <c r="J14" s="209"/>
      <c r="K14" s="209"/>
      <c r="L14" s="210"/>
      <c r="M14" s="208"/>
      <c r="N14" s="209"/>
      <c r="O14" s="210"/>
      <c r="P14" s="81"/>
    </row>
    <row r="15" ht="17.25">
      <c r="A15" s="241"/>
      <c r="B15" s="8" t="s">
        <v>14</v>
      </c>
      <c r="C15" s="211"/>
      <c r="D15" s="212"/>
      <c r="E15" s="212"/>
      <c r="F15" s="212"/>
      <c r="G15" s="212"/>
      <c r="H15" s="213"/>
      <c r="I15" s="212"/>
      <c r="J15" s="212"/>
      <c r="K15" s="212"/>
      <c r="L15" s="213"/>
      <c r="M15" s="212"/>
      <c r="N15" s="212"/>
      <c r="O15" s="213"/>
      <c r="P15" s="80"/>
    </row>
    <row r="16" ht="17.25" s="22" customFormat="1">
      <c r="A16" s="241"/>
      <c r="B16" s="68" t="s">
        <v>15</v>
      </c>
      <c r="C16" s="199"/>
      <c r="D16" s="200"/>
      <c r="E16" s="200"/>
      <c r="F16" s="200"/>
      <c r="G16" s="200"/>
      <c r="H16" s="201"/>
      <c r="I16" s="202"/>
      <c r="J16" s="203"/>
      <c r="K16" s="203"/>
      <c r="L16" s="204"/>
      <c r="M16" s="202"/>
      <c r="N16" s="203"/>
      <c r="O16" s="204"/>
      <c r="P16" s="75"/>
    </row>
    <row r="17" ht="17.25">
      <c r="A17" s="256"/>
      <c r="B17" s="70" t="s">
        <v>16</v>
      </c>
      <c r="C17" s="65" t="s">
        <v>17</v>
      </c>
      <c r="D17" s="65" t="s">
        <v>18</v>
      </c>
      <c r="E17" s="65" t="s">
        <v>19</v>
      </c>
      <c r="F17" s="65" t="s">
        <v>20</v>
      </c>
      <c r="G17" s="65" t="s">
        <v>21</v>
      </c>
      <c r="H17" s="65" t="s">
        <v>22</v>
      </c>
      <c r="I17" s="65" t="s">
        <v>17</v>
      </c>
      <c r="J17" s="65" t="s">
        <v>18</v>
      </c>
      <c r="K17" s="65" t="s">
        <v>19</v>
      </c>
      <c r="L17" s="65" t="s">
        <v>20</v>
      </c>
      <c r="M17" s="65" t="s">
        <v>17</v>
      </c>
      <c r="N17" s="65" t="s">
        <v>18</v>
      </c>
      <c r="O17" s="65" t="s">
        <v>19</v>
      </c>
      <c r="P17" s="76" t="s">
        <v>17</v>
      </c>
    </row>
    <row r="18" ht="17.25">
      <c r="A18" s="256"/>
      <c r="B18" s="70" t="s">
        <v>23</v>
      </c>
      <c r="C18" s="63"/>
      <c r="D18" s="64"/>
      <c r="E18" s="64"/>
      <c r="F18" s="64"/>
      <c r="G18" s="64"/>
      <c r="H18" s="65"/>
      <c r="I18" s="63"/>
      <c r="J18" s="64"/>
      <c r="K18" s="64"/>
      <c r="L18" s="65"/>
      <c r="M18" s="63"/>
      <c r="N18" s="64"/>
      <c r="O18" s="65"/>
      <c r="P18" s="77"/>
    </row>
    <row r="19" ht="17.25">
      <c r="A19" s="256"/>
      <c r="B19" s="71" t="s">
        <v>24</v>
      </c>
      <c r="C19" s="99">
        <f>VLOOKUP(C8,AntennasPortName!A:H,2,FALSE)</f>
      </c>
      <c r="D19" s="99">
        <f>VLOOKUP(C8,AntennasPortName!A:H,3,FALSE)</f>
      </c>
      <c r="E19" s="99">
        <f>VLOOKUP(C8,AntennasPortName!A:H,4,FALSE)</f>
      </c>
      <c r="F19" s="99">
        <f>VLOOKUP(C8,AntennasPortName!A:H,5,FALSE)</f>
      </c>
      <c r="G19" s="99">
        <f>VLOOKUP(C8,AntennasPortName!A:H,6,FALSE)</f>
      </c>
      <c r="H19" s="99">
        <f>VLOOKUP(C8,AntennasPortName!A:H,7,FALSE)</f>
      </c>
      <c r="I19" s="99">
        <f>VLOOKUP(I8,AntennasPortName!A:H,2,FALSE)</f>
      </c>
      <c r="J19" s="99">
        <f>VLOOKUP(I8,AntennasPortName!A:H,3,FALSE)</f>
      </c>
      <c r="K19" s="99">
        <f>VLOOKUP(I8,AntennasPortName!A:H,4,FALSE)</f>
      </c>
      <c r="L19" s="99">
        <f>VLOOKUP(I8,AntennasPortName!A:H,5,FALSE)</f>
      </c>
      <c r="M19" s="99">
        <f>VLOOKUP(M8,AntennasPortName!A:H,2,FALSE)</f>
      </c>
      <c r="N19" s="99">
        <f>VLOOKUP(M8,AntennasPortName!A:H,3,FALSE)</f>
      </c>
      <c r="O19" s="99">
        <f>VLOOKUP(M8,AntennasPortName!A:H,4,FALSE)</f>
      </c>
      <c r="P19" s="99">
        <f>VLOOKUP(P8,AntennasPortName!A:H,2,FALSE)</f>
      </c>
    </row>
    <row r="20" ht="17.25">
      <c r="A20" s="241"/>
      <c r="B20" s="69" t="s">
        <v>25</v>
      </c>
      <c r="C20" s="61"/>
      <c r="D20" s="62"/>
      <c r="E20" s="62"/>
      <c r="F20" s="62"/>
      <c r="G20" s="62"/>
      <c r="H20" s="62"/>
      <c r="I20" s="61"/>
      <c r="J20" s="62"/>
      <c r="K20" s="62"/>
      <c r="L20" s="66"/>
      <c r="M20" s="67"/>
      <c r="N20" s="62"/>
      <c r="O20" s="66"/>
      <c r="P20" s="66"/>
    </row>
    <row r="21" ht="17.65">
      <c r="A21" s="241"/>
      <c r="B21" s="18" t="s">
        <v>26</v>
      </c>
      <c r="C21" s="42">
        <f>VLOOKUP(C8,Antennas!A:H,2,FALSE)</f>
      </c>
      <c r="D21" s="43">
        <f>VLOOKUP(C8,Antennas!A:H,3,FALSE)</f>
      </c>
      <c r="E21" s="43">
        <f>VLOOKUP(C8,Antennas!A:H,4,FALSE)</f>
      </c>
      <c r="F21" s="43">
        <f>VLOOKUP(C8,Antennas!A:H,5,FALSE)</f>
      </c>
      <c r="G21" s="43">
        <f>VLOOKUP(C8,Antennas!A:H,6,FALSE)</f>
      </c>
      <c r="H21" s="43">
        <f>VLOOKUP(C8,Antennas!A:H,7,FALSE)</f>
      </c>
      <c r="I21" s="43">
        <f>VLOOKUP(I8,Antennas!A:H,2,FALSE)</f>
      </c>
      <c r="J21" s="43">
        <f>VLOOKUP(I8,Antennas!A:H,3,FALSE)</f>
      </c>
      <c r="K21" s="43">
        <f>VLOOKUP(I8,Antennas!A:H,4,FALSE)</f>
      </c>
      <c r="L21" s="44">
        <f>VLOOKUP(I8,Antennas!A:H,5,FALSE)</f>
      </c>
      <c r="M21" s="45">
        <f>VLOOKUP(M8,Antennas!A:H,2,FALSE)</f>
      </c>
      <c r="N21" s="43">
        <f>VLOOKUP(M8,Antennas!A:H,3,FALSE)</f>
      </c>
      <c r="O21" s="42">
        <f>VLOOKUP(M8,Antennas!A:H,4,FALSE)</f>
      </c>
      <c r="P21" s="42">
        <f>VLOOKUP(P8,Antennas!A:H,2,FALSE)</f>
      </c>
      <c r="R21" s="17"/>
    </row>
    <row r="22" ht="17.65" s="22" customFormat="1">
      <c r="A22" s="241"/>
      <c r="B22" s="28" t="s">
        <v>27</v>
      </c>
      <c r="C22" s="46"/>
      <c r="D22" s="47"/>
      <c r="E22" s="47"/>
      <c r="F22" s="47"/>
      <c r="G22" s="47"/>
      <c r="H22" s="47"/>
      <c r="I22" s="47"/>
      <c r="J22" s="47"/>
      <c r="K22" s="47"/>
      <c r="L22" s="48"/>
      <c r="M22" s="49"/>
      <c r="N22" s="47"/>
      <c r="O22" s="50"/>
      <c r="P22" s="50"/>
    </row>
    <row r="23" ht="17.65" s="22" customFormat="1">
      <c r="A23" s="241"/>
      <c r="B23" s="28" t="s">
        <v>28</v>
      </c>
      <c r="C23" s="46"/>
      <c r="D23" s="46"/>
      <c r="E23" s="46"/>
      <c r="F23" s="46"/>
      <c r="G23" s="46"/>
      <c r="H23" s="46"/>
      <c r="I23" s="46"/>
      <c r="J23" s="46"/>
      <c r="K23" s="46"/>
      <c r="L23" s="46"/>
      <c r="M23" s="46"/>
      <c r="N23" s="46"/>
      <c r="O23" s="46"/>
      <c r="P23" s="46"/>
    </row>
    <row r="24" ht="17.25">
      <c r="A24" s="241"/>
      <c r="B24" s="11" t="s">
        <v>29</v>
      </c>
      <c r="C24" s="25"/>
      <c r="D24" s="25"/>
      <c r="E24" s="25"/>
      <c r="F24" s="25"/>
      <c r="G24" s="25"/>
      <c r="H24" s="25"/>
      <c r="I24" s="25"/>
      <c r="J24" s="25"/>
      <c r="K24" s="25"/>
      <c r="L24" s="25"/>
      <c r="M24" s="25"/>
      <c r="N24" s="25"/>
      <c r="O24" s="25"/>
      <c r="P24" s="25"/>
    </row>
    <row r="25" ht="17.65" s="22" customFormat="1">
      <c r="A25" s="241"/>
      <c r="B25" s="29" t="s">
        <v>30</v>
      </c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78"/>
    </row>
    <row r="26" ht="17.25">
      <c r="A26" s="241"/>
      <c r="B26" s="27" t="s">
        <v>31</v>
      </c>
      <c r="C26" s="24"/>
      <c r="D26" s="24"/>
      <c r="E26" s="24"/>
      <c r="F26" s="24"/>
      <c r="G26" s="24"/>
      <c r="H26" s="24"/>
      <c r="I26" s="24"/>
      <c r="J26" s="24"/>
      <c r="K26" s="24"/>
      <c r="L26" s="24"/>
      <c r="M26" s="24"/>
      <c r="N26" s="24"/>
      <c r="O26" s="24"/>
      <c r="P26" s="24"/>
    </row>
    <row r="27" ht="17.65" s="22" customFormat="1">
      <c r="A27" s="241"/>
      <c r="B27" s="30" t="s">
        <v>32</v>
      </c>
      <c r="C27" s="52"/>
      <c r="D27" s="52"/>
      <c r="E27" s="52"/>
      <c r="F27" s="52"/>
      <c r="G27" s="52"/>
      <c r="H27" s="52"/>
      <c r="I27" s="52"/>
      <c r="J27" s="52"/>
      <c r="K27" s="52"/>
      <c r="L27" s="52"/>
      <c r="M27" s="52"/>
      <c r="N27" s="52"/>
      <c r="O27" s="52"/>
      <c r="P27" s="52"/>
    </row>
    <row r="28" ht="17.25">
      <c r="A28" s="241"/>
      <c r="B28" s="11" t="s">
        <v>33</v>
      </c>
      <c r="C28" s="24"/>
      <c r="D28" s="24"/>
      <c r="E28" s="24"/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</row>
    <row r="29" ht="17.65" s="22" customFormat="1">
      <c r="A29" s="241"/>
      <c r="B29" s="31" t="s">
        <v>34</v>
      </c>
      <c r="C29" s="51"/>
      <c r="D29" s="51"/>
      <c r="E29" s="51"/>
      <c r="F29" s="51"/>
      <c r="G29" s="51"/>
      <c r="H29" s="51"/>
      <c r="I29" s="51"/>
      <c r="J29" s="51"/>
      <c r="K29" s="51"/>
      <c r="L29" s="51"/>
      <c r="M29" s="51"/>
      <c r="N29" s="51"/>
      <c r="O29" s="51"/>
      <c r="P29" s="78"/>
    </row>
    <row r="30" ht="17.25">
      <c r="A30" s="241"/>
      <c r="B30" s="27" t="s">
        <v>35</v>
      </c>
      <c r="C30" s="24"/>
      <c r="D30" s="24"/>
      <c r="E30" s="24"/>
      <c r="F30" s="24"/>
      <c r="G30" s="24"/>
      <c r="H30" s="24"/>
      <c r="I30" s="24"/>
      <c r="J30" s="24"/>
      <c r="K30" s="24"/>
      <c r="L30" s="24"/>
      <c r="M30" s="24"/>
      <c r="N30" s="24"/>
      <c r="O30" s="24"/>
      <c r="P30" s="24"/>
    </row>
    <row r="31" ht="17.65" s="22" customFormat="1">
      <c r="A31" s="241"/>
      <c r="B31" s="30" t="s">
        <v>36</v>
      </c>
      <c r="C31" s="53"/>
      <c r="D31" s="53"/>
      <c r="E31" s="53"/>
      <c r="F31" s="53"/>
      <c r="G31" s="53"/>
      <c r="H31" s="53"/>
      <c r="I31" s="53"/>
      <c r="J31" s="53"/>
      <c r="K31" s="53"/>
      <c r="L31" s="53"/>
      <c r="M31" s="53"/>
      <c r="N31" s="53"/>
      <c r="O31" s="53"/>
      <c r="P31" s="79"/>
    </row>
    <row r="32" ht="17.25">
      <c r="A32" s="241"/>
      <c r="B32" s="11" t="s">
        <v>37</v>
      </c>
      <c r="C32" s="25"/>
      <c r="D32" s="25"/>
      <c r="E32" s="25"/>
      <c r="F32" s="25"/>
      <c r="G32" s="25"/>
      <c r="H32" s="25"/>
      <c r="I32" s="25"/>
      <c r="J32" s="25"/>
      <c r="K32" s="25"/>
      <c r="L32" s="25"/>
      <c r="M32" s="25"/>
      <c r="N32" s="25"/>
      <c r="O32" s="25"/>
      <c r="P32" s="25"/>
    </row>
    <row r="33" ht="17.65" s="22" customFormat="1">
      <c r="A33" s="241"/>
      <c r="B33" s="30" t="s">
        <v>38</v>
      </c>
      <c r="C33" s="51"/>
      <c r="D33" s="51"/>
      <c r="E33" s="51"/>
      <c r="F33" s="51"/>
      <c r="G33" s="51"/>
      <c r="H33" s="51"/>
      <c r="I33" s="51"/>
      <c r="J33" s="51"/>
      <c r="K33" s="51"/>
      <c r="L33" s="51"/>
      <c r="M33" s="51"/>
      <c r="N33" s="51"/>
      <c r="O33" s="51"/>
      <c r="P33" s="78"/>
    </row>
    <row r="34" ht="17.25">
      <c r="A34" s="241"/>
      <c r="B34" s="27" t="s">
        <v>39</v>
      </c>
      <c r="C34" s="24"/>
      <c r="D34" s="24"/>
      <c r="E34" s="24"/>
      <c r="F34" s="24"/>
      <c r="G34" s="24"/>
      <c r="H34" s="24"/>
      <c r="I34" s="24"/>
      <c r="J34" s="24"/>
      <c r="K34" s="24"/>
      <c r="L34" s="24"/>
      <c r="M34" s="24"/>
      <c r="N34" s="24"/>
      <c r="O34" s="24"/>
      <c r="P34" s="24"/>
      <c r="U34" s="22"/>
    </row>
    <row r="35" ht="17.65" s="22" customFormat="1">
      <c r="A35" s="241"/>
      <c r="B35" s="28" t="s">
        <v>40</v>
      </c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78"/>
      <c r="U35" s="21"/>
    </row>
    <row r="36" ht="17.25">
      <c r="A36" s="241"/>
      <c r="B36" s="11" t="s">
        <v>41</v>
      </c>
      <c r="C36" s="25"/>
      <c r="D36" s="25"/>
      <c r="E36" s="25"/>
      <c r="F36" s="25"/>
      <c r="G36" s="25"/>
      <c r="H36" s="25"/>
      <c r="I36" s="25"/>
      <c r="J36" s="25"/>
      <c r="K36" s="25"/>
      <c r="L36" s="25"/>
      <c r="M36" s="25"/>
      <c r="N36" s="25"/>
      <c r="O36" s="25"/>
      <c r="P36" s="25"/>
    </row>
    <row r="37" ht="17.65" s="22" customFormat="1">
      <c r="A37" s="241"/>
      <c r="B37" s="28" t="s">
        <v>42</v>
      </c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78"/>
    </row>
    <row r="38" ht="17.25">
      <c r="A38" s="241"/>
      <c r="B38" s="11" t="s">
        <v>43</v>
      </c>
      <c r="C38" s="25"/>
      <c r="D38" s="25"/>
      <c r="E38" s="25"/>
      <c r="F38" s="25"/>
      <c r="G38" s="25"/>
      <c r="H38" s="25"/>
      <c r="I38" s="25"/>
      <c r="J38" s="25"/>
      <c r="K38" s="25"/>
      <c r="L38" s="25"/>
      <c r="M38" s="25"/>
      <c r="N38" s="25"/>
      <c r="O38" s="25"/>
      <c r="P38" s="25"/>
    </row>
    <row r="39" ht="17.65" s="22" customFormat="1">
      <c r="A39" s="241"/>
      <c r="B39" s="28" t="s">
        <v>44</v>
      </c>
      <c r="C39" s="51"/>
      <c r="D39" s="51"/>
      <c r="E39" s="51"/>
      <c r="F39" s="51"/>
      <c r="G39" s="51"/>
      <c r="H39" s="51"/>
      <c r="I39" s="51"/>
      <c r="J39" s="51"/>
      <c r="K39" s="51"/>
      <c r="L39" s="51"/>
      <c r="M39" s="51"/>
      <c r="N39" s="51"/>
      <c r="O39" s="51"/>
      <c r="P39" s="78"/>
    </row>
    <row r="40" ht="17.25">
      <c r="A40" s="241"/>
      <c r="B40" s="11" t="s">
        <v>45</v>
      </c>
      <c r="C40" s="26"/>
      <c r="D40" s="26"/>
      <c r="E40" s="26"/>
      <c r="F40" s="26"/>
      <c r="G40" s="26"/>
      <c r="H40" s="26"/>
      <c r="I40" s="26"/>
      <c r="J40" s="26"/>
      <c r="K40" s="26"/>
      <c r="L40" s="26"/>
      <c r="M40" s="26"/>
      <c r="N40" s="26"/>
      <c r="O40" s="26"/>
      <c r="P40" s="26"/>
    </row>
    <row r="41" ht="17.65" s="22" customFormat="1">
      <c r="A41" s="241"/>
      <c r="B41" s="29" t="s">
        <v>46</v>
      </c>
      <c r="C41" s="51"/>
      <c r="D41" s="51"/>
      <c r="E41" s="51"/>
      <c r="F41" s="51"/>
      <c r="G41" s="51"/>
      <c r="H41" s="51"/>
      <c r="I41" s="51"/>
      <c r="J41" s="51"/>
      <c r="K41" s="51"/>
      <c r="L41" s="51"/>
      <c r="M41" s="51"/>
      <c r="N41" s="51"/>
      <c r="O41" s="51"/>
      <c r="P41" s="78"/>
    </row>
    <row r="42" ht="12.75" customHeight="1">
      <c r="A42" s="223" t="s">
        <v>47</v>
      </c>
      <c r="B42" s="232"/>
      <c r="C42" s="233"/>
      <c r="D42" s="233"/>
      <c r="E42" s="233"/>
      <c r="F42" s="233"/>
      <c r="G42" s="233"/>
      <c r="H42" s="233"/>
      <c r="I42" s="233"/>
      <c r="J42" s="233"/>
      <c r="K42" s="233"/>
      <c r="L42" s="233"/>
      <c r="M42" s="233"/>
      <c r="N42" s="233"/>
      <c r="O42" s="233"/>
      <c r="P42" s="234"/>
      <c r="Q42" s="22"/>
      <c r="R42" s="22"/>
      <c r="S42" s="22"/>
    </row>
    <row r="43" ht="13.15" customHeight="1">
      <c r="A43" s="224"/>
      <c r="B43" s="235"/>
      <c r="C43" s="236"/>
      <c r="D43" s="236"/>
      <c r="E43" s="236"/>
      <c r="F43" s="236"/>
      <c r="G43" s="236"/>
      <c r="H43" s="236"/>
      <c r="I43" s="236"/>
      <c r="J43" s="236"/>
      <c r="K43" s="236"/>
      <c r="L43" s="236"/>
      <c r="M43" s="236"/>
      <c r="N43" s="236"/>
      <c r="O43" s="236"/>
      <c r="P43" s="237"/>
      <c r="Q43" s="22"/>
      <c r="R43" s="22"/>
      <c r="S43" s="22"/>
    </row>
    <row r="44" ht="13.15" customHeight="1">
      <c r="A44" s="224"/>
      <c r="B44" s="235"/>
      <c r="C44" s="236"/>
      <c r="D44" s="236"/>
      <c r="E44" s="236"/>
      <c r="F44" s="236"/>
      <c r="G44" s="236"/>
      <c r="H44" s="236"/>
      <c r="I44" s="236"/>
      <c r="J44" s="236"/>
      <c r="K44" s="236"/>
      <c r="L44" s="236"/>
      <c r="M44" s="236"/>
      <c r="N44" s="236"/>
      <c r="O44" s="236"/>
      <c r="P44" s="237"/>
      <c r="Q44" s="22"/>
      <c r="R44" s="22"/>
      <c r="S44" s="22"/>
    </row>
    <row r="45" ht="13.9" customHeight="1">
      <c r="A45" s="225"/>
      <c r="B45" s="238"/>
      <c r="C45" s="239"/>
      <c r="D45" s="239"/>
      <c r="E45" s="239"/>
      <c r="F45" s="239"/>
      <c r="G45" s="239"/>
      <c r="H45" s="239"/>
      <c r="I45" s="239"/>
      <c r="J45" s="239"/>
      <c r="K45" s="239"/>
      <c r="L45" s="239"/>
      <c r="M45" s="239"/>
      <c r="N45" s="239"/>
      <c r="O45" s="239"/>
      <c r="P45" s="240"/>
      <c r="Q45" s="22"/>
      <c r="R45" s="22"/>
      <c r="S45" s="22"/>
    </row>
  </sheetData>
  <mergeCells>
    <mergeCell ref="C1:P1"/>
    <mergeCell ref="C16:H16"/>
    <mergeCell ref="I16:L16"/>
    <mergeCell ref="M16:O16"/>
    <mergeCell ref="B42:P45"/>
    <mergeCell ref="C12:H12"/>
    <mergeCell ref="I12:L12"/>
    <mergeCell ref="M12:O12"/>
    <mergeCell ref="C13:H13"/>
    <mergeCell ref="I13:L13"/>
    <mergeCell ref="M13:O13"/>
    <mergeCell ref="C14:H14"/>
    <mergeCell ref="I14:L14"/>
    <mergeCell ref="M14:O14"/>
    <mergeCell ref="C15:H15"/>
    <mergeCell ref="I15:L15"/>
    <mergeCell ref="M15:O15"/>
    <mergeCell ref="C10:H10"/>
    <mergeCell ref="I10:L10"/>
    <mergeCell ref="M10:O10"/>
    <mergeCell ref="C11:H11"/>
    <mergeCell ref="I11:L11"/>
    <mergeCell ref="M11:O11"/>
    <mergeCell ref="C8:H8"/>
    <mergeCell ref="I8:L8"/>
    <mergeCell ref="M8:O8"/>
    <mergeCell ref="C9:H9"/>
    <mergeCell ref="I9:L9"/>
    <mergeCell ref="M9:O9"/>
    <mergeCell ref="A1:B1"/>
    <mergeCell ref="A42:A45"/>
    <mergeCell ref="A36:A41"/>
    <mergeCell ref="A34:A35"/>
    <mergeCell ref="A3:A33"/>
    <mergeCell ref="C7:H7"/>
    <mergeCell ref="C2:H2"/>
    <mergeCell ref="I2:L2"/>
    <mergeCell ref="M2:O2"/>
    <mergeCell ref="I7:L7"/>
    <mergeCell ref="M7:O7"/>
    <mergeCell ref="C3:P3"/>
    <mergeCell ref="C4:P4"/>
    <mergeCell ref="C5:P5"/>
    <mergeCell ref="C6:P6"/>
  </mergeCells>
  <conditionalFormatting sqref="C22:E22 C4 H22:O22">
    <cfRule type="cellIs" dxfId="0" priority="43" operator="greaterThan">
      <formula>0</formula>
    </cfRule>
  </conditionalFormatting>
  <conditionalFormatting sqref="C21:E21 H21:O21">
    <cfRule type="expression" dxfId="1" priority="42">
      <formula>ISERROR(C21)</formula>
    </cfRule>
  </conditionalFormatting>
  <conditionalFormatting sqref="C21:E21 H21:O21">
    <cfRule type="cellIs" dxfId="1" priority="41" operator="equal">
      <formula>0</formula>
    </cfRule>
  </conditionalFormatting>
  <conditionalFormatting sqref="C21:E21 H21:O21">
    <cfRule type="cellIs" dxfId="3" priority="40" operator="greaterThan">
      <formula>0</formula>
    </cfRule>
  </conditionalFormatting>
  <conditionalFormatting sqref="C27:O27 D29:O29 D33:O33">
    <cfRule type="cellIs" dxfId="0" priority="39" operator="notEqual">
      <formula>VALUE(C26)</formula>
    </cfRule>
  </conditionalFormatting>
  <conditionalFormatting sqref="C8:O8 C10:O10 C12:O12 C14:O14 C16:O16 C27:O27 D29:O29 D31:O31 D33:O33 D35:O35 D37:O37 D25:O25 D39:O39 D41:O41">
    <cfRule type="expression" dxfId="10" priority="35">
      <formula>ISBLANK(C8)</formula>
    </cfRule>
  </conditionalFormatting>
  <conditionalFormatting sqref="C29">
    <cfRule type="cellIs" dxfId="0" priority="37" operator="notEqual">
      <formula>VALUE(C28)</formula>
    </cfRule>
  </conditionalFormatting>
  <conditionalFormatting sqref="C29">
    <cfRule type="expression" dxfId="10" priority="36">
      <formula>ISBLANK(C29)</formula>
    </cfRule>
  </conditionalFormatting>
  <conditionalFormatting sqref="C8:O8 C10:O10 C12:O12 C14:O14 C16:O16 C31:O31 D35:O35 D37:O37 D25:O25 D39:O39 D41:O41">
    <cfRule type="cellIs" dxfId="0" priority="38" operator="notEqual">
      <formula>C7</formula>
    </cfRule>
  </conditionalFormatting>
  <conditionalFormatting sqref="C31">
    <cfRule type="expression" dxfId="10" priority="34">
      <formula>ISBLANK(C31)</formula>
    </cfRule>
  </conditionalFormatting>
  <conditionalFormatting sqref="C33">
    <cfRule type="cellIs" dxfId="0" priority="33" operator="notEqual">
      <formula>VALUE(C32)</formula>
    </cfRule>
  </conditionalFormatting>
  <conditionalFormatting sqref="C33">
    <cfRule type="expression" dxfId="10" priority="32">
      <formula>ISBLANK(C33)</formula>
    </cfRule>
  </conditionalFormatting>
  <conditionalFormatting sqref="C35">
    <cfRule type="cellIs" dxfId="0" priority="31" operator="notEqual">
      <formula>C34</formula>
    </cfRule>
  </conditionalFormatting>
  <conditionalFormatting sqref="C35">
    <cfRule type="expression" dxfId="10" priority="30">
      <formula>ISBLANK(C35)</formula>
    </cfRule>
  </conditionalFormatting>
  <conditionalFormatting sqref="C37">
    <cfRule type="cellIs" dxfId="0" priority="29" operator="notEqual">
      <formula>C36</formula>
    </cfRule>
  </conditionalFormatting>
  <conditionalFormatting sqref="C37">
    <cfRule type="expression" dxfId="10" priority="28">
      <formula>ISBLANK(C37)</formula>
    </cfRule>
  </conditionalFormatting>
  <conditionalFormatting sqref="C6">
    <cfRule type="expression" dxfId="10" priority="26">
      <formula>ISBLANK(C6)</formula>
    </cfRule>
    <cfRule type="cellIs" dxfId="0" priority="27" operator="notEqual">
      <formula>C5</formula>
    </cfRule>
  </conditionalFormatting>
  <conditionalFormatting sqref="C25">
    <cfRule type="cellIs" dxfId="0" priority="25" operator="notEqual">
      <formula>C24</formula>
    </cfRule>
  </conditionalFormatting>
  <conditionalFormatting sqref="C25">
    <cfRule type="expression" dxfId="10" priority="24">
      <formula>ISBLANK(C25)</formula>
    </cfRule>
  </conditionalFormatting>
  <conditionalFormatting sqref="C39">
    <cfRule type="cellIs" dxfId="0" priority="23" operator="notEqual">
      <formula>C38</formula>
    </cfRule>
  </conditionalFormatting>
  <conditionalFormatting sqref="C39">
    <cfRule type="expression" dxfId="10" priority="22">
      <formula>ISBLANK(C39)</formula>
    </cfRule>
  </conditionalFormatting>
  <conditionalFormatting sqref="C41">
    <cfRule type="cellIs" dxfId="0" priority="21" operator="notEqual">
      <formula>C40</formula>
    </cfRule>
  </conditionalFormatting>
  <conditionalFormatting sqref="C41">
    <cfRule type="expression" dxfId="10" priority="20">
      <formula>ISBLANK(C41)</formula>
    </cfRule>
  </conditionalFormatting>
  <conditionalFormatting sqref="C24:O41">
    <cfRule type="expression" dxfId="1" priority="19" stopIfTrue="1">
      <formula>OR(C$22="Free",C$22="Telenor",C$22="Mtel",C$22="Telenor&amp;Mtel")</formula>
    </cfRule>
  </conditionalFormatting>
  <conditionalFormatting sqref="F22:G22">
    <cfRule type="cellIs" dxfId="0" priority="18" operator="greaterThan">
      <formula>0</formula>
    </cfRule>
  </conditionalFormatting>
  <conditionalFormatting sqref="F21:G21">
    <cfRule type="expression" dxfId="1" priority="17">
      <formula>ISERROR(F21)</formula>
    </cfRule>
  </conditionalFormatting>
  <conditionalFormatting sqref="F21:G21">
    <cfRule type="cellIs" dxfId="1" priority="16" operator="equal">
      <formula>0</formula>
    </cfRule>
  </conditionalFormatting>
  <conditionalFormatting sqref="F21:G21">
    <cfRule type="cellIs" dxfId="3" priority="15" operator="greaterThan">
      <formula>0</formula>
    </cfRule>
  </conditionalFormatting>
  <conditionalFormatting sqref="P22">
    <cfRule type="cellIs" dxfId="0" priority="14" operator="greaterThan">
      <formula>0</formula>
    </cfRule>
  </conditionalFormatting>
  <conditionalFormatting sqref="P21">
    <cfRule type="expression" dxfId="1" priority="13">
      <formula>ISERROR(P21)</formula>
    </cfRule>
  </conditionalFormatting>
  <conditionalFormatting sqref="P21">
    <cfRule type="cellIs" dxfId="1" priority="12" operator="equal">
      <formula>0</formula>
    </cfRule>
  </conditionalFormatting>
  <conditionalFormatting sqref="P21">
    <cfRule type="cellIs" dxfId="3" priority="11" operator="greaterThan">
      <formula>0</formula>
    </cfRule>
  </conditionalFormatting>
  <conditionalFormatting sqref="P27 P29 P33">
    <cfRule type="cellIs" dxfId="0" priority="10" operator="notEqual">
      <formula>VALUE(P26)</formula>
    </cfRule>
  </conditionalFormatting>
  <conditionalFormatting sqref="P8 P10 P12 P14 P16 P27 P29 P31 P33 P35 P37 P25 P39 P41">
    <cfRule type="expression" dxfId="10" priority="8">
      <formula>ISBLANK(P8)</formula>
    </cfRule>
  </conditionalFormatting>
  <conditionalFormatting sqref="P8 P10 P12 P14 P16 P31 P35 P37 P25 P39 P41">
    <cfRule type="cellIs" dxfId="0" priority="9" operator="notEqual">
      <formula>P7</formula>
    </cfRule>
  </conditionalFormatting>
  <conditionalFormatting sqref="P24:P41">
    <cfRule type="expression" dxfId="1" priority="7" stopIfTrue="1">
      <formula>OR(P$22="Free",P$22="Telenor",P$22="Mtel",P$22="Telenor&amp;Mtel")</formula>
    </cfRule>
  </conditionalFormatting>
  <conditionalFormatting sqref="C19">
    <cfRule type="cellIs" dxfId="1" priority="4" operator="equal">
      <formula>0</formula>
    </cfRule>
    <cfRule type="expression" dxfId="1" priority="6">
      <formula>ISERROR(C19)</formula>
    </cfRule>
  </conditionalFormatting>
  <conditionalFormatting sqref="D19:P19">
    <cfRule type="cellIs" dxfId="1" priority="2" operator="equal">
      <formula>0</formula>
    </cfRule>
    <cfRule type="expression" dxfId="1" priority="3">
      <formula>ISERROR(D19)</formula>
    </cfRule>
  </conditionalFormatting>
  <conditionalFormatting sqref="C23:P23">
    <cfRule type="cellIs" dxfId="0" priority="1" operator="greaterThan">
      <formula>0</formula>
    </cfRule>
  </conditionalFormatting>
  <dataValidations count="165">
    <dataValidation type="list" xr:uid="{13DEA374-15E4-4619-BDD9-140D59578527}" sqref="C2" showErrorMessage="1" errorTitle="An invalid feedback was entered" error="Please choose feedback from drop down only.">
      <formula1>"1,2,3"</formula1>
    </dataValidation>
    <dataValidation type="list" xr:uid="{2D5AA0B0-4766-4455-9D7E-C35CD42139ED}" sqref="D2" showErrorMessage="1" errorTitle="An invalid feedback was entered" error="Please choose feedback from drop down only.">
      <formula1>"1,2,3"</formula1>
    </dataValidation>
    <dataValidation type="list" xr:uid="{61ECAF76-21DB-44C3-B10C-7D29CB13549E}" sqref="E2" showErrorMessage="1" errorTitle="An invalid feedback was entered" error="Please choose feedback from drop down only.">
      <formula1>"1,2,3"</formula1>
    </dataValidation>
    <dataValidation type="list" xr:uid="{4A41A7A3-903E-4D54-98FF-975DADEF032A}" sqref="F2" showErrorMessage="1" errorTitle="An invalid feedback was entered" error="Please choose feedback from drop down only.">
      <formula1>"1,2,3"</formula1>
    </dataValidation>
    <dataValidation type="list" xr:uid="{8F9940A2-2CB6-4AC1-9C1A-D8F8C07CE8F9}" sqref="G2" showErrorMessage="1" errorTitle="An invalid feedback was entered" error="Please choose feedback from drop down only.">
      <formula1>"1,2,3"</formula1>
    </dataValidation>
    <dataValidation type="list" xr:uid="{DE556B92-FB84-4345-9AF5-75D2842516D5}" sqref="H2" showErrorMessage="1" errorTitle="An invalid feedback was entered" error="Please choose feedback from drop down only.">
      <formula1>"1,2,3"</formula1>
    </dataValidation>
    <dataValidation type="list" xr:uid="{B909D78D-294E-4BDB-9845-2BF8DC5597AF}" sqref="I2" showErrorMessage="1" errorTitle="An invalid feedback was entered" error="Please choose feedback from drop down only.">
      <formula1>"1,2,3"</formula1>
    </dataValidation>
    <dataValidation type="list" xr:uid="{456A19F1-FE5A-4830-A62D-D54190FB28B2}" sqref="J2" showErrorMessage="1" errorTitle="An invalid feedback was entered" error="Please choose feedback from drop down only.">
      <formula1>"1,2,3"</formula1>
    </dataValidation>
    <dataValidation type="list" xr:uid="{76FF0F82-74B7-434A-964C-337CA4625A64}" sqref="K2" showErrorMessage="1" errorTitle="An invalid feedback was entered" error="Please choose feedback from drop down only.">
      <formula1>"1,2,3"</formula1>
    </dataValidation>
    <dataValidation type="list" xr:uid="{FFB676E3-9328-417F-A72B-A310B8508878}" sqref="L2" showErrorMessage="1" errorTitle="An invalid feedback was entered" error="Please choose feedback from drop down only.">
      <formula1>"1,2,3"</formula1>
    </dataValidation>
    <dataValidation type="list" xr:uid="{14AB090F-4516-4D9A-920B-9BDA69C7AFA3}" sqref="M2" showErrorMessage="1" errorTitle="An invalid feedback was entered" error="Please choose feedback from drop down only.">
      <formula1>"1,2,3"</formula1>
    </dataValidation>
    <dataValidation type="list" xr:uid="{9F6DC788-FEDF-440A-8459-72B4995859B6}" sqref="N2" showErrorMessage="1" errorTitle="An invalid feedback was entered" error="Please choose feedback from drop down only.">
      <formula1>"1,2,3"</formula1>
    </dataValidation>
    <dataValidation type="list" xr:uid="{B20D34EF-15CE-411A-82E8-356BFC709D29}" sqref="O2" showErrorMessage="1" errorTitle="An invalid feedback was entered" error="Please choose feedback from drop down only.">
      <formula1>"1,2,3"</formula1>
    </dataValidation>
    <dataValidation type="list" xr:uid="{028C7D87-D0D3-4157-8D5C-16701370F899}" sqref="P2" showErrorMessage="1" errorTitle="An invalid feedback was entered" error="Please choose feedback from drop down only.">
      <formula1>"1,2,3"</formula1>
    </dataValidation>
    <dataValidation type="list" xr:uid="{E1C8681D-E25D-4530-B944-C545ABF97909}" sqref="Q2" showErrorMessage="1" errorTitle="An invalid feedback was entered" error="Please choose feedback from drop down only.">
      <formula1>"1,2,3"</formula1>
    </dataValidation>
    <dataValidation type="list" xr:uid="{17500245-9751-46FB-A9B5-231DA14F50BB}" sqref="C17" showErrorMessage="1" errorTitle="An invalid feedback was entered" error="Please choose feedback from drop down only.">
      <formula1>"1-2,3-4,5-6,7-8,9-10,N/A"</formula1>
    </dataValidation>
    <dataValidation type="list" xr:uid="{AA8F8294-5F33-466D-A84E-3AA4B74EF483}" sqref="D17" showErrorMessage="1" errorTitle="An invalid feedback was entered" error="Please choose feedback from drop down only.">
      <formula1>"1-2,3-4,5-6,7-8,9-10,N/A"</formula1>
    </dataValidation>
    <dataValidation type="list" xr:uid="{958D29C7-E8D6-4BA8-A859-84D778A3F6A3}" sqref="E17" showErrorMessage="1" errorTitle="An invalid feedback was entered" error="Please choose feedback from drop down only.">
      <formula1>"1-2,3-4,5-6,7-8,9-10,N/A"</formula1>
    </dataValidation>
    <dataValidation type="list" xr:uid="{87DD7966-D2F5-486E-A6B3-A6B15E4A9AE1}" sqref="F17" showErrorMessage="1" errorTitle="An invalid feedback was entered" error="Please choose feedback from drop down only.">
      <formula1>"1-2,3-4,5-6,7-8,9-10,N/A"</formula1>
    </dataValidation>
    <dataValidation type="list" xr:uid="{C1F87B68-9CF7-4DC2-9DA8-21E4148477DE}" sqref="G17" showErrorMessage="1" errorTitle="An invalid feedback was entered" error="Please choose feedback from drop down only.">
      <formula1>"1-2,3-4,5-6,7-8,9-10,N/A"</formula1>
    </dataValidation>
    <dataValidation type="list" xr:uid="{9303E331-70FA-4E59-AE62-FC1DEBCB82A8}" sqref="H17" showErrorMessage="1" errorTitle="An invalid feedback was entered" error="Please choose feedback from drop down only.">
      <formula1>"1-2,3-4,5-6,7-8,9-10,N/A"</formula1>
    </dataValidation>
    <dataValidation type="list" xr:uid="{371EC1DB-E14A-4245-B710-F25C3661FE8B}" sqref="I17" showErrorMessage="1" errorTitle="An invalid feedback was entered" error="Please choose feedback from drop down only.">
      <formula1>"1-2,3-4,5-6,7-8,9-10,N/A"</formula1>
    </dataValidation>
    <dataValidation type="list" xr:uid="{ACAFF24A-ABB7-405B-89A6-7F5CC94272ED}" sqref="J17" showErrorMessage="1" errorTitle="An invalid feedback was entered" error="Please choose feedback from drop down only.">
      <formula1>"1-2,3-4,5-6,7-8,9-10,N/A"</formula1>
    </dataValidation>
    <dataValidation type="list" xr:uid="{59CAFCD4-05BC-42B1-9189-7763FB634352}" sqref="K17" showErrorMessage="1" errorTitle="An invalid feedback was entered" error="Please choose feedback from drop down only.">
      <formula1>"1-2,3-4,5-6,7-8,9-10,N/A"</formula1>
    </dataValidation>
    <dataValidation type="list" xr:uid="{D812466E-1B06-4E19-BBC8-BF88EC58AE62}" sqref="L17" showErrorMessage="1" errorTitle="An invalid feedback was entered" error="Please choose feedback from drop down only.">
      <formula1>"1-2,3-4,5-6,7-8,9-10,N/A"</formula1>
    </dataValidation>
    <dataValidation type="list" xr:uid="{D47BA9F3-7D87-457F-86C1-C74C86549F95}" sqref="M17" showErrorMessage="1" errorTitle="An invalid feedback was entered" error="Please choose feedback from drop down only.">
      <formula1>"1-2,3-4,5-6,7-8,9-10,N/A"</formula1>
    </dataValidation>
    <dataValidation type="list" xr:uid="{C8763844-7B1D-449A-AADC-1297D3020607}" sqref="N17" showErrorMessage="1" errorTitle="An invalid feedback was entered" error="Please choose feedback from drop down only.">
      <formula1>"1-2,3-4,5-6,7-8,9-10,N/A"</formula1>
    </dataValidation>
    <dataValidation type="list" xr:uid="{11D5C4E3-A986-4E08-8C48-D062F43CEC7D}" sqref="O17" showErrorMessage="1" errorTitle="An invalid feedback was entered" error="Please choose feedback from drop down only.">
      <formula1>"1-2,3-4,5-6,7-8,9-10,N/A"</formula1>
    </dataValidation>
    <dataValidation type="list" xr:uid="{3372ED3C-2892-46CB-8B2F-F09E56F7CEA9}" sqref="P17" showErrorMessage="1" errorTitle="An invalid feedback was entered" error="Please choose feedback from drop down only.">
      <formula1>"1-2,3-4,5-6,7-8,9-10,N/A"</formula1>
    </dataValidation>
    <dataValidation type="list" xr:uid="{4847A835-8B31-4A4B-898B-9B9D0EE35AA6}" sqref="Q17" showErrorMessage="1" errorTitle="An invalid feedback was entered" error="Please choose feedback from drop down only.">
      <formula1>"1-2,3-4,5-6,7-8,9-10,N/A"</formula1>
    </dataValidation>
    <dataValidation type="list" xr:uid="{EB9F7810-3AE3-4CD7-988C-2D1ED483A6BF}" sqref="C10" showErrorMessage="1" errorTitle="An invalid feedback was entered" error="Please choose feedback from drop down only.">
      <formula1>"STK Top,STK Bottom,STKx2,DTK Top,DTK Bottom,DTKx2,None"</formula1>
    </dataValidation>
    <dataValidation type="list" xr:uid="{0E5924E1-545B-4A0A-AA4F-4DCB049D26C4}" sqref="D10" showErrorMessage="1" errorTitle="An invalid feedback was entered" error="Please choose feedback from drop down only.">
      <formula1>"STK Top,STK Bottom,STKx2,DTK Top,DTK Bottom,DTKx2,None"</formula1>
    </dataValidation>
    <dataValidation type="list" xr:uid="{54CBEE51-50F6-40C9-8B91-D7EB17F96184}" sqref="E10" showErrorMessage="1" errorTitle="An invalid feedback was entered" error="Please choose feedback from drop down only.">
      <formula1>"STK Top,STK Bottom,STKx2,DTK Top,DTK Bottom,DTKx2,None"</formula1>
    </dataValidation>
    <dataValidation type="list" xr:uid="{B04DE060-D939-4A7B-AC69-3354D9E9C2B3}" sqref="F10" showErrorMessage="1" errorTitle="An invalid feedback was entered" error="Please choose feedback from drop down only.">
      <formula1>"STK Top,STK Bottom,STKx2,DTK Top,DTK Bottom,DTKx2,None"</formula1>
    </dataValidation>
    <dataValidation type="list" xr:uid="{68547169-1BD6-4029-836C-E68D987F5EE3}" sqref="G10" showErrorMessage="1" errorTitle="An invalid feedback was entered" error="Please choose feedback from drop down only.">
      <formula1>"STK Top,STK Bottom,STKx2,DTK Top,DTK Bottom,DTKx2,None"</formula1>
    </dataValidation>
    <dataValidation type="list" xr:uid="{AEADEF25-D20C-409B-9406-9B7629E134D8}" sqref="H10" showErrorMessage="1" errorTitle="An invalid feedback was entered" error="Please choose feedback from drop down only.">
      <formula1>"STK Top,STK Bottom,STKx2,DTK Top,DTK Bottom,DTKx2,None"</formula1>
    </dataValidation>
    <dataValidation type="list" xr:uid="{CA29AEAA-2CF7-4522-80F8-52EAEDB90868}" sqref="I10" showErrorMessage="1" errorTitle="An invalid feedback was entered" error="Please choose feedback from drop down only.">
      <formula1>"STK Top,STK Bottom,STKx2,DTK Top,DTK Bottom,DTKx2,None"</formula1>
    </dataValidation>
    <dataValidation type="list" xr:uid="{B29FB10B-B1B5-4FA5-B90E-639C22A19C6E}" sqref="J10" showErrorMessage="1" errorTitle="An invalid feedback was entered" error="Please choose feedback from drop down only.">
      <formula1>"STK Top,STK Bottom,STKx2,DTK Top,DTK Bottom,DTKx2,None"</formula1>
    </dataValidation>
    <dataValidation type="list" xr:uid="{6942E7D3-295B-4D35-978A-B724C3DCD9BE}" sqref="K10" showErrorMessage="1" errorTitle="An invalid feedback was entered" error="Please choose feedback from drop down only.">
      <formula1>"STK Top,STK Bottom,STKx2,DTK Top,DTK Bottom,DTKx2,None"</formula1>
    </dataValidation>
    <dataValidation type="list" xr:uid="{FB29605C-C7D3-48AF-B6FE-9EA31EC5DFFC}" sqref="L10" showErrorMessage="1" errorTitle="An invalid feedback was entered" error="Please choose feedback from drop down only.">
      <formula1>"STK Top,STK Bottom,STKx2,DTK Top,DTK Bottom,DTKx2,None"</formula1>
    </dataValidation>
    <dataValidation type="list" xr:uid="{53602017-899A-4A3D-8DF3-B7FF2C4DB549}" sqref="M10" showErrorMessage="1" errorTitle="An invalid feedback was entered" error="Please choose feedback from drop down only.">
      <formula1>"STK Top,STK Bottom,STKx2,DTK Top,DTK Bottom,DTKx2,None"</formula1>
    </dataValidation>
    <dataValidation type="list" xr:uid="{754B4EEB-0973-41FB-9209-777D317368E2}" sqref="N10" showErrorMessage="1" errorTitle="An invalid feedback was entered" error="Please choose feedback from drop down only.">
      <formula1>"STK Top,STK Bottom,STKx2,DTK Top,DTK Bottom,DTKx2,None"</formula1>
    </dataValidation>
    <dataValidation type="list" xr:uid="{EB12123F-CD65-44B7-B4A9-E1DD36E5B9AD}" sqref="O10" showErrorMessage="1" errorTitle="An invalid feedback was entered" error="Please choose feedback from drop down only.">
      <formula1>"STK Top,STK Bottom,STKx2,DTK Top,DTK Bottom,DTKx2,None"</formula1>
    </dataValidation>
    <dataValidation type="list" xr:uid="{AD2C934B-5184-4677-BE84-6CE5FAACAF8F}" sqref="P10" showErrorMessage="1" errorTitle="An invalid feedback was entered" error="Please choose feedback from drop down only.">
      <formula1>"STK Top,STK Bottom,STKx2,DTK Top,DTK Bottom,DTKx2,None"</formula1>
    </dataValidation>
    <dataValidation type="list" xr:uid="{C0DE15EE-7499-4D52-8216-12BA11BA066C}" sqref="Q10" showErrorMessage="1" errorTitle="An invalid feedback was entered" error="Please choose feedback from drop down only.">
      <formula1>"STK Top,STK Bottom,STKx2,DTK Top,DTK Bottom,DTKx2,None"</formula1>
    </dataValidation>
    <dataValidation type="list" xr:uid="{53CCEA02-4027-42DA-A0AC-77E40CD1CEA9}" sqref="C23" showErrorMessage="1" errorTitle="An invalid feedback was entered" error="Please choose feedback from drop down only.">
      <formula1>"Yetel,Bulsatcom,A1,Yetel&amp;A1,N/A"</formula1>
    </dataValidation>
    <dataValidation type="list" xr:uid="{FF596A00-25F1-4D8C-A959-58BF6469BAAF}" sqref="D23" showErrorMessage="1" errorTitle="An invalid feedback was entered" error="Please choose feedback from drop down only.">
      <formula1>"Yetel,Bulsatcom,A1,Yetel&amp;A1,N/A"</formula1>
    </dataValidation>
    <dataValidation type="list" xr:uid="{684C2260-6656-4F8F-B650-BDB063C73E43}" sqref="E23" showErrorMessage="1" errorTitle="An invalid feedback was entered" error="Please choose feedback from drop down only.">
      <formula1>"Yetel,Bulsatcom,A1,Yetel&amp;A1,N/A"</formula1>
    </dataValidation>
    <dataValidation type="list" xr:uid="{0539CCAC-D347-4080-92F2-FF6104377357}" sqref="F23" showErrorMessage="1" errorTitle="An invalid feedback was entered" error="Please choose feedback from drop down only.">
      <formula1>"Yetel,Bulsatcom,A1,Yetel&amp;A1,N/A"</formula1>
    </dataValidation>
    <dataValidation type="list" xr:uid="{A23E809B-1766-49CA-A8F7-FEBD55DA3F59}" sqref="G23" showErrorMessage="1" errorTitle="An invalid feedback was entered" error="Please choose feedback from drop down only.">
      <formula1>"Yetel,Bulsatcom,A1,Yetel&amp;A1,N/A"</formula1>
    </dataValidation>
    <dataValidation type="list" xr:uid="{9B5CDBF2-5C38-4260-8F7A-BC403D638356}" sqref="H23" showErrorMessage="1" errorTitle="An invalid feedback was entered" error="Please choose feedback from drop down only.">
      <formula1>"Yetel,Bulsatcom,A1,Yetel&amp;A1,N/A"</formula1>
    </dataValidation>
    <dataValidation type="list" xr:uid="{ECE708BF-16C7-4853-9917-9D56D1866121}" sqref="I23" showErrorMessage="1" errorTitle="An invalid feedback was entered" error="Please choose feedback from drop down only.">
      <formula1>"Yetel,Bulsatcom,A1,Yetel&amp;A1,N/A"</formula1>
    </dataValidation>
    <dataValidation type="list" xr:uid="{EC6019AD-B019-46AA-BAAB-BC4DE1DBFB27}" sqref="J23" showErrorMessage="1" errorTitle="An invalid feedback was entered" error="Please choose feedback from drop down only.">
      <formula1>"Yetel,Bulsatcom,A1,Yetel&amp;A1,N/A"</formula1>
    </dataValidation>
    <dataValidation type="list" xr:uid="{F8FCB699-81AD-4F5E-B8E3-B7E2CDE66C4C}" sqref="K23" showErrorMessage="1" errorTitle="An invalid feedback was entered" error="Please choose feedback from drop down only.">
      <formula1>"Yetel,Bulsatcom,A1,Yetel&amp;A1,N/A"</formula1>
    </dataValidation>
    <dataValidation type="list" xr:uid="{C4B17D79-FB85-48CF-8880-132186630D80}" sqref="L23" showErrorMessage="1" errorTitle="An invalid feedback was entered" error="Please choose feedback from drop down only.">
      <formula1>"Yetel,Bulsatcom,A1,Yetel&amp;A1,N/A"</formula1>
    </dataValidation>
    <dataValidation type="list" xr:uid="{1250E9FF-282C-4C52-B91C-B6BFE88DB28F}" sqref="M23" showErrorMessage="1" errorTitle="An invalid feedback was entered" error="Please choose feedback from drop down only.">
      <formula1>"Yetel,Bulsatcom,A1,Yetel&amp;A1,N/A"</formula1>
    </dataValidation>
    <dataValidation type="list" xr:uid="{9AD034CD-3E8C-4905-A482-3D4666512981}" sqref="N23" showErrorMessage="1" errorTitle="An invalid feedback was entered" error="Please choose feedback from drop down only.">
      <formula1>"Yetel,Bulsatcom,A1,Yetel&amp;A1,N/A"</formula1>
    </dataValidation>
    <dataValidation type="list" xr:uid="{B553D37F-7015-4CF9-8741-9B8295A3A94D}" sqref="O23" showErrorMessage="1" errorTitle="An invalid feedback was entered" error="Please choose feedback from drop down only.">
      <formula1>"Yetel,Bulsatcom,A1,Yetel&amp;A1,N/A"</formula1>
    </dataValidation>
    <dataValidation type="list" xr:uid="{0433A467-A600-45FC-9F5A-F9FA32456B45}" sqref="P23" showErrorMessage="1" errorTitle="An invalid feedback was entered" error="Please choose feedback from drop down only.">
      <formula1>"Yetel,Bulsatcom,A1,Yetel&amp;A1,N/A"</formula1>
    </dataValidation>
    <dataValidation type="list" xr:uid="{38C647D7-2200-4966-8AEE-C7CE0ADD3266}" sqref="Q23" showErrorMessage="1" errorTitle="An invalid feedback was entered" error="Please choose feedback from drop down only.">
      <formula1>"Yetel,Bulsatcom,A1,Yetel&amp;A1,N/A"</formula1>
    </dataValidation>
    <dataValidation type="list" xr:uid="{E58CF950-C771-4D1C-9D67-3F9BD33E428F}" sqref="C31" showErrorMessage="1" errorTitle="An invalid feedback was entered" error="Please choose feedback from drop down only.">
      <formula1>"1/2,5/4,7/8,RRU TOP JUMPER,N/A"</formula1>
    </dataValidation>
    <dataValidation type="list" xr:uid="{4A483CF8-5CB7-472F-8E95-B8A28E821FDE}" sqref="D31" showErrorMessage="1" errorTitle="An invalid feedback was entered" error="Please choose feedback from drop down only.">
      <formula1>"1/2,5/4,7/8,RRU TOP JUMPER,N/A"</formula1>
    </dataValidation>
    <dataValidation type="list" xr:uid="{07E580E0-3170-4D40-B2FD-EF7F1194E732}" sqref="E31" showErrorMessage="1" errorTitle="An invalid feedback was entered" error="Please choose feedback from drop down only.">
      <formula1>"1/2,5/4,7/8,RRU TOP JUMPER,N/A"</formula1>
    </dataValidation>
    <dataValidation type="list" xr:uid="{0F6B177F-860A-463F-B011-C9FF40B9DEDD}" sqref="F31" showErrorMessage="1" errorTitle="An invalid feedback was entered" error="Please choose feedback from drop down only.">
      <formula1>"1/2,5/4,7/8,RRU TOP JUMPER,N/A"</formula1>
    </dataValidation>
    <dataValidation type="list" xr:uid="{F7478033-4ABA-4F92-90C0-600B3D95A36C}" sqref="G31" showErrorMessage="1" errorTitle="An invalid feedback was entered" error="Please choose feedback from drop down only.">
      <formula1>"1/2,5/4,7/8,RRU TOP JUMPER,N/A"</formula1>
    </dataValidation>
    <dataValidation type="list" xr:uid="{16C7FB10-0719-4F1E-BFD1-B0C47D3BBA2B}" sqref="H31" showErrorMessage="1" errorTitle="An invalid feedback was entered" error="Please choose feedback from drop down only.">
      <formula1>"1/2,5/4,7/8,RRU TOP JUMPER,N/A"</formula1>
    </dataValidation>
    <dataValidation type="list" xr:uid="{6579EC5C-1B67-4FF5-B190-8EF44F38409D}" sqref="I31" showErrorMessage="1" errorTitle="An invalid feedback was entered" error="Please choose feedback from drop down only.">
      <formula1>"1/2,5/4,7/8,RRU TOP JUMPER,N/A"</formula1>
    </dataValidation>
    <dataValidation type="list" xr:uid="{4C4D07E0-6ABA-4619-A8BB-DB072AA5198D}" sqref="J31" showErrorMessage="1" errorTitle="An invalid feedback was entered" error="Please choose feedback from drop down only.">
      <formula1>"1/2,5/4,7/8,RRU TOP JUMPER,N/A"</formula1>
    </dataValidation>
    <dataValidation type="list" xr:uid="{63CFBF4E-F7E1-4C9D-97A2-5615CA129A92}" sqref="K31" showErrorMessage="1" errorTitle="An invalid feedback was entered" error="Please choose feedback from drop down only.">
      <formula1>"1/2,5/4,7/8,RRU TOP JUMPER,N/A"</formula1>
    </dataValidation>
    <dataValidation type="list" xr:uid="{60D7AD56-B4E5-45D1-A8CD-5E07568E8788}" sqref="L31" showErrorMessage="1" errorTitle="An invalid feedback was entered" error="Please choose feedback from drop down only.">
      <formula1>"1/2,5/4,7/8,RRU TOP JUMPER,N/A"</formula1>
    </dataValidation>
    <dataValidation type="list" xr:uid="{61F7E53B-E04B-4165-93A9-07D0396AF7C5}" sqref="M31" showErrorMessage="1" errorTitle="An invalid feedback was entered" error="Please choose feedback from drop down only.">
      <formula1>"1/2,5/4,7/8,RRU TOP JUMPER,N/A"</formula1>
    </dataValidation>
    <dataValidation type="list" xr:uid="{C5EA5CA8-EC6B-4937-B78B-62B40F29291D}" sqref="N31" showErrorMessage="1" errorTitle="An invalid feedback was entered" error="Please choose feedback from drop down only.">
      <formula1>"1/2,5/4,7/8,RRU TOP JUMPER,N/A"</formula1>
    </dataValidation>
    <dataValidation type="list" xr:uid="{F89B93CB-97DB-4178-A899-A26FB6B4F49A}" sqref="O31" showErrorMessage="1" errorTitle="An invalid feedback was entered" error="Please choose feedback from drop down only.">
      <formula1>"1/2,5/4,7/8,RRU TOP JUMPER,N/A"</formula1>
    </dataValidation>
    <dataValidation type="list" xr:uid="{044E3222-1AD5-4CA2-ACD9-D1238778D668}" sqref="P31" showErrorMessage="1" errorTitle="An invalid feedback was entered" error="Please choose feedback from drop down only.">
      <formula1>"1/2,5/4,7/8,RRU TOP JUMPER,N/A"</formula1>
    </dataValidation>
    <dataValidation type="list" xr:uid="{BC573E6A-7843-4EBC-9D00-8162871F49F0}" sqref="Q31" showErrorMessage="1" errorTitle="An invalid feedback was entered" error="Please choose feedback from drop down only.">
      <formula1>"1/2,5/4,7/8,RRU TOP JUMPER,N/A"</formula1>
    </dataValidation>
    <dataValidation type="list" xr:uid="{73C9A0C9-1915-4F74-9CB2-B4AEF7DFA929}" sqref="C4" showErrorMessage="1" errorTitle="An invalid feedback was entered" error="Please choose feedback from drop down only.">
      <formula1>"1,2,3,4,5,6,N/A"</formula1>
    </dataValidation>
    <dataValidation type="list" xr:uid="{597BA669-AD36-433A-8ADC-60BF57363BA1}" sqref="D4" showErrorMessage="1" errorTitle="An invalid feedback was entered" error="Please choose feedback from drop down only.">
      <formula1>"1,2,3,4,5,6,N/A"</formula1>
    </dataValidation>
    <dataValidation type="list" xr:uid="{2277C11D-4F27-405C-B37E-ABE7413625A5}" sqref="E4" showErrorMessage="1" errorTitle="An invalid feedback was entered" error="Please choose feedback from drop down only.">
      <formula1>"1,2,3,4,5,6,N/A"</formula1>
    </dataValidation>
    <dataValidation type="list" xr:uid="{B1AF4F99-8AD1-49FF-94DB-F2E57A0A9491}" sqref="F4" showErrorMessage="1" errorTitle="An invalid feedback was entered" error="Please choose feedback from drop down only.">
      <formula1>"1,2,3,4,5,6,N/A"</formula1>
    </dataValidation>
    <dataValidation type="list" xr:uid="{6B0D2302-8B1F-4C6E-B537-BD8502E313D5}" sqref="G4" showErrorMessage="1" errorTitle="An invalid feedback was entered" error="Please choose feedback from drop down only.">
      <formula1>"1,2,3,4,5,6,N/A"</formula1>
    </dataValidation>
    <dataValidation type="list" xr:uid="{0EE876AB-BEAD-4E4E-8D87-17AA10923E83}" sqref="H4" showErrorMessage="1" errorTitle="An invalid feedback was entered" error="Please choose feedback from drop down only.">
      <formula1>"1,2,3,4,5,6,N/A"</formula1>
    </dataValidation>
    <dataValidation type="list" xr:uid="{38B04474-96FC-49BC-A47B-515D3128599B}" sqref="I4" showErrorMessage="1" errorTitle="An invalid feedback was entered" error="Please choose feedback from drop down only.">
      <formula1>"1,2,3,4,5,6,N/A"</formula1>
    </dataValidation>
    <dataValidation type="list" xr:uid="{972D8F14-B261-48BF-A157-C966264EF2FC}" sqref="J4" showErrorMessage="1" errorTitle="An invalid feedback was entered" error="Please choose feedback from drop down only.">
      <formula1>"1,2,3,4,5,6,N/A"</formula1>
    </dataValidation>
    <dataValidation type="list" xr:uid="{A7CB4075-1CB7-492B-A596-1EEA8AEE028B}" sqref="K4" showErrorMessage="1" errorTitle="An invalid feedback was entered" error="Please choose feedback from drop down only.">
      <formula1>"1,2,3,4,5,6,N/A"</formula1>
    </dataValidation>
    <dataValidation type="list" xr:uid="{D7BBA4BB-26BA-45D1-A2E2-BAE601627252}" sqref="L4" showErrorMessage="1" errorTitle="An invalid feedback was entered" error="Please choose feedback from drop down only.">
      <formula1>"1,2,3,4,5,6,N/A"</formula1>
    </dataValidation>
    <dataValidation type="list" xr:uid="{6714900F-09F2-4D8D-9F7E-3F633BC7284E}" sqref="M4" showErrorMessage="1" errorTitle="An invalid feedback was entered" error="Please choose feedback from drop down only.">
      <formula1>"1,2,3,4,5,6,N/A"</formula1>
    </dataValidation>
    <dataValidation type="list" xr:uid="{92A68388-3741-4467-BB4C-CD5F6A2D079B}" sqref="N4" showErrorMessage="1" errorTitle="An invalid feedback was entered" error="Please choose feedback from drop down only.">
      <formula1>"1,2,3,4,5,6,N/A"</formula1>
    </dataValidation>
    <dataValidation type="list" xr:uid="{A2E933C3-5807-4E0C-B94B-7DB5C0A00D0F}" sqref="O4" showErrorMessage="1" errorTitle="An invalid feedback was entered" error="Please choose feedback from drop down only.">
      <formula1>"1,2,3,4,5,6,N/A"</formula1>
    </dataValidation>
    <dataValidation type="list" xr:uid="{17ECDE8C-2ABF-40AA-9CDD-CD14836E29E0}" sqref="P4" showErrorMessage="1" errorTitle="An invalid feedback was entered" error="Please choose feedback from drop down only.">
      <formula1>"1,2,3,4,5,6,N/A"</formula1>
    </dataValidation>
    <dataValidation type="list" xr:uid="{F488CD3E-C834-4487-8FD2-27BF24AB7CD4}" sqref="Q4" showErrorMessage="1" errorTitle="An invalid feedback was entered" error="Please choose feedback from drop down only.">
      <formula1>"1,2,3,4,5,6,N/A"</formula1>
    </dataValidation>
    <dataValidation type="list" xr:uid="{602C533A-4F52-4406-923D-4DB4D43F2A45}" sqref="C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C82F8878-C08A-4AE0-B134-15FB83FBC73B}" sqref="D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CFE2E2FC-C3BA-450E-AF0B-968EE6278366}" sqref="E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393725B4-579F-4974-A3AB-0066DB795010}" sqref="F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810F24B7-E0CF-41E4-A39E-A7D2819A9B50}" sqref="G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754D0A54-EAD0-4ECB-9D60-335F512EA1F9}" sqref="H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A675CA4E-2905-417A-9E0E-6664BCF0971F}" sqref="I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B5C8CDD2-F9F3-4944-A680-2F71EF14C3E6}" sqref="J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2027F69B-32E2-4EA3-BAAD-51ADDDD31571}" sqref="K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1DF51748-B2FD-4089-A3B5-7B8D97949F27}" sqref="L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874A7985-4375-4321-9DF5-DC92A1463318}" sqref="M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BDD06871-4E9C-4518-AC8B-1F01DCC36582}" sqref="N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27AB6292-2136-4433-BAE3-61DA29133F67}" sqref="O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133C81DF-DDAD-43F7-84C9-ACE133BD425C}" sqref="P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104B4C42-19E9-40AA-8F0D-C1C2D62B101C}" sqref="Q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C814B8C3-2A6E-4803-871E-11684268A096}" sqref="C28" showErrorMessage="1" errorTitle="An invalid feedback was entered" error="Please choose feedback from drop down only.">
      <formula1>"Yes,No,FlexRET"</formula1>
    </dataValidation>
    <dataValidation type="list" xr:uid="{82989711-31A7-4DD4-B3B2-8049114BA9FA}" sqref="D28" showErrorMessage="1" errorTitle="An invalid feedback was entered" error="Please choose feedback from drop down only.">
      <formula1>"Yes,No,FlexRET"</formula1>
    </dataValidation>
    <dataValidation type="list" xr:uid="{DB5BB376-B3EB-4EDE-A52B-FE8E07CA340A}" sqref="E28" showErrorMessage="1" errorTitle="An invalid feedback was entered" error="Please choose feedback from drop down only.">
      <formula1>"Yes,No,FlexRET"</formula1>
    </dataValidation>
    <dataValidation type="list" xr:uid="{47DAC2CD-BEE4-4A16-B1EA-749A480C14EB}" sqref="F28" showErrorMessage="1" errorTitle="An invalid feedback was entered" error="Please choose feedback from drop down only.">
      <formula1>"Yes,No,FlexRET"</formula1>
    </dataValidation>
    <dataValidation type="list" xr:uid="{38A29EB4-BA2E-40CE-AF86-481A8897981D}" sqref="G28" showErrorMessage="1" errorTitle="An invalid feedback was entered" error="Please choose feedback from drop down only.">
      <formula1>"Yes,No,FlexRET"</formula1>
    </dataValidation>
    <dataValidation type="list" xr:uid="{3AEA0D1D-FFEC-46D5-93F0-2B8A547D631F}" sqref="H28" showErrorMessage="1" errorTitle="An invalid feedback was entered" error="Please choose feedback from drop down only.">
      <formula1>"Yes,No,FlexRET"</formula1>
    </dataValidation>
    <dataValidation type="list" xr:uid="{777D76D8-FD67-4F03-80AD-04371C4A5120}" sqref="I28" showErrorMessage="1" errorTitle="An invalid feedback was entered" error="Please choose feedback from drop down only.">
      <formula1>"Yes,No,FlexRET"</formula1>
    </dataValidation>
    <dataValidation type="list" xr:uid="{E88480DA-1A00-4E07-8261-840AF8DAEDBB}" sqref="J28" showErrorMessage="1" errorTitle="An invalid feedback was entered" error="Please choose feedback from drop down only.">
      <formula1>"Yes,No,FlexRET"</formula1>
    </dataValidation>
    <dataValidation type="list" xr:uid="{516F2412-0FA1-46BC-BCC3-42DB7C5098C1}" sqref="K28" showErrorMessage="1" errorTitle="An invalid feedback was entered" error="Please choose feedback from drop down only.">
      <formula1>"Yes,No,FlexRET"</formula1>
    </dataValidation>
    <dataValidation type="list" xr:uid="{771553F4-8426-42F2-9330-E7F84128010B}" sqref="L28" showErrorMessage="1" errorTitle="An invalid feedback was entered" error="Please choose feedback from drop down only.">
      <formula1>"Yes,No,FlexRET"</formula1>
    </dataValidation>
    <dataValidation type="list" xr:uid="{B2B148A1-B6EE-4EF9-8DEF-870FAAA2CF8E}" sqref="M28" showErrorMessage="1" errorTitle="An invalid feedback was entered" error="Please choose feedback from drop down only.">
      <formula1>"Yes,No,FlexRET"</formula1>
    </dataValidation>
    <dataValidation type="list" xr:uid="{5EA12AFB-CC91-4B01-AFC7-654418C743DE}" sqref="N28" showErrorMessage="1" errorTitle="An invalid feedback was entered" error="Please choose feedback from drop down only.">
      <formula1>"Yes,No,FlexRET"</formula1>
    </dataValidation>
    <dataValidation type="list" xr:uid="{F3D00FA6-EE34-41C3-8DEF-40857676890B}" sqref="O28" showErrorMessage="1" errorTitle="An invalid feedback was entered" error="Please choose feedback from drop down only.">
      <formula1>"Yes,No,FlexRET"</formula1>
    </dataValidation>
    <dataValidation type="list" xr:uid="{1E20E41B-F524-4C76-B713-867C2D8DFFB0}" sqref="P28" showErrorMessage="1" errorTitle="An invalid feedback was entered" error="Please choose feedback from drop down only.">
      <formula1>"Yes,No,FlexRET"</formula1>
    </dataValidation>
    <dataValidation type="list" xr:uid="{8A1FC053-B6F7-4417-A1D9-BA1AECAF434D}" sqref="Q28" showErrorMessage="1" errorTitle="An invalid feedback was entered" error="Please choose feedback from drop down only.">
      <formula1>"Yes,No,FlexRET"</formula1>
    </dataValidation>
    <dataValidation type="list" xr:uid="{08D50729-81D6-4290-A8B4-A785761D2367}" sqref="C29" showErrorMessage="1" errorTitle="An invalid feedback was entered" error="Please choose feedback from drop down only.">
      <formula1>"Yes,No,FlexRET"</formula1>
    </dataValidation>
    <dataValidation type="list" xr:uid="{FAEFF302-C440-4E85-9A30-7AA072B8DB1D}" sqref="D29" showErrorMessage="1" errorTitle="An invalid feedback was entered" error="Please choose feedback from drop down only.">
      <formula1>"Yes,No,FlexRET"</formula1>
    </dataValidation>
    <dataValidation type="list" xr:uid="{7F434E9D-AFB9-4C52-AE9E-3537C6743EEE}" sqref="E29" showErrorMessage="1" errorTitle="An invalid feedback was entered" error="Please choose feedback from drop down only.">
      <formula1>"Yes,No,FlexRET"</formula1>
    </dataValidation>
    <dataValidation type="list" xr:uid="{6AB2DAF1-63B1-4366-AF7A-37333AE93AD8}" sqref="F29" showErrorMessage="1" errorTitle="An invalid feedback was entered" error="Please choose feedback from drop down only.">
      <formula1>"Yes,No,FlexRET"</formula1>
    </dataValidation>
    <dataValidation type="list" xr:uid="{972C58CE-25D6-41D5-B2B9-0A85865E45C1}" sqref="G29" showErrorMessage="1" errorTitle="An invalid feedback was entered" error="Please choose feedback from drop down only.">
      <formula1>"Yes,No,FlexRET"</formula1>
    </dataValidation>
    <dataValidation type="list" xr:uid="{1C488925-A589-447C-BFA2-CC237B98908C}" sqref="H29" showErrorMessage="1" errorTitle="An invalid feedback was entered" error="Please choose feedback from drop down only.">
      <formula1>"Yes,No,FlexRET"</formula1>
    </dataValidation>
    <dataValidation type="list" xr:uid="{65E4E6F6-5CA4-4FDC-A6D9-C22D42832D17}" sqref="I29" showErrorMessage="1" errorTitle="An invalid feedback was entered" error="Please choose feedback from drop down only.">
      <formula1>"Yes,No,FlexRET"</formula1>
    </dataValidation>
    <dataValidation type="list" xr:uid="{DB5E444F-E3BF-46E1-867F-EA02465398CA}" sqref="J29" showErrorMessage="1" errorTitle="An invalid feedback was entered" error="Please choose feedback from drop down only.">
      <formula1>"Yes,No,FlexRET"</formula1>
    </dataValidation>
    <dataValidation type="list" xr:uid="{49DD0DC7-5411-418F-ACF6-6CA3CFF36CB8}" sqref="K29" showErrorMessage="1" errorTitle="An invalid feedback was entered" error="Please choose feedback from drop down only.">
      <formula1>"Yes,No,FlexRET"</formula1>
    </dataValidation>
    <dataValidation type="list" xr:uid="{834AA678-A80A-4A3C-9D34-9B27BC146D95}" sqref="L29" showErrorMessage="1" errorTitle="An invalid feedback was entered" error="Please choose feedback from drop down only.">
      <formula1>"Yes,No,FlexRET"</formula1>
    </dataValidation>
    <dataValidation type="list" xr:uid="{9DAC1567-E366-4CE1-8DAD-3DE7D64BB726}" sqref="M29" showErrorMessage="1" errorTitle="An invalid feedback was entered" error="Please choose feedback from drop down only.">
      <formula1>"Yes,No,FlexRET"</formula1>
    </dataValidation>
    <dataValidation type="list" xr:uid="{7D9C247E-BE0F-409F-8A0E-DFECD3853BCE}" sqref="N29" showErrorMessage="1" errorTitle="An invalid feedback was entered" error="Please choose feedback from drop down only.">
      <formula1>"Yes,No,FlexRET"</formula1>
    </dataValidation>
    <dataValidation type="list" xr:uid="{771C80E1-7119-439F-BBBE-DC0CE0867571}" sqref="O29" showErrorMessage="1" errorTitle="An invalid feedback was entered" error="Please choose feedback from drop down only.">
      <formula1>"Yes,No,FlexRET"</formula1>
    </dataValidation>
    <dataValidation type="list" xr:uid="{176DA5B3-3FFE-4CAE-8A0A-69FE6C0C4008}" sqref="P29" showErrorMessage="1" errorTitle="An invalid feedback was entered" error="Please choose feedback from drop down only.">
      <formula1>"Yes,No,FlexRET"</formula1>
    </dataValidation>
    <dataValidation type="list" xr:uid="{AF12FED9-F389-4B47-996F-9EFEF6443950}" sqref="Q29" showErrorMessage="1" errorTitle="An invalid feedback was entered" error="Please choose feedback from drop down only.">
      <formula1>"Yes,No,FlexRET"</formula1>
    </dataValidation>
    <dataValidation type="list" xr:uid="{9ECC5234-FC67-4CE1-BB2B-3979542AFCCB}" sqref="C25" showErrorMessage="1" errorTitle="An invalid feedback was entered" error="Please choose feedback from drop down only.">
      <formula1>"G,U,L,NR,GU,UL,GL,GUL,LNR,ULNR,None"</formula1>
    </dataValidation>
    <dataValidation type="list" xr:uid="{8CC655ED-E683-48C4-B5B8-4FF798824E72}" sqref="D25" showErrorMessage="1" errorTitle="An invalid feedback was entered" error="Please choose feedback from drop down only.">
      <formula1>"G,U,L,NR,GU,UL,GL,GUL,LNR,ULNR,None"</formula1>
    </dataValidation>
    <dataValidation type="list" xr:uid="{58091652-DDD1-4E6E-B9E0-8DD58F5A3F65}" sqref="E25" showErrorMessage="1" errorTitle="An invalid feedback was entered" error="Please choose feedback from drop down only.">
      <formula1>"G,U,L,NR,GU,UL,GL,GUL,LNR,ULNR,None"</formula1>
    </dataValidation>
    <dataValidation type="list" xr:uid="{8BD75D7C-54DD-4AC9-ACB5-53F5FE3D2BE8}" sqref="F25" showErrorMessage="1" errorTitle="An invalid feedback was entered" error="Please choose feedback from drop down only.">
      <formula1>"G,U,L,NR,GU,UL,GL,GUL,LNR,ULNR,None"</formula1>
    </dataValidation>
    <dataValidation type="list" xr:uid="{037703FE-C351-4EF3-9E3A-6E98EC8A3EDA}" sqref="G25" showErrorMessage="1" errorTitle="An invalid feedback was entered" error="Please choose feedback from drop down only.">
      <formula1>"G,U,L,NR,GU,UL,GL,GUL,LNR,ULNR,None"</formula1>
    </dataValidation>
    <dataValidation type="list" xr:uid="{3EF0DE33-62CE-440D-BBF1-F20E890D7B18}" sqref="H25" showErrorMessage="1" errorTitle="An invalid feedback was entered" error="Please choose feedback from drop down only.">
      <formula1>"G,U,L,NR,GU,UL,GL,GUL,LNR,ULNR,None"</formula1>
    </dataValidation>
    <dataValidation type="list" xr:uid="{DD69A877-40B8-4A30-A0BD-F7819B840A16}" sqref="I25" showErrorMessage="1" errorTitle="An invalid feedback was entered" error="Please choose feedback from drop down only.">
      <formula1>"G,U,L,NR,GU,UL,GL,GUL,LNR,ULNR,None"</formula1>
    </dataValidation>
    <dataValidation type="list" xr:uid="{882ECF35-1B86-427D-B327-F4F1A151C84B}" sqref="J25" showErrorMessage="1" errorTitle="An invalid feedback was entered" error="Please choose feedback from drop down only.">
      <formula1>"G,U,L,NR,GU,UL,GL,GUL,LNR,ULNR,None"</formula1>
    </dataValidation>
    <dataValidation type="list" xr:uid="{C7F31BD2-B19F-4A5B-B296-4C547EA9D580}" sqref="K25" showErrorMessage="1" errorTitle="An invalid feedback was entered" error="Please choose feedback from drop down only.">
      <formula1>"G,U,L,NR,GU,UL,GL,GUL,LNR,ULNR,None"</formula1>
    </dataValidation>
    <dataValidation type="list" xr:uid="{AA3D246C-259B-4771-AC9E-D89F3319153D}" sqref="L25" showErrorMessage="1" errorTitle="An invalid feedback was entered" error="Please choose feedback from drop down only.">
      <formula1>"G,U,L,NR,GU,UL,GL,GUL,LNR,ULNR,None"</formula1>
    </dataValidation>
    <dataValidation type="list" xr:uid="{66901F8B-D995-4F48-9172-F54DBF5286D4}" sqref="M25" showErrorMessage="1" errorTitle="An invalid feedback was entered" error="Please choose feedback from drop down only.">
      <formula1>"G,U,L,NR,GU,UL,GL,GUL,LNR,ULNR,None"</formula1>
    </dataValidation>
    <dataValidation type="list" xr:uid="{BAD1222D-F699-4F60-96D9-1B6BB1894E1C}" sqref="N25" showErrorMessage="1" errorTitle="An invalid feedback was entered" error="Please choose feedback from drop down only.">
      <formula1>"G,U,L,NR,GU,UL,GL,GUL,LNR,ULNR,None"</formula1>
    </dataValidation>
    <dataValidation type="list" xr:uid="{1885BBE6-8E18-4FBF-AFC3-470134C4916B}" sqref="O25" showErrorMessage="1" errorTitle="An invalid feedback was entered" error="Please choose feedback from drop down only.">
      <formula1>"G,U,L,NR,GU,UL,GL,GUL,LNR,ULNR,None"</formula1>
    </dataValidation>
    <dataValidation type="list" xr:uid="{0769B67C-DC13-4C0E-A18C-B8FA68697B25}" sqref="P25" showErrorMessage="1" errorTitle="An invalid feedback was entered" error="Please choose feedback from drop down only.">
      <formula1>"G,U,L,NR,GU,UL,GL,GUL,LNR,ULNR,None"</formula1>
    </dataValidation>
    <dataValidation type="list" xr:uid="{BC1B6727-A2C0-435D-BB6D-C404ED605DF4}" sqref="Q25" showErrorMessage="1" errorTitle="An invalid feedback was entered" error="Please choose feedback from drop down only.">
      <formula1>"G,U,L,NR,GU,UL,GL,GUL,LNR,ULNR,None"</formula1>
    </dataValidation>
    <dataValidation type="list" xr:uid="{70961E4A-6354-4208-A3CC-840F0ED180E1}" sqref="C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110C7070-0C07-4C99-881E-5C7D2A659ADC}" sqref="D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EBDCED8F-0717-4DF4-905A-BD0B7BB31208}" sqref="E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4905DEF8-76DF-4E3A-B30C-E3E797769D16}" sqref="F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A35C2026-547D-460D-AD64-CAA4D1A6FF55}" sqref="G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F297CDA4-A6A1-4FDA-9C57-120BA70E1171}" sqref="H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49D029E1-75A8-485E-BCCF-D9148C8DCEEB}" sqref="I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B50BC70E-B815-45E1-B638-205A48A1102B}" sqref="J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93D83B31-CC76-44CA-AB98-354AD1FB5137}" sqref="K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89183BEB-9992-4447-8F20-E9692FAFEB23}" sqref="L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7A4A50C7-6C91-4043-BA5F-BBC4FB7F7FEB}" sqref="M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A1ABF4D4-6480-47C5-AD94-720242C8E5A6}" sqref="N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2E365868-7728-4D48-A27E-D486F87296CE}" sqref="O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75166B12-CBA2-4C14-9A47-52C8F45C4D46}" sqref="P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EB269D21-1130-4C24-A3B7-AAFAD3120712}" sqref="Q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</dataValidations>
  <pageMargins left="0.25" right="0.25" top="0.75" bottom="0.75" header="0.3" footer="0.3"/>
  <pageSetup paperSize="9" scale="56" fitToHeight="0" orientation="portrait"/>
  <headerFooter/>
  <extLst>
    <ext xmlns:x14="http://schemas.microsoft.com/office/spreadsheetml/2009/9/main" uri="{CCE6A557-97BC-4b89-ADB6-D9C93CAAB3DF}">
      <x14:dataValidations xmlns:xm="http://schemas.microsoft.com/office/excel/2006/main" count="60">
        <x14:dataValidation type="list" xr:uid="{B8BD7F56-0CAB-4D11-83CC-F64E702057AE}" error="Please choose feedback from drop down only." errorTitle="An invalid feedback was entered" showErrorMessage="1">
          <x14:formula1>
            <xm:f>Antennas!A:A</xm:f>
          </x14:formula1>
          <xm:sqref>C8</xm:sqref>
        </x14:dataValidation>
        <x14:dataValidation type="list" xr:uid="{8A954977-02BF-40FE-8E59-30532E6E008B}" error="Please choose feedback from drop down only." errorTitle="An invalid feedback was entered" showErrorMessage="1">
          <x14:formula1>
            <xm:f>Antennas!A:A</xm:f>
          </x14:formula1>
          <xm:sqref>D8</xm:sqref>
        </x14:dataValidation>
        <x14:dataValidation type="list" xr:uid="{D95F6500-D6B9-4B6C-BBF9-DBBE50DB4AD7}" error="Please choose feedback from drop down only." errorTitle="An invalid feedback was entered" showErrorMessage="1">
          <x14:formula1>
            <xm:f>Antennas!A:A</xm:f>
          </x14:formula1>
          <xm:sqref>E8</xm:sqref>
        </x14:dataValidation>
        <x14:dataValidation type="list" xr:uid="{FC999668-C1BA-4343-8718-1BE64B082A55}" error="Please choose feedback from drop down only." errorTitle="An invalid feedback was entered" showErrorMessage="1">
          <x14:formula1>
            <xm:f>Antennas!A:A</xm:f>
          </x14:formula1>
          <xm:sqref>F8</xm:sqref>
        </x14:dataValidation>
        <x14:dataValidation type="list" xr:uid="{239D12A1-57BF-42B2-9211-F400E252923C}" error="Please choose feedback from drop down only." errorTitle="An invalid feedback was entered" showErrorMessage="1">
          <x14:formula1>
            <xm:f>Antennas!A:A</xm:f>
          </x14:formula1>
          <xm:sqref>G8</xm:sqref>
        </x14:dataValidation>
        <x14:dataValidation type="list" xr:uid="{C1782DEC-036B-456A-ADA2-9515ECC27987}" error="Please choose feedback from drop down only." errorTitle="An invalid feedback was entered" showErrorMessage="1">
          <x14:formula1>
            <xm:f>Antennas!A:A</xm:f>
          </x14:formula1>
          <xm:sqref>H8</xm:sqref>
        </x14:dataValidation>
        <x14:dataValidation type="list" xr:uid="{5DA8CDF1-583E-44AE-B959-89EE4EE335C0}" error="Please choose feedback from drop down only." errorTitle="An invalid feedback was entered" showErrorMessage="1">
          <x14:formula1>
            <xm:f>Antennas!A:A</xm:f>
          </x14:formula1>
          <xm:sqref>I8</xm:sqref>
        </x14:dataValidation>
        <x14:dataValidation type="list" xr:uid="{92B74199-2461-4E93-8429-C3C78937E459}" error="Please choose feedback from drop down only." errorTitle="An invalid feedback was entered" showErrorMessage="1">
          <x14:formula1>
            <xm:f>Antennas!A:A</xm:f>
          </x14:formula1>
          <xm:sqref>J8</xm:sqref>
        </x14:dataValidation>
        <x14:dataValidation type="list" xr:uid="{E60F2D4B-A98A-49EE-8F11-F3E2CA963347}" error="Please choose feedback from drop down only." errorTitle="An invalid feedback was entered" showErrorMessage="1">
          <x14:formula1>
            <xm:f>Antennas!A:A</xm:f>
          </x14:formula1>
          <xm:sqref>K8</xm:sqref>
        </x14:dataValidation>
        <x14:dataValidation type="list" xr:uid="{CBEAFD57-7635-4B4C-BC12-58756C12ADB4}" error="Please choose feedback from drop down only." errorTitle="An invalid feedback was entered" showErrorMessage="1">
          <x14:formula1>
            <xm:f>Antennas!A:A</xm:f>
          </x14:formula1>
          <xm:sqref>L8</xm:sqref>
        </x14:dataValidation>
        <x14:dataValidation type="list" xr:uid="{78CF2E2B-9039-4678-A1C8-EC6732B3C9C9}" error="Please choose feedback from drop down only." errorTitle="An invalid feedback was entered" showErrorMessage="1">
          <x14:formula1>
            <xm:f>Antennas!A:A</xm:f>
          </x14:formula1>
          <xm:sqref>M8</xm:sqref>
        </x14:dataValidation>
        <x14:dataValidation type="list" xr:uid="{E3D38178-7937-49BA-999C-16E8C2E14726}" error="Please choose feedback from drop down only." errorTitle="An invalid feedback was entered" showErrorMessage="1">
          <x14:formula1>
            <xm:f>Antennas!A:A</xm:f>
          </x14:formula1>
          <xm:sqref>N8</xm:sqref>
        </x14:dataValidation>
        <x14:dataValidation type="list" xr:uid="{C3278D6B-A91A-4D85-80A0-9290E2DE2253}" error="Please choose feedback from drop down only." errorTitle="An invalid feedback was entered" showErrorMessage="1">
          <x14:formula1>
            <xm:f>Antennas!A:A</xm:f>
          </x14:formula1>
          <xm:sqref>O8</xm:sqref>
        </x14:dataValidation>
        <x14:dataValidation type="list" xr:uid="{0F01EF8C-4D85-40F5-B5DF-72B7F64538F9}" error="Please choose feedback from drop down only." errorTitle="An invalid feedback was entered" showErrorMessage="1">
          <x14:formula1>
            <xm:f>Antennas!A:A</xm:f>
          </x14:formula1>
          <xm:sqref>P8</xm:sqref>
        </x14:dataValidation>
        <x14:dataValidation type="list" xr:uid="{AE13D0E7-BC1D-41AC-8C62-6DACF2FE9097}" error="Please choose feedback from drop down only." errorTitle="An invalid feedback was entered" showErrorMessage="1">
          <x14:formula1>
            <xm:f>Antennas!A:A</xm:f>
          </x14:formula1>
          <xm:sqref>Q8</xm:sqref>
        </x14:dataValidation>
        <x14:dataValidation type="list" xr:uid="{CB50DBD3-8ED2-47B1-866A-9356124EBFDD}" error="Please choose feedback from drop down only." errorTitle="An invalid feedback was entered" showErrorMessage="1">
          <x14:formula1>
            <xm:f>Combiners!A:A</xm:f>
          </x14:formula1>
          <xm:sqref>C39</xm:sqref>
        </x14:dataValidation>
        <x14:dataValidation type="list" xr:uid="{7102336D-BF08-41F1-88F7-39D2E5460924}" error="Please choose feedback from drop down only." errorTitle="An invalid feedback was entered" showErrorMessage="1">
          <x14:formula1>
            <xm:f>Combiners!A:A</xm:f>
          </x14:formula1>
          <xm:sqref>D39</xm:sqref>
        </x14:dataValidation>
        <x14:dataValidation type="list" xr:uid="{A4D76FB9-6A92-4CA9-BB18-2FBA90D47C5C}" error="Please choose feedback from drop down only." errorTitle="An invalid feedback was entered" showErrorMessage="1">
          <x14:formula1>
            <xm:f>Combiners!A:A</xm:f>
          </x14:formula1>
          <xm:sqref>E39</xm:sqref>
        </x14:dataValidation>
        <x14:dataValidation type="list" xr:uid="{2E8BB766-D72B-4356-B794-D03E4BAA7DD1}" error="Please choose feedback from drop down only." errorTitle="An invalid feedback was entered" showErrorMessage="1">
          <x14:formula1>
            <xm:f>Combiners!A:A</xm:f>
          </x14:formula1>
          <xm:sqref>F39</xm:sqref>
        </x14:dataValidation>
        <x14:dataValidation type="list" xr:uid="{3321E042-5B05-4435-950F-55D87F845898}" error="Please choose feedback from drop down only." errorTitle="An invalid feedback was entered" showErrorMessage="1">
          <x14:formula1>
            <xm:f>Combiners!A:A</xm:f>
          </x14:formula1>
          <xm:sqref>G39</xm:sqref>
        </x14:dataValidation>
        <x14:dataValidation type="list" xr:uid="{DC1EFA52-C679-4B8A-B43B-678C26A58449}" error="Please choose feedback from drop down only." errorTitle="An invalid feedback was entered" showErrorMessage="1">
          <x14:formula1>
            <xm:f>Combiners!A:A</xm:f>
          </x14:formula1>
          <xm:sqref>H39</xm:sqref>
        </x14:dataValidation>
        <x14:dataValidation type="list" xr:uid="{40B6A1CF-55B1-4E94-83C2-26B17C526198}" error="Please choose feedback from drop down only." errorTitle="An invalid feedback was entered" showErrorMessage="1">
          <x14:formula1>
            <xm:f>Combiners!A:A</xm:f>
          </x14:formula1>
          <xm:sqref>I39</xm:sqref>
        </x14:dataValidation>
        <x14:dataValidation type="list" xr:uid="{3D7DA92A-36FD-4734-8420-CA2A58366ADC}" error="Please choose feedback from drop down only." errorTitle="An invalid feedback was entered" showErrorMessage="1">
          <x14:formula1>
            <xm:f>Combiners!A:A</xm:f>
          </x14:formula1>
          <xm:sqref>J39</xm:sqref>
        </x14:dataValidation>
        <x14:dataValidation type="list" xr:uid="{F12D0D74-6608-4CA6-99E3-95DEDB74125F}" error="Please choose feedback from drop down only." errorTitle="An invalid feedback was entered" showErrorMessage="1">
          <x14:formula1>
            <xm:f>Combiners!A:A</xm:f>
          </x14:formula1>
          <xm:sqref>K39</xm:sqref>
        </x14:dataValidation>
        <x14:dataValidation type="list" xr:uid="{B4EBFFB8-BA71-4C4A-8FA3-34BD201C8971}" error="Please choose feedback from drop down only." errorTitle="An invalid feedback was entered" showErrorMessage="1">
          <x14:formula1>
            <xm:f>Combiners!A:A</xm:f>
          </x14:formula1>
          <xm:sqref>L39</xm:sqref>
        </x14:dataValidation>
        <x14:dataValidation type="list" xr:uid="{2255A981-D4BC-4F9F-9AEC-9E30690EC375}" error="Please choose feedback from drop down only." errorTitle="An invalid feedback was entered" showErrorMessage="1">
          <x14:formula1>
            <xm:f>Combiners!A:A</xm:f>
          </x14:formula1>
          <xm:sqref>M39</xm:sqref>
        </x14:dataValidation>
        <x14:dataValidation type="list" xr:uid="{67F3C993-85D6-4D4C-8D19-9BBC27D48024}" error="Please choose feedback from drop down only." errorTitle="An invalid feedback was entered" showErrorMessage="1">
          <x14:formula1>
            <xm:f>Combiners!A:A</xm:f>
          </x14:formula1>
          <xm:sqref>N39</xm:sqref>
        </x14:dataValidation>
        <x14:dataValidation type="list" xr:uid="{77B6F239-7E90-43F4-9CE2-7F86E6F8365F}" error="Please choose feedback from drop down only." errorTitle="An invalid feedback was entered" showErrorMessage="1">
          <x14:formula1>
            <xm:f>Combiners!A:A</xm:f>
          </x14:formula1>
          <xm:sqref>O39</xm:sqref>
        </x14:dataValidation>
        <x14:dataValidation type="list" xr:uid="{B5DF8C5A-CE5D-43D8-9CEB-CDF0B95B1F68}" error="Please choose feedback from drop down only." errorTitle="An invalid feedback was entered" showErrorMessage="1">
          <x14:formula1>
            <xm:f>Combiners!A:A</xm:f>
          </x14:formula1>
          <xm:sqref>P39</xm:sqref>
        </x14:dataValidation>
        <x14:dataValidation type="list" xr:uid="{3625C138-C4DB-4EDD-9BE0-65FF34E47871}" error="Please choose feedback from drop down only." errorTitle="An invalid feedback was entered" showErrorMessage="1">
          <x14:formula1>
            <xm:f>Combiners!A:A</xm:f>
          </x14:formula1>
          <xm:sqref>Q39</xm:sqref>
        </x14:dataValidation>
        <x14:dataValidation type="list" xr:uid="{D2A113AB-4A1F-464D-B68E-74B868D778AB}" error="Please choose feedback from drop down only." errorTitle="An invalid feedback was entered" showErrorMessage="0">
          <x14:formula1>
            <xm:f>RRUs!A:A</xm:f>
          </x14:formula1>
          <xm:sqref>C35</xm:sqref>
        </x14:dataValidation>
        <x14:dataValidation type="list" xr:uid="{76682666-CB6C-4F74-8DBE-FBF5A4ABC284}" error="Please choose feedback from drop down only." errorTitle="An invalid feedback was entered" showErrorMessage="0">
          <x14:formula1>
            <xm:f>RRUs!A:A</xm:f>
          </x14:formula1>
          <xm:sqref>D35</xm:sqref>
        </x14:dataValidation>
        <x14:dataValidation type="list" xr:uid="{6D0DE2DB-C320-405D-93CE-1DDA4C200571}" error="Please choose feedback from drop down only." errorTitle="An invalid feedback was entered" showErrorMessage="0">
          <x14:formula1>
            <xm:f>RRUs!A:A</xm:f>
          </x14:formula1>
          <xm:sqref>E35</xm:sqref>
        </x14:dataValidation>
        <x14:dataValidation type="list" xr:uid="{1E910B35-7F52-48BE-86DF-64530B5FD7FB}" error="Please choose feedback from drop down only." errorTitle="An invalid feedback was entered" showErrorMessage="0">
          <x14:formula1>
            <xm:f>RRUs!A:A</xm:f>
          </x14:formula1>
          <xm:sqref>F35</xm:sqref>
        </x14:dataValidation>
        <x14:dataValidation type="list" xr:uid="{3C5FA669-845A-4F80-A524-05C94A3D081A}" error="Please choose feedback from drop down only." errorTitle="An invalid feedback was entered" showErrorMessage="0">
          <x14:formula1>
            <xm:f>RRUs!A:A</xm:f>
          </x14:formula1>
          <xm:sqref>G35</xm:sqref>
        </x14:dataValidation>
        <x14:dataValidation type="list" xr:uid="{7DB3EFFF-253E-4F3B-935A-B56F03DB1BED}" error="Please choose feedback from drop down only." errorTitle="An invalid feedback was entered" showErrorMessage="0">
          <x14:formula1>
            <xm:f>RRUs!A:A</xm:f>
          </x14:formula1>
          <xm:sqref>H35</xm:sqref>
        </x14:dataValidation>
        <x14:dataValidation type="list" xr:uid="{F6962030-6CBB-4846-A6F2-8CC48CA06FFF}" error="Please choose feedback from drop down only." errorTitle="An invalid feedback was entered" showErrorMessage="0">
          <x14:formula1>
            <xm:f>RRUs!A:A</xm:f>
          </x14:formula1>
          <xm:sqref>I35</xm:sqref>
        </x14:dataValidation>
        <x14:dataValidation type="list" xr:uid="{AE447D08-0E56-41EE-A133-FE9F40DD7B6D}" error="Please choose feedback from drop down only." errorTitle="An invalid feedback was entered" showErrorMessage="0">
          <x14:formula1>
            <xm:f>RRUs!A:A</xm:f>
          </x14:formula1>
          <xm:sqref>J35</xm:sqref>
        </x14:dataValidation>
        <x14:dataValidation type="list" xr:uid="{68A005DB-EB1B-42F7-BB97-EF1F6136B59C}" error="Please choose feedback from drop down only." errorTitle="An invalid feedback was entered" showErrorMessage="0">
          <x14:formula1>
            <xm:f>RRUs!A:A</xm:f>
          </x14:formula1>
          <xm:sqref>K35</xm:sqref>
        </x14:dataValidation>
        <x14:dataValidation type="list" xr:uid="{005895FD-EB70-4752-8D36-BC15E2982F5F}" error="Please choose feedback from drop down only." errorTitle="An invalid feedback was entered" showErrorMessage="0">
          <x14:formula1>
            <xm:f>RRUs!A:A</xm:f>
          </x14:formula1>
          <xm:sqref>L35</xm:sqref>
        </x14:dataValidation>
        <x14:dataValidation type="list" xr:uid="{6B0FA4DE-FDE3-411E-B2A3-646FB6D57497}" error="Please choose feedback from drop down only." errorTitle="An invalid feedback was entered" showErrorMessage="0">
          <x14:formula1>
            <xm:f>RRUs!A:A</xm:f>
          </x14:formula1>
          <xm:sqref>M35</xm:sqref>
        </x14:dataValidation>
        <x14:dataValidation type="list" xr:uid="{46928CD3-17F6-41D2-A722-7B2CF1713AC9}" error="Please choose feedback from drop down only." errorTitle="An invalid feedback was entered" showErrorMessage="0">
          <x14:formula1>
            <xm:f>RRUs!A:A</xm:f>
          </x14:formula1>
          <xm:sqref>N35</xm:sqref>
        </x14:dataValidation>
        <x14:dataValidation type="list" xr:uid="{E6FD53B0-43C2-4CA1-BE1A-92D84608EE86}" error="Please choose feedback from drop down only." errorTitle="An invalid feedback was entered" showErrorMessage="0">
          <x14:formula1>
            <xm:f>RRUs!A:A</xm:f>
          </x14:formula1>
          <xm:sqref>O35</xm:sqref>
        </x14:dataValidation>
        <x14:dataValidation type="list" xr:uid="{340090D5-B6E5-4EE3-A3FE-5FA63526DBD6}" error="Please choose feedback from drop down only." errorTitle="An invalid feedback was entered" showErrorMessage="0">
          <x14:formula1>
            <xm:f>RRUs!A:A</xm:f>
          </x14:formula1>
          <xm:sqref>P35</xm:sqref>
        </x14:dataValidation>
        <x14:dataValidation type="list" xr:uid="{E8A9FECE-49D8-4D30-A269-EB41DD895FAA}" error="Please choose feedback from drop down only." errorTitle="An invalid feedback was entered" showErrorMessage="0">
          <x14:formula1>
            <xm:f>RRUs!A:A</xm:f>
          </x14:formula1>
          <xm:sqref>Q35</xm:sqref>
        </x14:dataValidation>
        <x14:dataValidation type="list" xr:uid="{F7C69F8C-8C28-4DE1-A919-F26091E12AEB}" error="Please choose feedback from drop down only." errorTitle="An invalid feedback was entered" showErrorMessage="1">
          <x14:formula1>
            <xm:f>Combiners!A:A</xm:f>
          </x14:formula1>
          <xm:sqref>C41</xm:sqref>
        </x14:dataValidation>
        <x14:dataValidation type="list" xr:uid="{8127B006-B699-4135-9416-24BC1E2AFDCB}" error="Please choose feedback from drop down only." errorTitle="An invalid feedback was entered" showErrorMessage="1">
          <x14:formula1>
            <xm:f>Combiners!A:A</xm:f>
          </x14:formula1>
          <xm:sqref>D41</xm:sqref>
        </x14:dataValidation>
        <x14:dataValidation type="list" xr:uid="{57D82FBB-E144-4ECC-BEC0-243F5220D0C3}" error="Please choose feedback from drop down only." errorTitle="An invalid feedback was entered" showErrorMessage="1">
          <x14:formula1>
            <xm:f>Combiners!A:A</xm:f>
          </x14:formula1>
          <xm:sqref>E41</xm:sqref>
        </x14:dataValidation>
        <x14:dataValidation type="list" xr:uid="{0BED2275-4B7A-404B-BEF1-B8C48B535577}" error="Please choose feedback from drop down only." errorTitle="An invalid feedback was entered" showErrorMessage="1">
          <x14:formula1>
            <xm:f>Combiners!A:A</xm:f>
          </x14:formula1>
          <xm:sqref>F41</xm:sqref>
        </x14:dataValidation>
        <x14:dataValidation type="list" xr:uid="{2E541346-56A4-47C6-B533-FD4EF33F2772}" error="Please choose feedback from drop down only." errorTitle="An invalid feedback was entered" showErrorMessage="1">
          <x14:formula1>
            <xm:f>Combiners!A:A</xm:f>
          </x14:formula1>
          <xm:sqref>G41</xm:sqref>
        </x14:dataValidation>
        <x14:dataValidation type="list" xr:uid="{95ABC816-1ED4-4649-BC3E-466216B08D9B}" error="Please choose feedback from drop down only." errorTitle="An invalid feedback was entered" showErrorMessage="1">
          <x14:formula1>
            <xm:f>Combiners!A:A</xm:f>
          </x14:formula1>
          <xm:sqref>H41</xm:sqref>
        </x14:dataValidation>
        <x14:dataValidation type="list" xr:uid="{6DF2D437-CCAA-4391-80F6-9B61177508ED}" error="Please choose feedback from drop down only." errorTitle="An invalid feedback was entered" showErrorMessage="1">
          <x14:formula1>
            <xm:f>Combiners!A:A</xm:f>
          </x14:formula1>
          <xm:sqref>I41</xm:sqref>
        </x14:dataValidation>
        <x14:dataValidation type="list" xr:uid="{BEF2876B-2C41-409F-855D-F6469E7A8115}" error="Please choose feedback from drop down only." errorTitle="An invalid feedback was entered" showErrorMessage="1">
          <x14:formula1>
            <xm:f>Combiners!A:A</xm:f>
          </x14:formula1>
          <xm:sqref>J41</xm:sqref>
        </x14:dataValidation>
        <x14:dataValidation type="list" xr:uid="{92212081-95E9-4D56-ACF4-97D4A21421CF}" error="Please choose feedback from drop down only." errorTitle="An invalid feedback was entered" showErrorMessage="1">
          <x14:formula1>
            <xm:f>Combiners!A:A</xm:f>
          </x14:formula1>
          <xm:sqref>K41</xm:sqref>
        </x14:dataValidation>
        <x14:dataValidation type="list" xr:uid="{B63245D3-5DCB-45D1-8CD4-E99D834C3324}" error="Please choose feedback from drop down only." errorTitle="An invalid feedback was entered" showErrorMessage="1">
          <x14:formula1>
            <xm:f>Combiners!A:A</xm:f>
          </x14:formula1>
          <xm:sqref>L41</xm:sqref>
        </x14:dataValidation>
        <x14:dataValidation type="list" xr:uid="{FEFFCDDF-284B-434E-BA05-D42DAF172587}" error="Please choose feedback from drop down only." errorTitle="An invalid feedback was entered" showErrorMessage="1">
          <x14:formula1>
            <xm:f>Combiners!A:A</xm:f>
          </x14:formula1>
          <xm:sqref>M41</xm:sqref>
        </x14:dataValidation>
        <x14:dataValidation type="list" xr:uid="{DAAA99FD-C12A-4271-808C-857A6D932F09}" error="Please choose feedback from drop down only." errorTitle="An invalid feedback was entered" showErrorMessage="1">
          <x14:formula1>
            <xm:f>Combiners!A:A</xm:f>
          </x14:formula1>
          <xm:sqref>N41</xm:sqref>
        </x14:dataValidation>
        <x14:dataValidation type="list" xr:uid="{5870A848-3F9D-40F8-9BF7-7577F8BC4D23}" error="Please choose feedback from drop down only." errorTitle="An invalid feedback was entered" showErrorMessage="1">
          <x14:formula1>
            <xm:f>Combiners!A:A</xm:f>
          </x14:formula1>
          <xm:sqref>O41</xm:sqref>
        </x14:dataValidation>
        <x14:dataValidation type="list" xr:uid="{6DB35629-21F9-4F32-A301-09158BC981DD}" error="Please choose feedback from drop down only." errorTitle="An invalid feedback was entered" showErrorMessage="1">
          <x14:formula1>
            <xm:f>Combiners!A:A</xm:f>
          </x14:formula1>
          <xm:sqref>P41</xm:sqref>
        </x14:dataValidation>
        <x14:dataValidation type="list" xr:uid="{D6F40F66-1AD0-4F12-9217-0C8E915B8ED0}" error="Please choose feedback from drop down only." errorTitle="An invalid feedback was entered" showErrorMessage="1">
          <x14:formula1>
            <xm:f>Combiners!A:A</xm:f>
          </x14:formula1>
          <xm:sqref>Q41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5">
    <pageSetUpPr fitToPage="1"/>
  </sheetPr>
  <dimension ref="A1:U45"/>
  <sheetViews>
    <sheetView zoomScale="90" zoomScaleNormal="90" workbookViewId="0">
      <selection sqref="A1:B1"/>
    </sheetView>
  </sheetViews>
  <sheetFormatPr defaultColWidth="9.1328125" defaultRowHeight="12.75"/>
  <cols>
    <col min="1" max="1" bestFit="1" width="10.265625" customWidth="1" style="6"/>
    <col min="2" max="2" bestFit="1" width="40.1328125" customWidth="1" style="7"/>
    <col min="3" max="7" width="9.1328125" customWidth="1" style="21"/>
    <col min="8" max="8" bestFit="1" width="9.3984375" customWidth="1" style="21"/>
    <col min="9" max="16384" width="9.1328125" customWidth="1" style="21"/>
  </cols>
  <sheetData>
    <row r="1" ht="25.15" customHeight="1">
      <c r="A1" s="197">
        <f>Common!B2</f>
        <v>0</v>
      </c>
      <c r="B1" s="266"/>
      <c r="C1" s="258" t="s">
        <v>99</v>
      </c>
      <c r="D1" s="258"/>
      <c r="E1" s="258"/>
      <c r="F1" s="258"/>
      <c r="G1" s="258"/>
      <c r="H1" s="258"/>
      <c r="I1" s="258"/>
      <c r="J1" s="258"/>
      <c r="K1" s="258"/>
      <c r="L1" s="258"/>
      <c r="M1" s="258"/>
      <c r="N1" s="258"/>
      <c r="O1" s="258"/>
      <c r="P1" s="259"/>
    </row>
    <row r="2" ht="18">
      <c r="A2" s="33"/>
      <c r="B2" s="14" t="s">
        <v>1</v>
      </c>
      <c r="C2" s="217">
        <v>1</v>
      </c>
      <c r="D2" s="251"/>
      <c r="E2" s="251"/>
      <c r="F2" s="251"/>
      <c r="G2" s="251"/>
      <c r="H2" s="219"/>
      <c r="I2" s="252">
        <v>2</v>
      </c>
      <c r="J2" s="253"/>
      <c r="K2" s="253"/>
      <c r="L2" s="254"/>
      <c r="M2" s="252">
        <v>3</v>
      </c>
      <c r="N2" s="253"/>
      <c r="O2" s="255"/>
      <c r="P2" s="72">
        <v>4</v>
      </c>
    </row>
    <row r="3" ht="17.25">
      <c r="A3" s="241"/>
      <c r="B3" s="12" t="s">
        <v>2</v>
      </c>
      <c r="C3" s="226"/>
      <c r="D3" s="227"/>
      <c r="E3" s="227"/>
      <c r="F3" s="227"/>
      <c r="G3" s="227"/>
      <c r="H3" s="227"/>
      <c r="I3" s="227"/>
      <c r="J3" s="227"/>
      <c r="K3" s="227"/>
      <c r="L3" s="227"/>
      <c r="M3" s="227"/>
      <c r="N3" s="227"/>
      <c r="O3" s="227"/>
      <c r="P3" s="228"/>
    </row>
    <row r="4" ht="25.15" s="22" customFormat="1">
      <c r="A4" s="241"/>
      <c r="B4" s="9" t="s">
        <v>3</v>
      </c>
      <c r="C4" s="248"/>
      <c r="D4" s="249"/>
      <c r="E4" s="249"/>
      <c r="F4" s="249"/>
      <c r="G4" s="249"/>
      <c r="H4" s="249"/>
      <c r="I4" s="249"/>
      <c r="J4" s="249"/>
      <c r="K4" s="249"/>
      <c r="L4" s="249"/>
      <c r="M4" s="249"/>
      <c r="N4" s="249"/>
      <c r="O4" s="249"/>
      <c r="P4" s="250"/>
    </row>
    <row r="5" ht="24.75">
      <c r="A5" s="241"/>
      <c r="B5" s="13" t="s">
        <v>4</v>
      </c>
      <c r="C5" s="263"/>
      <c r="D5" s="264"/>
      <c r="E5" s="264"/>
      <c r="F5" s="264"/>
      <c r="G5" s="264"/>
      <c r="H5" s="264"/>
      <c r="I5" s="264"/>
      <c r="J5" s="264"/>
      <c r="K5" s="264"/>
      <c r="L5" s="264"/>
      <c r="M5" s="264"/>
      <c r="N5" s="264"/>
      <c r="O5" s="264"/>
      <c r="P5" s="265"/>
    </row>
    <row r="6" ht="25.15" s="22" customFormat="1">
      <c r="A6" s="241"/>
      <c r="B6" s="32" t="s">
        <v>5</v>
      </c>
      <c r="C6" s="248"/>
      <c r="D6" s="249"/>
      <c r="E6" s="249"/>
      <c r="F6" s="249"/>
      <c r="G6" s="249"/>
      <c r="H6" s="249"/>
      <c r="I6" s="249"/>
      <c r="J6" s="249"/>
      <c r="K6" s="249"/>
      <c r="L6" s="249"/>
      <c r="M6" s="249"/>
      <c r="N6" s="249"/>
      <c r="O6" s="249"/>
      <c r="P6" s="250"/>
    </row>
    <row r="7" ht="17.25">
      <c r="A7" s="241"/>
      <c r="B7" s="8" t="s">
        <v>6</v>
      </c>
      <c r="C7" s="226"/>
      <c r="D7" s="227"/>
      <c r="E7" s="227"/>
      <c r="F7" s="227"/>
      <c r="G7" s="227"/>
      <c r="H7" s="228"/>
      <c r="I7" s="227"/>
      <c r="J7" s="227"/>
      <c r="K7" s="227"/>
      <c r="L7" s="228"/>
      <c r="M7" s="227"/>
      <c r="N7" s="227"/>
      <c r="O7" s="228"/>
      <c r="P7" s="90"/>
    </row>
    <row r="8" ht="17.65" s="22" customFormat="1">
      <c r="A8" s="241"/>
      <c r="B8" s="9" t="s">
        <v>7</v>
      </c>
      <c r="C8" s="229"/>
      <c r="D8" s="230"/>
      <c r="E8" s="230"/>
      <c r="F8" s="230"/>
      <c r="G8" s="230"/>
      <c r="H8" s="231"/>
      <c r="I8" s="229"/>
      <c r="J8" s="230"/>
      <c r="K8" s="230"/>
      <c r="L8" s="231"/>
      <c r="M8" s="229"/>
      <c r="N8" s="230"/>
      <c r="O8" s="231"/>
      <c r="P8" s="74"/>
    </row>
    <row r="9" ht="17.25">
      <c r="A9" s="241"/>
      <c r="B9" s="8" t="s">
        <v>8</v>
      </c>
      <c r="C9" s="211"/>
      <c r="D9" s="212"/>
      <c r="E9" s="212"/>
      <c r="F9" s="212"/>
      <c r="G9" s="212"/>
      <c r="H9" s="213"/>
      <c r="I9" s="212"/>
      <c r="J9" s="212"/>
      <c r="K9" s="212"/>
      <c r="L9" s="213"/>
      <c r="M9" s="212"/>
      <c r="N9" s="212"/>
      <c r="O9" s="213"/>
      <c r="P9" s="73"/>
    </row>
    <row r="10" ht="17.65" s="22" customFormat="1">
      <c r="A10" s="241"/>
      <c r="B10" s="10" t="s">
        <v>9</v>
      </c>
      <c r="C10" s="229"/>
      <c r="D10" s="230"/>
      <c r="E10" s="230"/>
      <c r="F10" s="230"/>
      <c r="G10" s="230"/>
      <c r="H10" s="231"/>
      <c r="I10" s="229"/>
      <c r="J10" s="230"/>
      <c r="K10" s="230"/>
      <c r="L10" s="231"/>
      <c r="M10" s="229"/>
      <c r="N10" s="230"/>
      <c r="O10" s="231"/>
      <c r="P10" s="74"/>
    </row>
    <row r="11" ht="17.25">
      <c r="A11" s="241"/>
      <c r="B11" s="8" t="s">
        <v>10</v>
      </c>
      <c r="C11" s="211"/>
      <c r="D11" s="212"/>
      <c r="E11" s="212"/>
      <c r="F11" s="212"/>
      <c r="G11" s="212"/>
      <c r="H11" s="213"/>
      <c r="I11" s="212"/>
      <c r="J11" s="212"/>
      <c r="K11" s="212"/>
      <c r="L11" s="213"/>
      <c r="M11" s="212"/>
      <c r="N11" s="212"/>
      <c r="O11" s="213"/>
      <c r="P11" s="73"/>
    </row>
    <row r="12" ht="17.65" s="22" customFormat="1">
      <c r="A12" s="241"/>
      <c r="B12" s="10" t="s">
        <v>11</v>
      </c>
      <c r="C12" s="214"/>
      <c r="D12" s="215"/>
      <c r="E12" s="215"/>
      <c r="F12" s="215"/>
      <c r="G12" s="215"/>
      <c r="H12" s="216"/>
      <c r="I12" s="214"/>
      <c r="J12" s="215"/>
      <c r="K12" s="215"/>
      <c r="L12" s="216"/>
      <c r="M12" s="214"/>
      <c r="N12" s="215"/>
      <c r="O12" s="216"/>
      <c r="P12" s="74"/>
    </row>
    <row r="13" ht="17.25">
      <c r="A13" s="241"/>
      <c r="B13" s="8" t="s">
        <v>12</v>
      </c>
      <c r="C13" s="211"/>
      <c r="D13" s="212"/>
      <c r="E13" s="212"/>
      <c r="F13" s="212"/>
      <c r="G13" s="212"/>
      <c r="H13" s="213"/>
      <c r="I13" s="212"/>
      <c r="J13" s="212"/>
      <c r="K13" s="212"/>
      <c r="L13" s="213"/>
      <c r="M13" s="212"/>
      <c r="N13" s="212"/>
      <c r="O13" s="213"/>
      <c r="P13" s="73"/>
    </row>
    <row r="14" ht="17.65" s="22" customFormat="1">
      <c r="A14" s="241"/>
      <c r="B14" s="10" t="s">
        <v>13</v>
      </c>
      <c r="C14" s="208"/>
      <c r="D14" s="209"/>
      <c r="E14" s="209"/>
      <c r="F14" s="209"/>
      <c r="G14" s="209"/>
      <c r="H14" s="210"/>
      <c r="I14" s="208"/>
      <c r="J14" s="209"/>
      <c r="K14" s="209"/>
      <c r="L14" s="210"/>
      <c r="M14" s="208"/>
      <c r="N14" s="209"/>
      <c r="O14" s="210"/>
      <c r="P14" s="81"/>
    </row>
    <row r="15" ht="17.25">
      <c r="A15" s="241"/>
      <c r="B15" s="8" t="s">
        <v>14</v>
      </c>
      <c r="C15" s="211"/>
      <c r="D15" s="212"/>
      <c r="E15" s="212"/>
      <c r="F15" s="212"/>
      <c r="G15" s="212"/>
      <c r="H15" s="213"/>
      <c r="I15" s="212"/>
      <c r="J15" s="212"/>
      <c r="K15" s="212"/>
      <c r="L15" s="213"/>
      <c r="M15" s="212"/>
      <c r="N15" s="212"/>
      <c r="O15" s="213"/>
      <c r="P15" s="80"/>
    </row>
    <row r="16" ht="17.25" s="22" customFormat="1">
      <c r="A16" s="241"/>
      <c r="B16" s="68" t="s">
        <v>15</v>
      </c>
      <c r="C16" s="199"/>
      <c r="D16" s="200"/>
      <c r="E16" s="200"/>
      <c r="F16" s="200"/>
      <c r="G16" s="200"/>
      <c r="H16" s="201"/>
      <c r="I16" s="202"/>
      <c r="J16" s="203"/>
      <c r="K16" s="203"/>
      <c r="L16" s="204"/>
      <c r="M16" s="202"/>
      <c r="N16" s="203"/>
      <c r="O16" s="204"/>
      <c r="P16" s="75"/>
    </row>
    <row r="17" ht="17.25">
      <c r="A17" s="256"/>
      <c r="B17" s="70" t="s">
        <v>16</v>
      </c>
      <c r="C17" s="65" t="s">
        <v>17</v>
      </c>
      <c r="D17" s="65" t="s">
        <v>18</v>
      </c>
      <c r="E17" s="65" t="s">
        <v>19</v>
      </c>
      <c r="F17" s="65" t="s">
        <v>20</v>
      </c>
      <c r="G17" s="65" t="s">
        <v>21</v>
      </c>
      <c r="H17" s="65" t="s">
        <v>22</v>
      </c>
      <c r="I17" s="65" t="s">
        <v>17</v>
      </c>
      <c r="J17" s="65" t="s">
        <v>18</v>
      </c>
      <c r="K17" s="65" t="s">
        <v>19</v>
      </c>
      <c r="L17" s="65" t="s">
        <v>20</v>
      </c>
      <c r="M17" s="65" t="s">
        <v>17</v>
      </c>
      <c r="N17" s="65" t="s">
        <v>18</v>
      </c>
      <c r="O17" s="65" t="s">
        <v>19</v>
      </c>
      <c r="P17" s="76" t="s">
        <v>17</v>
      </c>
    </row>
    <row r="18" ht="17.25">
      <c r="A18" s="256"/>
      <c r="B18" s="70" t="s">
        <v>23</v>
      </c>
      <c r="C18" s="63"/>
      <c r="D18" s="64"/>
      <c r="E18" s="64"/>
      <c r="F18" s="64"/>
      <c r="G18" s="64"/>
      <c r="H18" s="65"/>
      <c r="I18" s="63"/>
      <c r="J18" s="64"/>
      <c r="K18" s="64"/>
      <c r="L18" s="65"/>
      <c r="M18" s="63"/>
      <c r="N18" s="64"/>
      <c r="O18" s="65"/>
      <c r="P18" s="77"/>
    </row>
    <row r="19" ht="17.25">
      <c r="A19" s="256"/>
      <c r="B19" s="71" t="s">
        <v>24</v>
      </c>
      <c r="C19" s="99">
        <f>VLOOKUP(C8,AntennasPortName!A:H,2,FALSE)</f>
      </c>
      <c r="D19" s="99">
        <f>VLOOKUP(C8,AntennasPortName!A:H,3,FALSE)</f>
      </c>
      <c r="E19" s="99">
        <f>VLOOKUP(C8,AntennasPortName!A:H,4,FALSE)</f>
      </c>
      <c r="F19" s="99">
        <f>VLOOKUP(C8,AntennasPortName!A:H,5,FALSE)</f>
      </c>
      <c r="G19" s="99">
        <f>VLOOKUP(C8,AntennasPortName!A:H,6,FALSE)</f>
      </c>
      <c r="H19" s="99">
        <f>VLOOKUP(C8,AntennasPortName!A:H,7,FALSE)</f>
      </c>
      <c r="I19" s="99">
        <f>VLOOKUP(I8,AntennasPortName!A:H,2,FALSE)</f>
      </c>
      <c r="J19" s="99">
        <f>VLOOKUP(I8,AntennasPortName!A:H,3,FALSE)</f>
      </c>
      <c r="K19" s="99">
        <f>VLOOKUP(I8,AntennasPortName!A:H,4,FALSE)</f>
      </c>
      <c r="L19" s="99">
        <f>VLOOKUP(I8,AntennasPortName!A:H,5,FALSE)</f>
      </c>
      <c r="M19" s="99">
        <f>VLOOKUP(M8,AntennasPortName!A:H,2,FALSE)</f>
      </c>
      <c r="N19" s="99">
        <f>VLOOKUP(M8,AntennasPortName!A:H,3,FALSE)</f>
      </c>
      <c r="O19" s="99">
        <f>VLOOKUP(M8,AntennasPortName!A:H,4,FALSE)</f>
      </c>
      <c r="P19" s="99">
        <f>VLOOKUP(P8,AntennasPortName!A:H,2,FALSE)</f>
      </c>
    </row>
    <row r="20" ht="17.25">
      <c r="A20" s="241"/>
      <c r="B20" s="69" t="s">
        <v>25</v>
      </c>
      <c r="C20" s="61"/>
      <c r="D20" s="62"/>
      <c r="E20" s="62"/>
      <c r="F20" s="62"/>
      <c r="G20" s="62"/>
      <c r="H20" s="62"/>
      <c r="I20" s="61"/>
      <c r="J20" s="62"/>
      <c r="K20" s="62"/>
      <c r="L20" s="66"/>
      <c r="M20" s="67"/>
      <c r="N20" s="62"/>
      <c r="O20" s="66"/>
      <c r="P20" s="66"/>
    </row>
    <row r="21" ht="17.65">
      <c r="A21" s="241"/>
      <c r="B21" s="18" t="s">
        <v>26</v>
      </c>
      <c r="C21" s="42">
        <f>VLOOKUP(C8,Antennas!A:H,2,FALSE)</f>
      </c>
      <c r="D21" s="43">
        <f>VLOOKUP(C8,Antennas!A:H,3,FALSE)</f>
      </c>
      <c r="E21" s="43">
        <f>VLOOKUP(C8,Antennas!A:H,4,FALSE)</f>
      </c>
      <c r="F21" s="43">
        <f>VLOOKUP(C8,Antennas!A:H,5,FALSE)</f>
      </c>
      <c r="G21" s="43">
        <f>VLOOKUP(C8,Antennas!A:H,6,FALSE)</f>
      </c>
      <c r="H21" s="43">
        <f>VLOOKUP(C8,Antennas!A:H,7,FALSE)</f>
      </c>
      <c r="I21" s="43">
        <f>VLOOKUP(I8,Antennas!A:H,2,FALSE)</f>
      </c>
      <c r="J21" s="43">
        <f>VLOOKUP(I8,Antennas!A:H,3,FALSE)</f>
      </c>
      <c r="K21" s="43">
        <f>VLOOKUP(I8,Antennas!A:H,4,FALSE)</f>
      </c>
      <c r="L21" s="44">
        <f>VLOOKUP(I8,Antennas!A:H,5,FALSE)</f>
      </c>
      <c r="M21" s="45">
        <f>VLOOKUP(M8,Antennas!A:H,2,FALSE)</f>
      </c>
      <c r="N21" s="43">
        <f>VLOOKUP(M8,Antennas!A:H,3,FALSE)</f>
      </c>
      <c r="O21" s="42">
        <f>VLOOKUP(M8,Antennas!A:H,4,FALSE)</f>
      </c>
      <c r="P21" s="42">
        <f>VLOOKUP(P8,Antennas!A:H,2,FALSE)</f>
      </c>
      <c r="R21" s="17"/>
    </row>
    <row r="22" ht="17.65" s="22" customFormat="1">
      <c r="A22" s="241"/>
      <c r="B22" s="28" t="s">
        <v>27</v>
      </c>
      <c r="C22" s="46"/>
      <c r="D22" s="47"/>
      <c r="E22" s="47"/>
      <c r="F22" s="47"/>
      <c r="G22" s="47"/>
      <c r="H22" s="47"/>
      <c r="I22" s="47"/>
      <c r="J22" s="47"/>
      <c r="K22" s="47"/>
      <c r="L22" s="48"/>
      <c r="M22" s="49"/>
      <c r="N22" s="47"/>
      <c r="O22" s="50"/>
      <c r="P22" s="50"/>
    </row>
    <row r="23" ht="17.65" s="22" customFormat="1">
      <c r="A23" s="241"/>
      <c r="B23" s="28" t="s">
        <v>28</v>
      </c>
      <c r="C23" s="46"/>
      <c r="D23" s="46"/>
      <c r="E23" s="46"/>
      <c r="F23" s="46"/>
      <c r="G23" s="46"/>
      <c r="H23" s="46"/>
      <c r="I23" s="46"/>
      <c r="J23" s="46"/>
      <c r="K23" s="46"/>
      <c r="L23" s="46"/>
      <c r="M23" s="46"/>
      <c r="N23" s="46"/>
      <c r="O23" s="46"/>
      <c r="P23" s="46"/>
    </row>
    <row r="24" ht="17.25">
      <c r="A24" s="241"/>
      <c r="B24" s="11" t="s">
        <v>29</v>
      </c>
      <c r="C24" s="25"/>
      <c r="D24" s="25"/>
      <c r="E24" s="25"/>
      <c r="F24" s="25"/>
      <c r="G24" s="25"/>
      <c r="H24" s="25"/>
      <c r="I24" s="25"/>
      <c r="J24" s="25"/>
      <c r="K24" s="25"/>
      <c r="L24" s="25"/>
      <c r="M24" s="25"/>
      <c r="N24" s="25"/>
      <c r="O24" s="25"/>
      <c r="P24" s="25"/>
    </row>
    <row r="25" ht="17.65" s="22" customFormat="1">
      <c r="A25" s="241"/>
      <c r="B25" s="29" t="s">
        <v>30</v>
      </c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78"/>
    </row>
    <row r="26" ht="17.25">
      <c r="A26" s="241"/>
      <c r="B26" s="27" t="s">
        <v>31</v>
      </c>
      <c r="C26" s="24"/>
      <c r="D26" s="24"/>
      <c r="E26" s="24"/>
      <c r="F26" s="24"/>
      <c r="G26" s="24"/>
      <c r="H26" s="24"/>
      <c r="I26" s="24"/>
      <c r="J26" s="24"/>
      <c r="K26" s="24"/>
      <c r="L26" s="24"/>
      <c r="M26" s="24"/>
      <c r="N26" s="24"/>
      <c r="O26" s="24"/>
      <c r="P26" s="24"/>
    </row>
    <row r="27" ht="17.65" s="22" customFormat="1">
      <c r="A27" s="241"/>
      <c r="B27" s="30" t="s">
        <v>32</v>
      </c>
      <c r="C27" s="52"/>
      <c r="D27" s="52"/>
      <c r="E27" s="52"/>
      <c r="F27" s="52"/>
      <c r="G27" s="52"/>
      <c r="H27" s="52"/>
      <c r="I27" s="52"/>
      <c r="J27" s="52"/>
      <c r="K27" s="52"/>
      <c r="L27" s="52"/>
      <c r="M27" s="52"/>
      <c r="N27" s="52"/>
      <c r="O27" s="52"/>
      <c r="P27" s="52"/>
    </row>
    <row r="28" ht="17.25">
      <c r="A28" s="241"/>
      <c r="B28" s="11" t="s">
        <v>33</v>
      </c>
      <c r="C28" s="24"/>
      <c r="D28" s="24"/>
      <c r="E28" s="24"/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</row>
    <row r="29" ht="17.65" s="22" customFormat="1">
      <c r="A29" s="241"/>
      <c r="B29" s="31" t="s">
        <v>34</v>
      </c>
      <c r="C29" s="51"/>
      <c r="D29" s="51"/>
      <c r="E29" s="51"/>
      <c r="F29" s="51"/>
      <c r="G29" s="51"/>
      <c r="H29" s="51"/>
      <c r="I29" s="51"/>
      <c r="J29" s="51"/>
      <c r="K29" s="51"/>
      <c r="L29" s="51"/>
      <c r="M29" s="51"/>
      <c r="N29" s="51"/>
      <c r="O29" s="51"/>
      <c r="P29" s="78"/>
    </row>
    <row r="30" ht="17.25">
      <c r="A30" s="241"/>
      <c r="B30" s="27" t="s">
        <v>35</v>
      </c>
      <c r="C30" s="24"/>
      <c r="D30" s="24"/>
      <c r="E30" s="24"/>
      <c r="F30" s="24"/>
      <c r="G30" s="24"/>
      <c r="H30" s="24"/>
      <c r="I30" s="24"/>
      <c r="J30" s="24"/>
      <c r="K30" s="24"/>
      <c r="L30" s="24"/>
      <c r="M30" s="24"/>
      <c r="N30" s="24"/>
      <c r="O30" s="24"/>
      <c r="P30" s="24"/>
    </row>
    <row r="31" ht="17.65" s="22" customFormat="1">
      <c r="A31" s="241"/>
      <c r="B31" s="30" t="s">
        <v>36</v>
      </c>
      <c r="C31" s="53"/>
      <c r="D31" s="53"/>
      <c r="E31" s="53"/>
      <c r="F31" s="53"/>
      <c r="G31" s="53"/>
      <c r="H31" s="53"/>
      <c r="I31" s="53"/>
      <c r="J31" s="53"/>
      <c r="K31" s="53"/>
      <c r="L31" s="53"/>
      <c r="M31" s="53"/>
      <c r="N31" s="53"/>
      <c r="O31" s="53"/>
      <c r="P31" s="79"/>
    </row>
    <row r="32" ht="17.25">
      <c r="A32" s="241"/>
      <c r="B32" s="11" t="s">
        <v>37</v>
      </c>
      <c r="C32" s="25"/>
      <c r="D32" s="25"/>
      <c r="E32" s="25"/>
      <c r="F32" s="25"/>
      <c r="G32" s="25"/>
      <c r="H32" s="25"/>
      <c r="I32" s="25"/>
      <c r="J32" s="25"/>
      <c r="K32" s="25"/>
      <c r="L32" s="25"/>
      <c r="M32" s="25"/>
      <c r="N32" s="25"/>
      <c r="O32" s="25"/>
      <c r="P32" s="25"/>
    </row>
    <row r="33" ht="17.65" s="22" customFormat="1">
      <c r="A33" s="241"/>
      <c r="B33" s="30" t="s">
        <v>38</v>
      </c>
      <c r="C33" s="51"/>
      <c r="D33" s="51"/>
      <c r="E33" s="51"/>
      <c r="F33" s="51"/>
      <c r="G33" s="51"/>
      <c r="H33" s="51"/>
      <c r="I33" s="51"/>
      <c r="J33" s="51"/>
      <c r="K33" s="51"/>
      <c r="L33" s="51"/>
      <c r="M33" s="51"/>
      <c r="N33" s="51"/>
      <c r="O33" s="51"/>
      <c r="P33" s="78"/>
    </row>
    <row r="34" ht="17.25">
      <c r="A34" s="241"/>
      <c r="B34" s="27" t="s">
        <v>39</v>
      </c>
      <c r="C34" s="24"/>
      <c r="D34" s="24"/>
      <c r="E34" s="24"/>
      <c r="F34" s="24"/>
      <c r="G34" s="24"/>
      <c r="H34" s="24"/>
      <c r="I34" s="24"/>
      <c r="J34" s="24"/>
      <c r="K34" s="24"/>
      <c r="L34" s="24"/>
      <c r="M34" s="24"/>
      <c r="N34" s="24"/>
      <c r="O34" s="24"/>
      <c r="P34" s="24"/>
      <c r="U34" s="22"/>
    </row>
    <row r="35" ht="17.65" s="22" customFormat="1">
      <c r="A35" s="241"/>
      <c r="B35" s="28" t="s">
        <v>40</v>
      </c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78"/>
      <c r="U35" s="21"/>
    </row>
    <row r="36" ht="17.25">
      <c r="A36" s="241"/>
      <c r="B36" s="11" t="s">
        <v>41</v>
      </c>
      <c r="C36" s="25"/>
      <c r="D36" s="25"/>
      <c r="E36" s="25"/>
      <c r="F36" s="25"/>
      <c r="G36" s="25"/>
      <c r="H36" s="25"/>
      <c r="I36" s="25"/>
      <c r="J36" s="25"/>
      <c r="K36" s="25"/>
      <c r="L36" s="25"/>
      <c r="M36" s="25"/>
      <c r="N36" s="25"/>
      <c r="O36" s="25"/>
      <c r="P36" s="25"/>
    </row>
    <row r="37" ht="17.65" s="22" customFormat="1">
      <c r="A37" s="241"/>
      <c r="B37" s="28" t="s">
        <v>42</v>
      </c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78"/>
    </row>
    <row r="38" ht="17.25">
      <c r="A38" s="241"/>
      <c r="B38" s="11" t="s">
        <v>43</v>
      </c>
      <c r="C38" s="25"/>
      <c r="D38" s="25"/>
      <c r="E38" s="25"/>
      <c r="F38" s="25"/>
      <c r="G38" s="25"/>
      <c r="H38" s="25"/>
      <c r="I38" s="25"/>
      <c r="J38" s="25"/>
      <c r="K38" s="25"/>
      <c r="L38" s="25"/>
      <c r="M38" s="25"/>
      <c r="N38" s="25"/>
      <c r="O38" s="25"/>
      <c r="P38" s="25"/>
    </row>
    <row r="39" ht="17.65" s="22" customFormat="1">
      <c r="A39" s="241"/>
      <c r="B39" s="28" t="s">
        <v>44</v>
      </c>
      <c r="C39" s="51"/>
      <c r="D39" s="51"/>
      <c r="E39" s="51"/>
      <c r="F39" s="51"/>
      <c r="G39" s="51"/>
      <c r="H39" s="51"/>
      <c r="I39" s="51"/>
      <c r="J39" s="51"/>
      <c r="K39" s="51"/>
      <c r="L39" s="51"/>
      <c r="M39" s="51"/>
      <c r="N39" s="51"/>
      <c r="O39" s="51"/>
      <c r="P39" s="78"/>
    </row>
    <row r="40" ht="17.25">
      <c r="A40" s="241"/>
      <c r="B40" s="11" t="s">
        <v>45</v>
      </c>
      <c r="C40" s="26"/>
      <c r="D40" s="26"/>
      <c r="E40" s="26"/>
      <c r="F40" s="26"/>
      <c r="G40" s="26"/>
      <c r="H40" s="26"/>
      <c r="I40" s="26"/>
      <c r="J40" s="26"/>
      <c r="K40" s="26"/>
      <c r="L40" s="26"/>
      <c r="M40" s="26"/>
      <c r="N40" s="26"/>
      <c r="O40" s="26"/>
      <c r="P40" s="26"/>
    </row>
    <row r="41" ht="17.65" s="22" customFormat="1">
      <c r="A41" s="241"/>
      <c r="B41" s="29" t="s">
        <v>46</v>
      </c>
      <c r="C41" s="51"/>
      <c r="D41" s="51"/>
      <c r="E41" s="51"/>
      <c r="F41" s="51"/>
      <c r="G41" s="51"/>
      <c r="H41" s="51"/>
      <c r="I41" s="51"/>
      <c r="J41" s="51"/>
      <c r="K41" s="51"/>
      <c r="L41" s="51"/>
      <c r="M41" s="51"/>
      <c r="N41" s="51"/>
      <c r="O41" s="51"/>
      <c r="P41" s="78"/>
    </row>
    <row r="42" ht="12.75" customHeight="1">
      <c r="A42" s="223" t="s">
        <v>47</v>
      </c>
      <c r="B42" s="232"/>
      <c r="C42" s="233"/>
      <c r="D42" s="233"/>
      <c r="E42" s="233"/>
      <c r="F42" s="233"/>
      <c r="G42" s="233"/>
      <c r="H42" s="233"/>
      <c r="I42" s="233"/>
      <c r="J42" s="233"/>
      <c r="K42" s="233"/>
      <c r="L42" s="233"/>
      <c r="M42" s="233"/>
      <c r="N42" s="233"/>
      <c r="O42" s="233"/>
      <c r="P42" s="234"/>
      <c r="Q42" s="22"/>
      <c r="R42" s="22"/>
      <c r="S42" s="22"/>
    </row>
    <row r="43" ht="13.15" customHeight="1">
      <c r="A43" s="224"/>
      <c r="B43" s="235"/>
      <c r="C43" s="236"/>
      <c r="D43" s="236"/>
      <c r="E43" s="236"/>
      <c r="F43" s="236"/>
      <c r="G43" s="236"/>
      <c r="H43" s="236"/>
      <c r="I43" s="236"/>
      <c r="J43" s="236"/>
      <c r="K43" s="236"/>
      <c r="L43" s="236"/>
      <c r="M43" s="236"/>
      <c r="N43" s="236"/>
      <c r="O43" s="236"/>
      <c r="P43" s="237"/>
      <c r="Q43" s="22"/>
      <c r="R43" s="22"/>
      <c r="S43" s="22"/>
    </row>
    <row r="44" ht="13.15" customHeight="1">
      <c r="A44" s="224"/>
      <c r="B44" s="235"/>
      <c r="C44" s="236"/>
      <c r="D44" s="236"/>
      <c r="E44" s="236"/>
      <c r="F44" s="236"/>
      <c r="G44" s="236"/>
      <c r="H44" s="236"/>
      <c r="I44" s="236"/>
      <c r="J44" s="236"/>
      <c r="K44" s="236"/>
      <c r="L44" s="236"/>
      <c r="M44" s="236"/>
      <c r="N44" s="236"/>
      <c r="O44" s="236"/>
      <c r="P44" s="237"/>
      <c r="Q44" s="22"/>
      <c r="R44" s="22"/>
      <c r="S44" s="22"/>
    </row>
    <row r="45" ht="13.9" customHeight="1">
      <c r="A45" s="225"/>
      <c r="B45" s="238"/>
      <c r="C45" s="239"/>
      <c r="D45" s="239"/>
      <c r="E45" s="239"/>
      <c r="F45" s="239"/>
      <c r="G45" s="239"/>
      <c r="H45" s="239"/>
      <c r="I45" s="239"/>
      <c r="J45" s="239"/>
      <c r="K45" s="239"/>
      <c r="L45" s="239"/>
      <c r="M45" s="239"/>
      <c r="N45" s="239"/>
      <c r="O45" s="239"/>
      <c r="P45" s="240"/>
      <c r="Q45" s="22"/>
      <c r="R45" s="22"/>
      <c r="S45" s="22"/>
    </row>
  </sheetData>
  <mergeCells>
    <mergeCell ref="C1:P1"/>
    <mergeCell ref="C16:H16"/>
    <mergeCell ref="I16:L16"/>
    <mergeCell ref="M16:O16"/>
    <mergeCell ref="B42:P45"/>
    <mergeCell ref="C12:H12"/>
    <mergeCell ref="I12:L12"/>
    <mergeCell ref="M12:O12"/>
    <mergeCell ref="C13:H13"/>
    <mergeCell ref="I13:L13"/>
    <mergeCell ref="M13:O13"/>
    <mergeCell ref="C14:H14"/>
    <mergeCell ref="I14:L14"/>
    <mergeCell ref="M14:O14"/>
    <mergeCell ref="C15:H15"/>
    <mergeCell ref="I15:L15"/>
    <mergeCell ref="M15:O15"/>
    <mergeCell ref="C10:H10"/>
    <mergeCell ref="I10:L10"/>
    <mergeCell ref="M10:O10"/>
    <mergeCell ref="C11:H11"/>
    <mergeCell ref="I11:L11"/>
    <mergeCell ref="M11:O11"/>
    <mergeCell ref="C8:H8"/>
    <mergeCell ref="I8:L8"/>
    <mergeCell ref="M8:O8"/>
    <mergeCell ref="C9:H9"/>
    <mergeCell ref="I9:L9"/>
    <mergeCell ref="M9:O9"/>
    <mergeCell ref="A1:B1"/>
    <mergeCell ref="A42:A45"/>
    <mergeCell ref="A36:A41"/>
    <mergeCell ref="A34:A35"/>
    <mergeCell ref="A3:A33"/>
    <mergeCell ref="C7:H7"/>
    <mergeCell ref="C2:H2"/>
    <mergeCell ref="I2:L2"/>
    <mergeCell ref="M2:O2"/>
    <mergeCell ref="I7:L7"/>
    <mergeCell ref="M7:O7"/>
    <mergeCell ref="C3:P3"/>
    <mergeCell ref="C4:P4"/>
    <mergeCell ref="C5:P5"/>
    <mergeCell ref="C6:P6"/>
  </mergeCells>
  <conditionalFormatting sqref="C22:E22 C4 H22:O22">
    <cfRule type="cellIs" dxfId="0" priority="43" operator="greaterThan">
      <formula>0</formula>
    </cfRule>
  </conditionalFormatting>
  <conditionalFormatting sqref="C21:E21 H21:O21">
    <cfRule type="expression" dxfId="1" priority="42">
      <formula>ISERROR(C21)</formula>
    </cfRule>
  </conditionalFormatting>
  <conditionalFormatting sqref="C21:E21 H21:O21">
    <cfRule type="cellIs" dxfId="1" priority="41" operator="equal">
      <formula>0</formula>
    </cfRule>
  </conditionalFormatting>
  <conditionalFormatting sqref="C21:E21 H21:O21">
    <cfRule type="cellIs" dxfId="3" priority="40" operator="greaterThan">
      <formula>0</formula>
    </cfRule>
  </conditionalFormatting>
  <conditionalFormatting sqref="C27:O27 D29:O29 D33:O33">
    <cfRule type="cellIs" dxfId="0" priority="39" operator="notEqual">
      <formula>VALUE(C26)</formula>
    </cfRule>
  </conditionalFormatting>
  <conditionalFormatting sqref="C8:O8 C10:O10 C12:O12 C14:O14 C16:O16 C27:O27 D29:O29 D31:O31 D33:O33 D35:O35 D37:O37 D25:O25 D39:O39 D41:O41">
    <cfRule type="expression" dxfId="10" priority="35">
      <formula>ISBLANK(C8)</formula>
    </cfRule>
  </conditionalFormatting>
  <conditionalFormatting sqref="C29">
    <cfRule type="cellIs" dxfId="0" priority="37" operator="notEqual">
      <formula>VALUE(C28)</formula>
    </cfRule>
  </conditionalFormatting>
  <conditionalFormatting sqref="C29">
    <cfRule type="expression" dxfId="10" priority="36">
      <formula>ISBLANK(C29)</formula>
    </cfRule>
  </conditionalFormatting>
  <conditionalFormatting sqref="C8:O8 C10:O10 C12:O12 C14:O14 C16:O16 C31:O31 D35:O35 D37:O37 D25:O25 D39:O39 D41:O41">
    <cfRule type="cellIs" dxfId="0" priority="38" operator="notEqual">
      <formula>C7</formula>
    </cfRule>
  </conditionalFormatting>
  <conditionalFormatting sqref="C31">
    <cfRule type="expression" dxfId="10" priority="34">
      <formula>ISBLANK(C31)</formula>
    </cfRule>
  </conditionalFormatting>
  <conditionalFormatting sqref="C33">
    <cfRule type="cellIs" dxfId="0" priority="33" operator="notEqual">
      <formula>VALUE(C32)</formula>
    </cfRule>
  </conditionalFormatting>
  <conditionalFormatting sqref="C33">
    <cfRule type="expression" dxfId="10" priority="32">
      <formula>ISBLANK(C33)</formula>
    </cfRule>
  </conditionalFormatting>
  <conditionalFormatting sqref="C35">
    <cfRule type="cellIs" dxfId="0" priority="31" operator="notEqual">
      <formula>C34</formula>
    </cfRule>
  </conditionalFormatting>
  <conditionalFormatting sqref="C35">
    <cfRule type="expression" dxfId="10" priority="30">
      <formula>ISBLANK(C35)</formula>
    </cfRule>
  </conditionalFormatting>
  <conditionalFormatting sqref="C37">
    <cfRule type="cellIs" dxfId="0" priority="29" operator="notEqual">
      <formula>C36</formula>
    </cfRule>
  </conditionalFormatting>
  <conditionalFormatting sqref="C37">
    <cfRule type="expression" dxfId="10" priority="28">
      <formula>ISBLANK(C37)</formula>
    </cfRule>
  </conditionalFormatting>
  <conditionalFormatting sqref="C6">
    <cfRule type="expression" dxfId="10" priority="26">
      <formula>ISBLANK(C6)</formula>
    </cfRule>
    <cfRule type="cellIs" dxfId="0" priority="27" operator="notEqual">
      <formula>C5</formula>
    </cfRule>
  </conditionalFormatting>
  <conditionalFormatting sqref="C25">
    <cfRule type="cellIs" dxfId="0" priority="25" operator="notEqual">
      <formula>C24</formula>
    </cfRule>
  </conditionalFormatting>
  <conditionalFormatting sqref="C25">
    <cfRule type="expression" dxfId="10" priority="24">
      <formula>ISBLANK(C25)</formula>
    </cfRule>
  </conditionalFormatting>
  <conditionalFormatting sqref="C39">
    <cfRule type="cellIs" dxfId="0" priority="23" operator="notEqual">
      <formula>C38</formula>
    </cfRule>
  </conditionalFormatting>
  <conditionalFormatting sqref="C39">
    <cfRule type="expression" dxfId="10" priority="22">
      <formula>ISBLANK(C39)</formula>
    </cfRule>
  </conditionalFormatting>
  <conditionalFormatting sqref="C41">
    <cfRule type="cellIs" dxfId="0" priority="21" operator="notEqual">
      <formula>C40</formula>
    </cfRule>
  </conditionalFormatting>
  <conditionalFormatting sqref="C41">
    <cfRule type="expression" dxfId="10" priority="20">
      <formula>ISBLANK(C41)</formula>
    </cfRule>
  </conditionalFormatting>
  <conditionalFormatting sqref="C24:O41">
    <cfRule type="expression" dxfId="1" priority="19" stopIfTrue="1">
      <formula>OR(C$22="Free",C$22="Telenor",C$22="Mtel",C$22="Telenor&amp;Mtel")</formula>
    </cfRule>
  </conditionalFormatting>
  <conditionalFormatting sqref="F22:G22">
    <cfRule type="cellIs" dxfId="0" priority="18" operator="greaterThan">
      <formula>0</formula>
    </cfRule>
  </conditionalFormatting>
  <conditionalFormatting sqref="F21:G21">
    <cfRule type="expression" dxfId="1" priority="17">
      <formula>ISERROR(F21)</formula>
    </cfRule>
  </conditionalFormatting>
  <conditionalFormatting sqref="F21:G21">
    <cfRule type="cellIs" dxfId="1" priority="16" operator="equal">
      <formula>0</formula>
    </cfRule>
  </conditionalFormatting>
  <conditionalFormatting sqref="F21:G21">
    <cfRule type="cellIs" dxfId="3" priority="15" operator="greaterThan">
      <formula>0</formula>
    </cfRule>
  </conditionalFormatting>
  <conditionalFormatting sqref="P22">
    <cfRule type="cellIs" dxfId="0" priority="14" operator="greaterThan">
      <formula>0</formula>
    </cfRule>
  </conditionalFormatting>
  <conditionalFormatting sqref="P21">
    <cfRule type="expression" dxfId="1" priority="13">
      <formula>ISERROR(P21)</formula>
    </cfRule>
  </conditionalFormatting>
  <conditionalFormatting sqref="P21">
    <cfRule type="cellIs" dxfId="1" priority="12" operator="equal">
      <formula>0</formula>
    </cfRule>
  </conditionalFormatting>
  <conditionalFormatting sqref="P21">
    <cfRule type="cellIs" dxfId="3" priority="11" operator="greaterThan">
      <formula>0</formula>
    </cfRule>
  </conditionalFormatting>
  <conditionalFormatting sqref="P27 P29 P33">
    <cfRule type="cellIs" dxfId="0" priority="10" operator="notEqual">
      <formula>VALUE(P26)</formula>
    </cfRule>
  </conditionalFormatting>
  <conditionalFormatting sqref="P8 P10 P12 P14 P16 P27 P29 P31 P33 P35 P37 P25 P39 P41">
    <cfRule type="expression" dxfId="10" priority="8">
      <formula>ISBLANK(P8)</formula>
    </cfRule>
  </conditionalFormatting>
  <conditionalFormatting sqref="P8 P10 P12 P14 P16 P31 P35 P37 P25 P39 P41">
    <cfRule type="cellIs" dxfId="0" priority="9" operator="notEqual">
      <formula>P7</formula>
    </cfRule>
  </conditionalFormatting>
  <conditionalFormatting sqref="P24:P41">
    <cfRule type="expression" dxfId="1" priority="7" stopIfTrue="1">
      <formula>OR(P$22="Free",P$22="Telenor",P$22="Mtel",P$22="Telenor&amp;Mtel")</formula>
    </cfRule>
  </conditionalFormatting>
  <conditionalFormatting sqref="C19">
    <cfRule type="cellIs" dxfId="1" priority="4" operator="equal">
      <formula>0</formula>
    </cfRule>
    <cfRule type="expression" dxfId="1" priority="6">
      <formula>ISERROR(C19)</formula>
    </cfRule>
  </conditionalFormatting>
  <conditionalFormatting sqref="D19:P19">
    <cfRule type="cellIs" dxfId="1" priority="2" operator="equal">
      <formula>0</formula>
    </cfRule>
    <cfRule type="expression" dxfId="1" priority="3">
      <formula>ISERROR(D19)</formula>
    </cfRule>
  </conditionalFormatting>
  <conditionalFormatting sqref="C23:P23">
    <cfRule type="cellIs" dxfId="0" priority="1" operator="greaterThan">
      <formula>0</formula>
    </cfRule>
  </conditionalFormatting>
  <dataValidations count="165">
    <dataValidation type="list" xr:uid="{62CB6A88-F910-43BE-A7D7-859FD3F55688}" sqref="C2" showErrorMessage="1" errorTitle="An invalid feedback was entered" error="Please choose feedback from drop down only.">
      <formula1>"1,2,3"</formula1>
    </dataValidation>
    <dataValidation type="list" xr:uid="{D9FA291A-2619-46FC-8389-F1A283EA9186}" sqref="D2" showErrorMessage="1" errorTitle="An invalid feedback was entered" error="Please choose feedback from drop down only.">
      <formula1>"1,2,3"</formula1>
    </dataValidation>
    <dataValidation type="list" xr:uid="{61DD8922-056C-45B5-B0DF-3759F5E96AFE}" sqref="E2" showErrorMessage="1" errorTitle="An invalid feedback was entered" error="Please choose feedback from drop down only.">
      <formula1>"1,2,3"</formula1>
    </dataValidation>
    <dataValidation type="list" xr:uid="{952772A3-5E25-41D9-AB5C-F849B462D429}" sqref="F2" showErrorMessage="1" errorTitle="An invalid feedback was entered" error="Please choose feedback from drop down only.">
      <formula1>"1,2,3"</formula1>
    </dataValidation>
    <dataValidation type="list" xr:uid="{ED8478DE-57E3-4D00-8B54-3E9398C70C7A}" sqref="G2" showErrorMessage="1" errorTitle="An invalid feedback was entered" error="Please choose feedback from drop down only.">
      <formula1>"1,2,3"</formula1>
    </dataValidation>
    <dataValidation type="list" xr:uid="{136E168A-1575-49E0-B847-3973F153761D}" sqref="H2" showErrorMessage="1" errorTitle="An invalid feedback was entered" error="Please choose feedback from drop down only.">
      <formula1>"1,2,3"</formula1>
    </dataValidation>
    <dataValidation type="list" xr:uid="{87EB0615-64AD-460E-891B-67E7C585F66C}" sqref="I2" showErrorMessage="1" errorTitle="An invalid feedback was entered" error="Please choose feedback from drop down only.">
      <formula1>"1,2,3"</formula1>
    </dataValidation>
    <dataValidation type="list" xr:uid="{C21FE3FB-737A-43C3-B5F0-B7333E61C50E}" sqref="J2" showErrorMessage="1" errorTitle="An invalid feedback was entered" error="Please choose feedback from drop down only.">
      <formula1>"1,2,3"</formula1>
    </dataValidation>
    <dataValidation type="list" xr:uid="{92ECACC8-E8EB-449A-BDE7-330BFDF4AFB8}" sqref="K2" showErrorMessage="1" errorTitle="An invalid feedback was entered" error="Please choose feedback from drop down only.">
      <formula1>"1,2,3"</formula1>
    </dataValidation>
    <dataValidation type="list" xr:uid="{A32B4E6A-F896-4A61-83D2-7FBFD933669B}" sqref="L2" showErrorMessage="1" errorTitle="An invalid feedback was entered" error="Please choose feedback from drop down only.">
      <formula1>"1,2,3"</formula1>
    </dataValidation>
    <dataValidation type="list" xr:uid="{613A1653-8ED0-4245-8E0C-7443E2480D4F}" sqref="M2" showErrorMessage="1" errorTitle="An invalid feedback was entered" error="Please choose feedback from drop down only.">
      <formula1>"1,2,3"</formula1>
    </dataValidation>
    <dataValidation type="list" xr:uid="{5ACFBF41-522E-4C74-87F2-1000D9C52A35}" sqref="N2" showErrorMessage="1" errorTitle="An invalid feedback was entered" error="Please choose feedback from drop down only.">
      <formula1>"1,2,3"</formula1>
    </dataValidation>
    <dataValidation type="list" xr:uid="{3FDFF5AD-0C19-465E-A58B-BD9EE59E0AEF}" sqref="O2" showErrorMessage="1" errorTitle="An invalid feedback was entered" error="Please choose feedback from drop down only.">
      <formula1>"1,2,3"</formula1>
    </dataValidation>
    <dataValidation type="list" xr:uid="{E4D974DC-ED7C-4302-BE83-8D253538F613}" sqref="P2" showErrorMessage="1" errorTitle="An invalid feedback was entered" error="Please choose feedback from drop down only.">
      <formula1>"1,2,3"</formula1>
    </dataValidation>
    <dataValidation type="list" xr:uid="{BDDD4277-ABFA-497A-B0FC-ED1141512175}" sqref="Q2" showErrorMessage="1" errorTitle="An invalid feedback was entered" error="Please choose feedback from drop down only.">
      <formula1>"1,2,3"</formula1>
    </dataValidation>
    <dataValidation type="list" xr:uid="{DEE8A535-6712-4953-9769-547CF2AAC76F}" sqref="C17" showErrorMessage="1" errorTitle="An invalid feedback was entered" error="Please choose feedback from drop down only.">
      <formula1>"1-2,3-4,5-6,7-8,9-10,N/A"</formula1>
    </dataValidation>
    <dataValidation type="list" xr:uid="{E588385B-94E0-4902-9157-9C54BE7C273D}" sqref="D17" showErrorMessage="1" errorTitle="An invalid feedback was entered" error="Please choose feedback from drop down only.">
      <formula1>"1-2,3-4,5-6,7-8,9-10,N/A"</formula1>
    </dataValidation>
    <dataValidation type="list" xr:uid="{1A60E9DA-23F4-4D6F-A878-2123F6414784}" sqref="E17" showErrorMessage="1" errorTitle="An invalid feedback was entered" error="Please choose feedback from drop down only.">
      <formula1>"1-2,3-4,5-6,7-8,9-10,N/A"</formula1>
    </dataValidation>
    <dataValidation type="list" xr:uid="{6A8D2A82-3F3A-4BD3-8782-321FC6652AE9}" sqref="F17" showErrorMessage="1" errorTitle="An invalid feedback was entered" error="Please choose feedback from drop down only.">
      <formula1>"1-2,3-4,5-6,7-8,9-10,N/A"</formula1>
    </dataValidation>
    <dataValidation type="list" xr:uid="{87737DFE-4797-4B87-BDD5-FC4A57076141}" sqref="G17" showErrorMessage="1" errorTitle="An invalid feedback was entered" error="Please choose feedback from drop down only.">
      <formula1>"1-2,3-4,5-6,7-8,9-10,N/A"</formula1>
    </dataValidation>
    <dataValidation type="list" xr:uid="{85925AA7-3646-4B83-A94B-793A5B24D3C5}" sqref="H17" showErrorMessage="1" errorTitle="An invalid feedback was entered" error="Please choose feedback from drop down only.">
      <formula1>"1-2,3-4,5-6,7-8,9-10,N/A"</formula1>
    </dataValidation>
    <dataValidation type="list" xr:uid="{7626D7D4-F471-4158-9ECC-CCC93B1C2854}" sqref="I17" showErrorMessage="1" errorTitle="An invalid feedback was entered" error="Please choose feedback from drop down only.">
      <formula1>"1-2,3-4,5-6,7-8,9-10,N/A"</formula1>
    </dataValidation>
    <dataValidation type="list" xr:uid="{71B1570E-E29E-4E6A-AB61-B9F20B3679F8}" sqref="J17" showErrorMessage="1" errorTitle="An invalid feedback was entered" error="Please choose feedback from drop down only.">
      <formula1>"1-2,3-4,5-6,7-8,9-10,N/A"</formula1>
    </dataValidation>
    <dataValidation type="list" xr:uid="{6E1CCA97-FC8D-4A4F-830A-4B0C8497526D}" sqref="K17" showErrorMessage="1" errorTitle="An invalid feedback was entered" error="Please choose feedback from drop down only.">
      <formula1>"1-2,3-4,5-6,7-8,9-10,N/A"</formula1>
    </dataValidation>
    <dataValidation type="list" xr:uid="{E47FF2D0-5919-4E52-B75A-9A2A52BF9EC1}" sqref="L17" showErrorMessage="1" errorTitle="An invalid feedback was entered" error="Please choose feedback from drop down only.">
      <formula1>"1-2,3-4,5-6,7-8,9-10,N/A"</formula1>
    </dataValidation>
    <dataValidation type="list" xr:uid="{19C92035-03BA-4D2B-A2EC-67ED49C15481}" sqref="M17" showErrorMessage="1" errorTitle="An invalid feedback was entered" error="Please choose feedback from drop down only.">
      <formula1>"1-2,3-4,5-6,7-8,9-10,N/A"</formula1>
    </dataValidation>
    <dataValidation type="list" xr:uid="{D361E504-FD38-495E-92F3-EDFF6979286B}" sqref="N17" showErrorMessage="1" errorTitle="An invalid feedback was entered" error="Please choose feedback from drop down only.">
      <formula1>"1-2,3-4,5-6,7-8,9-10,N/A"</formula1>
    </dataValidation>
    <dataValidation type="list" xr:uid="{78095FF5-7C2D-46B4-B313-B89FCEB31822}" sqref="O17" showErrorMessage="1" errorTitle="An invalid feedback was entered" error="Please choose feedback from drop down only.">
      <formula1>"1-2,3-4,5-6,7-8,9-10,N/A"</formula1>
    </dataValidation>
    <dataValidation type="list" xr:uid="{AAB81AAA-56E8-4E0B-AE41-44268B1798E3}" sqref="P17" showErrorMessage="1" errorTitle="An invalid feedback was entered" error="Please choose feedback from drop down only.">
      <formula1>"1-2,3-4,5-6,7-8,9-10,N/A"</formula1>
    </dataValidation>
    <dataValidation type="list" xr:uid="{62B74DB4-0F17-4182-83C5-22D54B4D1F94}" sqref="Q17" showErrorMessage="1" errorTitle="An invalid feedback was entered" error="Please choose feedback from drop down only.">
      <formula1>"1-2,3-4,5-6,7-8,9-10,N/A"</formula1>
    </dataValidation>
    <dataValidation type="list" xr:uid="{74B1EA9E-8C05-4735-B602-F7DB318EA80C}" sqref="C10" showErrorMessage="1" errorTitle="An invalid feedback was entered" error="Please choose feedback from drop down only.">
      <formula1>"STK Top,STK Bottom,STKx2,DTK Top,DTK Bottom,DTKx2,None"</formula1>
    </dataValidation>
    <dataValidation type="list" xr:uid="{139B0CF8-8E57-4525-8125-64111E59776A}" sqref="D10" showErrorMessage="1" errorTitle="An invalid feedback was entered" error="Please choose feedback from drop down only.">
      <formula1>"STK Top,STK Bottom,STKx2,DTK Top,DTK Bottom,DTKx2,None"</formula1>
    </dataValidation>
    <dataValidation type="list" xr:uid="{33504162-1F42-4E55-9ECD-D55C62DCDB5D}" sqref="E10" showErrorMessage="1" errorTitle="An invalid feedback was entered" error="Please choose feedback from drop down only.">
      <formula1>"STK Top,STK Bottom,STKx2,DTK Top,DTK Bottom,DTKx2,None"</formula1>
    </dataValidation>
    <dataValidation type="list" xr:uid="{13764F67-883B-49BB-9A5B-DCF2E4AE0C96}" sqref="F10" showErrorMessage="1" errorTitle="An invalid feedback was entered" error="Please choose feedback from drop down only.">
      <formula1>"STK Top,STK Bottom,STKx2,DTK Top,DTK Bottom,DTKx2,None"</formula1>
    </dataValidation>
    <dataValidation type="list" xr:uid="{830DD5DA-D818-4309-A58A-4A8FFB2CFD73}" sqref="G10" showErrorMessage="1" errorTitle="An invalid feedback was entered" error="Please choose feedback from drop down only.">
      <formula1>"STK Top,STK Bottom,STKx2,DTK Top,DTK Bottom,DTKx2,None"</formula1>
    </dataValidation>
    <dataValidation type="list" xr:uid="{273F872D-3FB1-4477-A399-A570E6EC71F9}" sqref="H10" showErrorMessage="1" errorTitle="An invalid feedback was entered" error="Please choose feedback from drop down only.">
      <formula1>"STK Top,STK Bottom,STKx2,DTK Top,DTK Bottom,DTKx2,None"</formula1>
    </dataValidation>
    <dataValidation type="list" xr:uid="{D29C547F-8755-487B-86D6-7E04FBB9841A}" sqref="I10" showErrorMessage="1" errorTitle="An invalid feedback was entered" error="Please choose feedback from drop down only.">
      <formula1>"STK Top,STK Bottom,STKx2,DTK Top,DTK Bottom,DTKx2,None"</formula1>
    </dataValidation>
    <dataValidation type="list" xr:uid="{7065379D-9F23-4291-83C5-D8701FC2F154}" sqref="J10" showErrorMessage="1" errorTitle="An invalid feedback was entered" error="Please choose feedback from drop down only.">
      <formula1>"STK Top,STK Bottom,STKx2,DTK Top,DTK Bottom,DTKx2,None"</formula1>
    </dataValidation>
    <dataValidation type="list" xr:uid="{3FC6C17A-1F35-4A8E-84B9-78AEA65A68DF}" sqref="K10" showErrorMessage="1" errorTitle="An invalid feedback was entered" error="Please choose feedback from drop down only.">
      <formula1>"STK Top,STK Bottom,STKx2,DTK Top,DTK Bottom,DTKx2,None"</formula1>
    </dataValidation>
    <dataValidation type="list" xr:uid="{8CC39E97-6224-4EE4-B7C3-1DCF73867CCC}" sqref="L10" showErrorMessage="1" errorTitle="An invalid feedback was entered" error="Please choose feedback from drop down only.">
      <formula1>"STK Top,STK Bottom,STKx2,DTK Top,DTK Bottom,DTKx2,None"</formula1>
    </dataValidation>
    <dataValidation type="list" xr:uid="{275573B4-AA4B-46D9-BBEF-90E23C36EECF}" sqref="M10" showErrorMessage="1" errorTitle="An invalid feedback was entered" error="Please choose feedback from drop down only.">
      <formula1>"STK Top,STK Bottom,STKx2,DTK Top,DTK Bottom,DTKx2,None"</formula1>
    </dataValidation>
    <dataValidation type="list" xr:uid="{CDE3C71A-9F9A-416B-92C9-50C8C2DA123C}" sqref="N10" showErrorMessage="1" errorTitle="An invalid feedback was entered" error="Please choose feedback from drop down only.">
      <formula1>"STK Top,STK Bottom,STKx2,DTK Top,DTK Bottom,DTKx2,None"</formula1>
    </dataValidation>
    <dataValidation type="list" xr:uid="{1FAC0B7F-ED95-4959-B26E-DD5E383F4150}" sqref="O10" showErrorMessage="1" errorTitle="An invalid feedback was entered" error="Please choose feedback from drop down only.">
      <formula1>"STK Top,STK Bottom,STKx2,DTK Top,DTK Bottom,DTKx2,None"</formula1>
    </dataValidation>
    <dataValidation type="list" xr:uid="{B636C02A-CD54-4F22-901D-D021C1E6C6A6}" sqref="P10" showErrorMessage="1" errorTitle="An invalid feedback was entered" error="Please choose feedback from drop down only.">
      <formula1>"STK Top,STK Bottom,STKx2,DTK Top,DTK Bottom,DTKx2,None"</formula1>
    </dataValidation>
    <dataValidation type="list" xr:uid="{82796C52-3F2B-4F0D-8692-1E97AF4D4930}" sqref="Q10" showErrorMessage="1" errorTitle="An invalid feedback was entered" error="Please choose feedback from drop down only.">
      <formula1>"STK Top,STK Bottom,STKx2,DTK Top,DTK Bottom,DTKx2,None"</formula1>
    </dataValidation>
    <dataValidation type="list" xr:uid="{7FB1F509-858F-47DC-A386-DEE006CFE375}" sqref="C23" showErrorMessage="1" errorTitle="An invalid feedback was entered" error="Please choose feedback from drop down only.">
      <formula1>"Yetel,Bulsatcom,A1,Yetel&amp;A1,N/A"</formula1>
    </dataValidation>
    <dataValidation type="list" xr:uid="{52D5503D-73BC-4D90-BC68-96FD99B1792B}" sqref="D23" showErrorMessage="1" errorTitle="An invalid feedback was entered" error="Please choose feedback from drop down only.">
      <formula1>"Yetel,Bulsatcom,A1,Yetel&amp;A1,N/A"</formula1>
    </dataValidation>
    <dataValidation type="list" xr:uid="{646C105C-36FE-4681-A599-6AC745420D3F}" sqref="E23" showErrorMessage="1" errorTitle="An invalid feedback was entered" error="Please choose feedback from drop down only.">
      <formula1>"Yetel,Bulsatcom,A1,Yetel&amp;A1,N/A"</formula1>
    </dataValidation>
    <dataValidation type="list" xr:uid="{7F9D1764-6825-45C2-965B-C164270B08E5}" sqref="F23" showErrorMessage="1" errorTitle="An invalid feedback was entered" error="Please choose feedback from drop down only.">
      <formula1>"Yetel,Bulsatcom,A1,Yetel&amp;A1,N/A"</formula1>
    </dataValidation>
    <dataValidation type="list" xr:uid="{18CF5573-F8EA-41D4-A87A-DACD403E5C60}" sqref="G23" showErrorMessage="1" errorTitle="An invalid feedback was entered" error="Please choose feedback from drop down only.">
      <formula1>"Yetel,Bulsatcom,A1,Yetel&amp;A1,N/A"</formula1>
    </dataValidation>
    <dataValidation type="list" xr:uid="{0258AEEF-FE23-4FCE-B7D9-D7AAE4AD0F5D}" sqref="H23" showErrorMessage="1" errorTitle="An invalid feedback was entered" error="Please choose feedback from drop down only.">
      <formula1>"Yetel,Bulsatcom,A1,Yetel&amp;A1,N/A"</formula1>
    </dataValidation>
    <dataValidation type="list" xr:uid="{AD872048-CFA2-4F7D-9D45-C48871C9C47F}" sqref="I23" showErrorMessage="1" errorTitle="An invalid feedback was entered" error="Please choose feedback from drop down only.">
      <formula1>"Yetel,Bulsatcom,A1,Yetel&amp;A1,N/A"</formula1>
    </dataValidation>
    <dataValidation type="list" xr:uid="{ED191FF9-7840-4484-83B0-94D73EE556E2}" sqref="J23" showErrorMessage="1" errorTitle="An invalid feedback was entered" error="Please choose feedback from drop down only.">
      <formula1>"Yetel,Bulsatcom,A1,Yetel&amp;A1,N/A"</formula1>
    </dataValidation>
    <dataValidation type="list" xr:uid="{65F7D98F-61AB-4AD5-8D8E-C7257FDB090E}" sqref="K23" showErrorMessage="1" errorTitle="An invalid feedback was entered" error="Please choose feedback from drop down only.">
      <formula1>"Yetel,Bulsatcom,A1,Yetel&amp;A1,N/A"</formula1>
    </dataValidation>
    <dataValidation type="list" xr:uid="{35F1EC58-5447-4CBC-B9BD-416C33CCB6AC}" sqref="L23" showErrorMessage="1" errorTitle="An invalid feedback was entered" error="Please choose feedback from drop down only.">
      <formula1>"Yetel,Bulsatcom,A1,Yetel&amp;A1,N/A"</formula1>
    </dataValidation>
    <dataValidation type="list" xr:uid="{5B976472-29CE-427B-88D5-9A095493F63D}" sqref="M23" showErrorMessage="1" errorTitle="An invalid feedback was entered" error="Please choose feedback from drop down only.">
      <formula1>"Yetel,Bulsatcom,A1,Yetel&amp;A1,N/A"</formula1>
    </dataValidation>
    <dataValidation type="list" xr:uid="{76585DB6-96DD-4AA7-80F2-E33EADBED501}" sqref="N23" showErrorMessage="1" errorTitle="An invalid feedback was entered" error="Please choose feedback from drop down only.">
      <formula1>"Yetel,Bulsatcom,A1,Yetel&amp;A1,N/A"</formula1>
    </dataValidation>
    <dataValidation type="list" xr:uid="{E8F86C60-648C-415E-AA73-0E871540B38C}" sqref="O23" showErrorMessage="1" errorTitle="An invalid feedback was entered" error="Please choose feedback from drop down only.">
      <formula1>"Yetel,Bulsatcom,A1,Yetel&amp;A1,N/A"</formula1>
    </dataValidation>
    <dataValidation type="list" xr:uid="{F6E1FEE9-4308-48D8-9559-C6604E33E080}" sqref="P23" showErrorMessage="1" errorTitle="An invalid feedback was entered" error="Please choose feedback from drop down only.">
      <formula1>"Yetel,Bulsatcom,A1,Yetel&amp;A1,N/A"</formula1>
    </dataValidation>
    <dataValidation type="list" xr:uid="{91309494-0108-4DD9-9E09-594CF6CA2E0D}" sqref="Q23" showErrorMessage="1" errorTitle="An invalid feedback was entered" error="Please choose feedback from drop down only.">
      <formula1>"Yetel,Bulsatcom,A1,Yetel&amp;A1,N/A"</formula1>
    </dataValidation>
    <dataValidation type="list" xr:uid="{92257FC5-B5AF-497A-A3B1-E91FAB95A5CA}" sqref="C31" showErrorMessage="1" errorTitle="An invalid feedback was entered" error="Please choose feedback from drop down only.">
      <formula1>"1/2,5/4,7/8,RRU TOP JUMPER,N/A"</formula1>
    </dataValidation>
    <dataValidation type="list" xr:uid="{DA7D8FF4-B987-44E9-8768-014688253448}" sqref="D31" showErrorMessage="1" errorTitle="An invalid feedback was entered" error="Please choose feedback from drop down only.">
      <formula1>"1/2,5/4,7/8,RRU TOP JUMPER,N/A"</formula1>
    </dataValidation>
    <dataValidation type="list" xr:uid="{07DF2065-C97F-4243-9EEE-F9582B4E4598}" sqref="E31" showErrorMessage="1" errorTitle="An invalid feedback was entered" error="Please choose feedback from drop down only.">
      <formula1>"1/2,5/4,7/8,RRU TOP JUMPER,N/A"</formula1>
    </dataValidation>
    <dataValidation type="list" xr:uid="{C2F46DBD-EE75-45CD-8B71-6A696319547B}" sqref="F31" showErrorMessage="1" errorTitle="An invalid feedback was entered" error="Please choose feedback from drop down only.">
      <formula1>"1/2,5/4,7/8,RRU TOP JUMPER,N/A"</formula1>
    </dataValidation>
    <dataValidation type="list" xr:uid="{1ABD39FD-D36E-4F31-962C-83E12C5D1334}" sqref="G31" showErrorMessage="1" errorTitle="An invalid feedback was entered" error="Please choose feedback from drop down only.">
      <formula1>"1/2,5/4,7/8,RRU TOP JUMPER,N/A"</formula1>
    </dataValidation>
    <dataValidation type="list" xr:uid="{346B9F66-AE67-41AE-B2A8-0C81C36F7CF7}" sqref="H31" showErrorMessage="1" errorTitle="An invalid feedback was entered" error="Please choose feedback from drop down only.">
      <formula1>"1/2,5/4,7/8,RRU TOP JUMPER,N/A"</formula1>
    </dataValidation>
    <dataValidation type="list" xr:uid="{D3B28C45-2708-4E9F-BA43-CEB5ABB79021}" sqref="I31" showErrorMessage="1" errorTitle="An invalid feedback was entered" error="Please choose feedback from drop down only.">
      <formula1>"1/2,5/4,7/8,RRU TOP JUMPER,N/A"</formula1>
    </dataValidation>
    <dataValidation type="list" xr:uid="{7BD0C4EE-4624-4973-B28B-5D3A3E808175}" sqref="J31" showErrorMessage="1" errorTitle="An invalid feedback was entered" error="Please choose feedback from drop down only.">
      <formula1>"1/2,5/4,7/8,RRU TOP JUMPER,N/A"</formula1>
    </dataValidation>
    <dataValidation type="list" xr:uid="{FFF7DEFB-4D21-45CB-BF1C-051E7573088C}" sqref="K31" showErrorMessage="1" errorTitle="An invalid feedback was entered" error="Please choose feedback from drop down only.">
      <formula1>"1/2,5/4,7/8,RRU TOP JUMPER,N/A"</formula1>
    </dataValidation>
    <dataValidation type="list" xr:uid="{79B8CEA5-3E32-4BC5-B778-9B96BAB6C5A3}" sqref="L31" showErrorMessage="1" errorTitle="An invalid feedback was entered" error="Please choose feedback from drop down only.">
      <formula1>"1/2,5/4,7/8,RRU TOP JUMPER,N/A"</formula1>
    </dataValidation>
    <dataValidation type="list" xr:uid="{3B0368E3-F826-41F2-ADB6-356296035BA5}" sqref="M31" showErrorMessage="1" errorTitle="An invalid feedback was entered" error="Please choose feedback from drop down only.">
      <formula1>"1/2,5/4,7/8,RRU TOP JUMPER,N/A"</formula1>
    </dataValidation>
    <dataValidation type="list" xr:uid="{59B18576-6ED4-47D0-A898-69955879B207}" sqref="N31" showErrorMessage="1" errorTitle="An invalid feedback was entered" error="Please choose feedback from drop down only.">
      <formula1>"1/2,5/4,7/8,RRU TOP JUMPER,N/A"</formula1>
    </dataValidation>
    <dataValidation type="list" xr:uid="{A7590987-CCB8-4266-9DF6-BE23490A80B5}" sqref="O31" showErrorMessage="1" errorTitle="An invalid feedback was entered" error="Please choose feedback from drop down only.">
      <formula1>"1/2,5/4,7/8,RRU TOP JUMPER,N/A"</formula1>
    </dataValidation>
    <dataValidation type="list" xr:uid="{4F459FBC-D9BE-4517-AA6A-6D818CACD18E}" sqref="P31" showErrorMessage="1" errorTitle="An invalid feedback was entered" error="Please choose feedback from drop down only.">
      <formula1>"1/2,5/4,7/8,RRU TOP JUMPER,N/A"</formula1>
    </dataValidation>
    <dataValidation type="list" xr:uid="{99B21A92-5660-4250-982A-F8DE98CCA773}" sqref="Q31" showErrorMessage="1" errorTitle="An invalid feedback was entered" error="Please choose feedback from drop down only.">
      <formula1>"1/2,5/4,7/8,RRU TOP JUMPER,N/A"</formula1>
    </dataValidation>
    <dataValidation type="list" xr:uid="{8C519699-19FA-482B-B61D-EB7FEF9682D9}" sqref="C4" showErrorMessage="1" errorTitle="An invalid feedback was entered" error="Please choose feedback from drop down only.">
      <formula1>"1,2,3,4,5,6,N/A"</formula1>
    </dataValidation>
    <dataValidation type="list" xr:uid="{1AD60BBA-2059-47DF-A2A8-1C4E68F931E1}" sqref="D4" showErrorMessage="1" errorTitle="An invalid feedback was entered" error="Please choose feedback from drop down only.">
      <formula1>"1,2,3,4,5,6,N/A"</formula1>
    </dataValidation>
    <dataValidation type="list" xr:uid="{80F198EB-70D5-478F-8F6B-768B8CA770DD}" sqref="E4" showErrorMessage="1" errorTitle="An invalid feedback was entered" error="Please choose feedback from drop down only.">
      <formula1>"1,2,3,4,5,6,N/A"</formula1>
    </dataValidation>
    <dataValidation type="list" xr:uid="{3F499511-DFEB-44C9-A59C-7F261049837C}" sqref="F4" showErrorMessage="1" errorTitle="An invalid feedback was entered" error="Please choose feedback from drop down only.">
      <formula1>"1,2,3,4,5,6,N/A"</formula1>
    </dataValidation>
    <dataValidation type="list" xr:uid="{B52CAA64-26F4-47DF-8568-D9A70E1D511B}" sqref="G4" showErrorMessage="1" errorTitle="An invalid feedback was entered" error="Please choose feedback from drop down only.">
      <formula1>"1,2,3,4,5,6,N/A"</formula1>
    </dataValidation>
    <dataValidation type="list" xr:uid="{14AE0A7A-1627-4250-BEB3-4ABEB8833689}" sqref="H4" showErrorMessage="1" errorTitle="An invalid feedback was entered" error="Please choose feedback from drop down only.">
      <formula1>"1,2,3,4,5,6,N/A"</formula1>
    </dataValidation>
    <dataValidation type="list" xr:uid="{1DF55C4A-EB02-401E-A943-8BF238DE619D}" sqref="I4" showErrorMessage="1" errorTitle="An invalid feedback was entered" error="Please choose feedback from drop down only.">
      <formula1>"1,2,3,4,5,6,N/A"</formula1>
    </dataValidation>
    <dataValidation type="list" xr:uid="{3DE9EAEC-16F6-48DC-BCE5-4E22943F608E}" sqref="J4" showErrorMessage="1" errorTitle="An invalid feedback was entered" error="Please choose feedback from drop down only.">
      <formula1>"1,2,3,4,5,6,N/A"</formula1>
    </dataValidation>
    <dataValidation type="list" xr:uid="{E4343373-1447-4C23-A61C-8A4D5AFD93F1}" sqref="K4" showErrorMessage="1" errorTitle="An invalid feedback was entered" error="Please choose feedback from drop down only.">
      <formula1>"1,2,3,4,5,6,N/A"</formula1>
    </dataValidation>
    <dataValidation type="list" xr:uid="{9252B624-35D4-462C-B3F5-2FB5ACE0E751}" sqref="L4" showErrorMessage="1" errorTitle="An invalid feedback was entered" error="Please choose feedback from drop down only.">
      <formula1>"1,2,3,4,5,6,N/A"</formula1>
    </dataValidation>
    <dataValidation type="list" xr:uid="{8E864942-7DF5-4A3C-9638-61AB42459AE8}" sqref="M4" showErrorMessage="1" errorTitle="An invalid feedback was entered" error="Please choose feedback from drop down only.">
      <formula1>"1,2,3,4,5,6,N/A"</formula1>
    </dataValidation>
    <dataValidation type="list" xr:uid="{1E01034F-2726-4EB4-BE7F-4201F2289520}" sqref="N4" showErrorMessage="1" errorTitle="An invalid feedback was entered" error="Please choose feedback from drop down only.">
      <formula1>"1,2,3,4,5,6,N/A"</formula1>
    </dataValidation>
    <dataValidation type="list" xr:uid="{9E88500A-396B-449D-8E15-AE500C60262E}" sqref="O4" showErrorMessage="1" errorTitle="An invalid feedback was entered" error="Please choose feedback from drop down only.">
      <formula1>"1,2,3,4,5,6,N/A"</formula1>
    </dataValidation>
    <dataValidation type="list" xr:uid="{8F88907A-9B25-4A39-9464-469FB65733C5}" sqref="P4" showErrorMessage="1" errorTitle="An invalid feedback was entered" error="Please choose feedback from drop down only.">
      <formula1>"1,2,3,4,5,6,N/A"</formula1>
    </dataValidation>
    <dataValidation type="list" xr:uid="{8D6177E0-D565-415E-ACB7-158FF3E9C900}" sqref="Q4" showErrorMessage="1" errorTitle="An invalid feedback was entered" error="Please choose feedback from drop down only.">
      <formula1>"1,2,3,4,5,6,N/A"</formula1>
    </dataValidation>
    <dataValidation type="list" xr:uid="{7FA016CB-CF1A-410F-BDA0-71A1FF56A46B}" sqref="C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30223F8E-6E9B-4C62-9357-6E58736BF302}" sqref="D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00552432-8543-4C32-BD4A-F04AED4AA7DC}" sqref="E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62243FE0-1CAE-4F10-9ED8-F8493625E89C}" sqref="F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421BBE46-D4D6-4AA6-BD49-AEF4FF9401BE}" sqref="G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BEEAB5D8-DA41-4DBC-A603-0112667F9B99}" sqref="H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1980D91F-61A3-4A58-88D9-27C15187B100}" sqref="I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693E640F-DDD0-42BB-B61B-855342901FB3}" sqref="J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D4D9783D-8927-4254-AE0B-CABF83F367FB}" sqref="K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78A8E1B5-30B9-4127-96DA-E957085734DA}" sqref="L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21590212-25B0-47E3-A38E-46766DDAC4DF}" sqref="M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5FB1D9A7-9D37-4705-996C-4076FA40D638}" sqref="N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4C6469AC-1806-4D48-B541-F6933FAB0222}" sqref="O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F40B5058-5649-4020-B005-8A402567EA6E}" sqref="P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F901877C-04FC-463B-8BD9-4101C9274CAB}" sqref="Q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A5E127C6-F1AB-4958-9298-AF09FB1A1642}" sqref="C28" showErrorMessage="1" errorTitle="An invalid feedback was entered" error="Please choose feedback from drop down only.">
      <formula1>"Yes,No,FlexRET"</formula1>
    </dataValidation>
    <dataValidation type="list" xr:uid="{2F1BDD2A-AC44-4BF2-98D5-EA25D3CB2D71}" sqref="D28" showErrorMessage="1" errorTitle="An invalid feedback was entered" error="Please choose feedback from drop down only.">
      <formula1>"Yes,No,FlexRET"</formula1>
    </dataValidation>
    <dataValidation type="list" xr:uid="{A0BFEC6E-7178-46CA-8C1D-897166EC70B7}" sqref="E28" showErrorMessage="1" errorTitle="An invalid feedback was entered" error="Please choose feedback from drop down only.">
      <formula1>"Yes,No,FlexRET"</formula1>
    </dataValidation>
    <dataValidation type="list" xr:uid="{97FE3245-000D-4E79-B8CF-ADBF7652E9B9}" sqref="F28" showErrorMessage="1" errorTitle="An invalid feedback was entered" error="Please choose feedback from drop down only.">
      <formula1>"Yes,No,FlexRET"</formula1>
    </dataValidation>
    <dataValidation type="list" xr:uid="{241A2CDE-F07A-4BA6-9BBC-DB417144A738}" sqref="G28" showErrorMessage="1" errorTitle="An invalid feedback was entered" error="Please choose feedback from drop down only.">
      <formula1>"Yes,No,FlexRET"</formula1>
    </dataValidation>
    <dataValidation type="list" xr:uid="{6160FA2D-AD75-4C9E-ACB2-F567A70D90B4}" sqref="H28" showErrorMessage="1" errorTitle="An invalid feedback was entered" error="Please choose feedback from drop down only.">
      <formula1>"Yes,No,FlexRET"</formula1>
    </dataValidation>
    <dataValidation type="list" xr:uid="{3F1B3CF5-4354-486D-9BDB-2B9362290B49}" sqref="I28" showErrorMessage="1" errorTitle="An invalid feedback was entered" error="Please choose feedback from drop down only.">
      <formula1>"Yes,No,FlexRET"</formula1>
    </dataValidation>
    <dataValidation type="list" xr:uid="{C2374EFB-BBE8-4149-96CB-51D5336BA41F}" sqref="J28" showErrorMessage="1" errorTitle="An invalid feedback was entered" error="Please choose feedback from drop down only.">
      <formula1>"Yes,No,FlexRET"</formula1>
    </dataValidation>
    <dataValidation type="list" xr:uid="{75FB38B0-DF39-45B2-91BA-7C117C60D513}" sqref="K28" showErrorMessage="1" errorTitle="An invalid feedback was entered" error="Please choose feedback from drop down only.">
      <formula1>"Yes,No,FlexRET"</formula1>
    </dataValidation>
    <dataValidation type="list" xr:uid="{F80BBFF4-013A-49F3-8A86-9585587C6A80}" sqref="L28" showErrorMessage="1" errorTitle="An invalid feedback was entered" error="Please choose feedback from drop down only.">
      <formula1>"Yes,No,FlexRET"</formula1>
    </dataValidation>
    <dataValidation type="list" xr:uid="{8849C18A-7747-408C-A558-995EB44660A9}" sqref="M28" showErrorMessage="1" errorTitle="An invalid feedback was entered" error="Please choose feedback from drop down only.">
      <formula1>"Yes,No,FlexRET"</formula1>
    </dataValidation>
    <dataValidation type="list" xr:uid="{ED87AF4D-5447-4684-81EF-B3FD1E917274}" sqref="N28" showErrorMessage="1" errorTitle="An invalid feedback was entered" error="Please choose feedback from drop down only.">
      <formula1>"Yes,No,FlexRET"</formula1>
    </dataValidation>
    <dataValidation type="list" xr:uid="{F9C42455-D68C-4AFD-8CF6-4F46306EC28D}" sqref="O28" showErrorMessage="1" errorTitle="An invalid feedback was entered" error="Please choose feedback from drop down only.">
      <formula1>"Yes,No,FlexRET"</formula1>
    </dataValidation>
    <dataValidation type="list" xr:uid="{119C22B5-3D9B-4EDE-AF21-4DD8538C6E8A}" sqref="P28" showErrorMessage="1" errorTitle="An invalid feedback was entered" error="Please choose feedback from drop down only.">
      <formula1>"Yes,No,FlexRET"</formula1>
    </dataValidation>
    <dataValidation type="list" xr:uid="{E3DBC0DD-DEC7-4CCB-954A-D8E8AE5F9406}" sqref="Q28" showErrorMessage="1" errorTitle="An invalid feedback was entered" error="Please choose feedback from drop down only.">
      <formula1>"Yes,No,FlexRET"</formula1>
    </dataValidation>
    <dataValidation type="list" xr:uid="{D0DB73BD-AD29-4519-AE85-CCF56685540D}" sqref="C29" showErrorMessage="1" errorTitle="An invalid feedback was entered" error="Please choose feedback from drop down only.">
      <formula1>"Yes,No,FlexRET"</formula1>
    </dataValidation>
    <dataValidation type="list" xr:uid="{61F0817B-97DD-427A-92B9-1562F5079EFF}" sqref="D29" showErrorMessage="1" errorTitle="An invalid feedback was entered" error="Please choose feedback from drop down only.">
      <formula1>"Yes,No,FlexRET"</formula1>
    </dataValidation>
    <dataValidation type="list" xr:uid="{36C9A158-C1F8-4BB7-A331-1C0024AE1D8C}" sqref="E29" showErrorMessage="1" errorTitle="An invalid feedback was entered" error="Please choose feedback from drop down only.">
      <formula1>"Yes,No,FlexRET"</formula1>
    </dataValidation>
    <dataValidation type="list" xr:uid="{AA63FCE7-2F7A-4BDD-BD02-58F7B182980E}" sqref="F29" showErrorMessage="1" errorTitle="An invalid feedback was entered" error="Please choose feedback from drop down only.">
      <formula1>"Yes,No,FlexRET"</formula1>
    </dataValidation>
    <dataValidation type="list" xr:uid="{1DDBE083-01DA-4E05-BDAA-F9FB44F1320F}" sqref="G29" showErrorMessage="1" errorTitle="An invalid feedback was entered" error="Please choose feedback from drop down only.">
      <formula1>"Yes,No,FlexRET"</formula1>
    </dataValidation>
    <dataValidation type="list" xr:uid="{7BAE77F0-17C3-427C-8793-E5A2BEA5718D}" sqref="H29" showErrorMessage="1" errorTitle="An invalid feedback was entered" error="Please choose feedback from drop down only.">
      <formula1>"Yes,No,FlexRET"</formula1>
    </dataValidation>
    <dataValidation type="list" xr:uid="{B280B66B-8ECF-4A9C-B439-179261554624}" sqref="I29" showErrorMessage="1" errorTitle="An invalid feedback was entered" error="Please choose feedback from drop down only.">
      <formula1>"Yes,No,FlexRET"</formula1>
    </dataValidation>
    <dataValidation type="list" xr:uid="{4DA67287-A886-417A-8DCA-958090229E09}" sqref="J29" showErrorMessage="1" errorTitle="An invalid feedback was entered" error="Please choose feedback from drop down only.">
      <formula1>"Yes,No,FlexRET"</formula1>
    </dataValidation>
    <dataValidation type="list" xr:uid="{E719F008-0AB4-4065-AA3B-0BEF8F9B0967}" sqref="K29" showErrorMessage="1" errorTitle="An invalid feedback was entered" error="Please choose feedback from drop down only.">
      <formula1>"Yes,No,FlexRET"</formula1>
    </dataValidation>
    <dataValidation type="list" xr:uid="{045DB765-3C23-4571-852A-ABFB3C9D5880}" sqref="L29" showErrorMessage="1" errorTitle="An invalid feedback was entered" error="Please choose feedback from drop down only.">
      <formula1>"Yes,No,FlexRET"</formula1>
    </dataValidation>
    <dataValidation type="list" xr:uid="{7FCD7771-5BAE-4081-B003-053C05A41082}" sqref="M29" showErrorMessage="1" errorTitle="An invalid feedback was entered" error="Please choose feedback from drop down only.">
      <formula1>"Yes,No,FlexRET"</formula1>
    </dataValidation>
    <dataValidation type="list" xr:uid="{E28D4C28-693F-4C8A-8B87-75CFB8DE837D}" sqref="N29" showErrorMessage="1" errorTitle="An invalid feedback was entered" error="Please choose feedback from drop down only.">
      <formula1>"Yes,No,FlexRET"</formula1>
    </dataValidation>
    <dataValidation type="list" xr:uid="{5531E273-5304-4B42-8E64-D6E3E35AFE42}" sqref="O29" showErrorMessage="1" errorTitle="An invalid feedback was entered" error="Please choose feedback from drop down only.">
      <formula1>"Yes,No,FlexRET"</formula1>
    </dataValidation>
    <dataValidation type="list" xr:uid="{D7A26DFB-D1BA-4614-85D8-350E66D6BD74}" sqref="P29" showErrorMessage="1" errorTitle="An invalid feedback was entered" error="Please choose feedback from drop down only.">
      <formula1>"Yes,No,FlexRET"</formula1>
    </dataValidation>
    <dataValidation type="list" xr:uid="{2214AEDB-F579-4D03-BFC9-1382B9FCF5B4}" sqref="Q29" showErrorMessage="1" errorTitle="An invalid feedback was entered" error="Please choose feedback from drop down only.">
      <formula1>"Yes,No,FlexRET"</formula1>
    </dataValidation>
    <dataValidation type="list" xr:uid="{65C56F07-DCF1-4E79-A465-D7598066BFC2}" sqref="C25" showErrorMessage="1" errorTitle="An invalid feedback was entered" error="Please choose feedback from drop down only.">
      <formula1>"G,U,L,NR,GU,UL,GL,GUL,LNR,ULNR,None"</formula1>
    </dataValidation>
    <dataValidation type="list" xr:uid="{05611D61-1B2C-44C3-8D29-18DEEC3B44AD}" sqref="D25" showErrorMessage="1" errorTitle="An invalid feedback was entered" error="Please choose feedback from drop down only.">
      <formula1>"G,U,L,NR,GU,UL,GL,GUL,LNR,ULNR,None"</formula1>
    </dataValidation>
    <dataValidation type="list" xr:uid="{234FC96C-0428-4359-A4C5-C32BAC5BBDE5}" sqref="E25" showErrorMessage="1" errorTitle="An invalid feedback was entered" error="Please choose feedback from drop down only.">
      <formula1>"G,U,L,NR,GU,UL,GL,GUL,LNR,ULNR,None"</formula1>
    </dataValidation>
    <dataValidation type="list" xr:uid="{A8B8DE57-C04D-4FF0-8231-0A163C65C11E}" sqref="F25" showErrorMessage="1" errorTitle="An invalid feedback was entered" error="Please choose feedback from drop down only.">
      <formula1>"G,U,L,NR,GU,UL,GL,GUL,LNR,ULNR,None"</formula1>
    </dataValidation>
    <dataValidation type="list" xr:uid="{7529335D-4D9E-46B6-ADD6-E3A1987B45B1}" sqref="G25" showErrorMessage="1" errorTitle="An invalid feedback was entered" error="Please choose feedback from drop down only.">
      <formula1>"G,U,L,NR,GU,UL,GL,GUL,LNR,ULNR,None"</formula1>
    </dataValidation>
    <dataValidation type="list" xr:uid="{17164BD4-7C5C-450A-9B8C-A984958D457E}" sqref="H25" showErrorMessage="1" errorTitle="An invalid feedback was entered" error="Please choose feedback from drop down only.">
      <formula1>"G,U,L,NR,GU,UL,GL,GUL,LNR,ULNR,None"</formula1>
    </dataValidation>
    <dataValidation type="list" xr:uid="{A79D6F9D-F03F-45AB-89D7-4485430F354D}" sqref="I25" showErrorMessage="1" errorTitle="An invalid feedback was entered" error="Please choose feedback from drop down only.">
      <formula1>"G,U,L,NR,GU,UL,GL,GUL,LNR,ULNR,None"</formula1>
    </dataValidation>
    <dataValidation type="list" xr:uid="{B5A6360D-8C9F-48FB-A852-39D9801CA891}" sqref="J25" showErrorMessage="1" errorTitle="An invalid feedback was entered" error="Please choose feedback from drop down only.">
      <formula1>"G,U,L,NR,GU,UL,GL,GUL,LNR,ULNR,None"</formula1>
    </dataValidation>
    <dataValidation type="list" xr:uid="{E6D1487E-0609-4229-95AE-A059A1ACF008}" sqref="K25" showErrorMessage="1" errorTitle="An invalid feedback was entered" error="Please choose feedback from drop down only.">
      <formula1>"G,U,L,NR,GU,UL,GL,GUL,LNR,ULNR,None"</formula1>
    </dataValidation>
    <dataValidation type="list" xr:uid="{177CB36E-21D5-43C2-AD9E-CD21CEE5519D}" sqref="L25" showErrorMessage="1" errorTitle="An invalid feedback was entered" error="Please choose feedback from drop down only.">
      <formula1>"G,U,L,NR,GU,UL,GL,GUL,LNR,ULNR,None"</formula1>
    </dataValidation>
    <dataValidation type="list" xr:uid="{9CC19EA8-12AB-41AF-B33C-1B2CFA1BC65C}" sqref="M25" showErrorMessage="1" errorTitle="An invalid feedback was entered" error="Please choose feedback from drop down only.">
      <formula1>"G,U,L,NR,GU,UL,GL,GUL,LNR,ULNR,None"</formula1>
    </dataValidation>
    <dataValidation type="list" xr:uid="{D825B423-2232-4C09-B7AB-912F95C8BB7B}" sqref="N25" showErrorMessage="1" errorTitle="An invalid feedback was entered" error="Please choose feedback from drop down only.">
      <formula1>"G,U,L,NR,GU,UL,GL,GUL,LNR,ULNR,None"</formula1>
    </dataValidation>
    <dataValidation type="list" xr:uid="{FAE654F2-E324-4819-8FC9-F5A3917E5E76}" sqref="O25" showErrorMessage="1" errorTitle="An invalid feedback was entered" error="Please choose feedback from drop down only.">
      <formula1>"G,U,L,NR,GU,UL,GL,GUL,LNR,ULNR,None"</formula1>
    </dataValidation>
    <dataValidation type="list" xr:uid="{0B45F2AB-01E0-4C75-826B-C15E98341523}" sqref="P25" showErrorMessage="1" errorTitle="An invalid feedback was entered" error="Please choose feedback from drop down only.">
      <formula1>"G,U,L,NR,GU,UL,GL,GUL,LNR,ULNR,None"</formula1>
    </dataValidation>
    <dataValidation type="list" xr:uid="{A63CCD68-2B04-4611-94B5-AFC587F89A0E}" sqref="Q25" showErrorMessage="1" errorTitle="An invalid feedback was entered" error="Please choose feedback from drop down only.">
      <formula1>"G,U,L,NR,GU,UL,GL,GUL,LNR,ULNR,None"</formula1>
    </dataValidation>
    <dataValidation type="list" xr:uid="{B9A6DDD7-B502-4830-8A1A-CBEF0CC295EB}" sqref="C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189C9F09-0B79-4DA3-8D8D-4E6A5461551E}" sqref="D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27ADBC23-3CD7-444D-9FB5-A8AFA3D7CE33}" sqref="E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EC8D8C4E-A07D-4D14-BA23-09B7F1D02F36}" sqref="F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F5986685-ABEB-4F50-B711-14AC3EEDCDFA}" sqref="G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CEFAC922-2B79-448F-850F-96B19430DCD8}" sqref="H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CF956F6D-253B-45C7-8773-7BA043FE3FD1}" sqref="I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6ADE4BAC-1D56-4EE3-A712-084F4F2DBFD9}" sqref="J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BAB1AB5D-88FB-46FE-A863-FF8BCA0F4921}" sqref="K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82FA55BB-378C-42D0-ADFB-7EF25B613D7C}" sqref="L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E66050D2-51DF-409E-B73B-630D0DFF825F}" sqref="M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B19D9941-8AAE-4B03-A6F2-8300536DC895}" sqref="N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449DC05D-7A9C-4410-ABBB-E46AB03DAC71}" sqref="O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AA022CD5-7FF3-464D-8E60-FC74814496BA}" sqref="P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2CFEE2F9-9E3B-4759-9859-88D4DAE3BC01}" sqref="Q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</dataValidations>
  <pageMargins left="0.25" right="0.25" top="0.75" bottom="0.75" header="0.3" footer="0.3"/>
  <pageSetup paperSize="9" scale="56" fitToHeight="0" orientation="portrait"/>
  <headerFooter/>
  <extLst>
    <ext xmlns:x14="http://schemas.microsoft.com/office/spreadsheetml/2009/9/main" uri="{CCE6A557-97BC-4b89-ADB6-D9C93CAAB3DF}">
      <x14:dataValidations xmlns:xm="http://schemas.microsoft.com/office/excel/2006/main" count="60">
        <x14:dataValidation type="list" xr:uid="{8F6C1B94-E41E-4EE3-AE01-6C76FA4AE5B3}" error="Please choose feedback from drop down only." errorTitle="An invalid feedback was entered" showErrorMessage="1">
          <x14:formula1>
            <xm:f>Antennas!A:A</xm:f>
          </x14:formula1>
          <xm:sqref>C8</xm:sqref>
        </x14:dataValidation>
        <x14:dataValidation type="list" xr:uid="{015D0B0A-5116-404A-87AB-4EF313CE1979}" error="Please choose feedback from drop down only." errorTitle="An invalid feedback was entered" showErrorMessage="1">
          <x14:formula1>
            <xm:f>Antennas!A:A</xm:f>
          </x14:formula1>
          <xm:sqref>D8</xm:sqref>
        </x14:dataValidation>
        <x14:dataValidation type="list" xr:uid="{F4714660-2D98-44F4-8840-9115CC520674}" error="Please choose feedback from drop down only." errorTitle="An invalid feedback was entered" showErrorMessage="1">
          <x14:formula1>
            <xm:f>Antennas!A:A</xm:f>
          </x14:formula1>
          <xm:sqref>E8</xm:sqref>
        </x14:dataValidation>
        <x14:dataValidation type="list" xr:uid="{4C748126-F0E2-42A0-9801-9EDC1A8FB12C}" error="Please choose feedback from drop down only." errorTitle="An invalid feedback was entered" showErrorMessage="1">
          <x14:formula1>
            <xm:f>Antennas!A:A</xm:f>
          </x14:formula1>
          <xm:sqref>F8</xm:sqref>
        </x14:dataValidation>
        <x14:dataValidation type="list" xr:uid="{CF044985-458E-4A01-9396-596469A704B2}" error="Please choose feedback from drop down only." errorTitle="An invalid feedback was entered" showErrorMessage="1">
          <x14:formula1>
            <xm:f>Antennas!A:A</xm:f>
          </x14:formula1>
          <xm:sqref>G8</xm:sqref>
        </x14:dataValidation>
        <x14:dataValidation type="list" xr:uid="{C68A0B79-9A9E-4646-8D7E-F1A536B745A1}" error="Please choose feedback from drop down only." errorTitle="An invalid feedback was entered" showErrorMessage="1">
          <x14:formula1>
            <xm:f>Antennas!A:A</xm:f>
          </x14:formula1>
          <xm:sqref>H8</xm:sqref>
        </x14:dataValidation>
        <x14:dataValidation type="list" xr:uid="{A8F666C9-51B7-45B6-8466-FAA5F5F1E091}" error="Please choose feedback from drop down only." errorTitle="An invalid feedback was entered" showErrorMessage="1">
          <x14:formula1>
            <xm:f>Antennas!A:A</xm:f>
          </x14:formula1>
          <xm:sqref>I8</xm:sqref>
        </x14:dataValidation>
        <x14:dataValidation type="list" xr:uid="{35CAD71A-9120-4604-95B6-B339B5084A16}" error="Please choose feedback from drop down only." errorTitle="An invalid feedback was entered" showErrorMessage="1">
          <x14:formula1>
            <xm:f>Antennas!A:A</xm:f>
          </x14:formula1>
          <xm:sqref>J8</xm:sqref>
        </x14:dataValidation>
        <x14:dataValidation type="list" xr:uid="{99DF3F2B-63A8-41FB-BD24-17186B27B1D1}" error="Please choose feedback from drop down only." errorTitle="An invalid feedback was entered" showErrorMessage="1">
          <x14:formula1>
            <xm:f>Antennas!A:A</xm:f>
          </x14:formula1>
          <xm:sqref>K8</xm:sqref>
        </x14:dataValidation>
        <x14:dataValidation type="list" xr:uid="{04A255AF-A3C9-4EAB-932C-77B3A8EF72BF}" error="Please choose feedback from drop down only." errorTitle="An invalid feedback was entered" showErrorMessage="1">
          <x14:formula1>
            <xm:f>Antennas!A:A</xm:f>
          </x14:formula1>
          <xm:sqref>L8</xm:sqref>
        </x14:dataValidation>
        <x14:dataValidation type="list" xr:uid="{41AAD508-624A-4789-8749-8F380EE24399}" error="Please choose feedback from drop down only." errorTitle="An invalid feedback was entered" showErrorMessage="1">
          <x14:formula1>
            <xm:f>Antennas!A:A</xm:f>
          </x14:formula1>
          <xm:sqref>M8</xm:sqref>
        </x14:dataValidation>
        <x14:dataValidation type="list" xr:uid="{465B1870-9F07-48D2-9DCA-F104248DBCAA}" error="Please choose feedback from drop down only." errorTitle="An invalid feedback was entered" showErrorMessage="1">
          <x14:formula1>
            <xm:f>Antennas!A:A</xm:f>
          </x14:formula1>
          <xm:sqref>N8</xm:sqref>
        </x14:dataValidation>
        <x14:dataValidation type="list" xr:uid="{F078BD19-830C-4CFB-B568-565074DD602B}" error="Please choose feedback from drop down only." errorTitle="An invalid feedback was entered" showErrorMessage="1">
          <x14:formula1>
            <xm:f>Antennas!A:A</xm:f>
          </x14:formula1>
          <xm:sqref>O8</xm:sqref>
        </x14:dataValidation>
        <x14:dataValidation type="list" xr:uid="{34BF7076-A10B-4C05-8151-59A8B9C23864}" error="Please choose feedback from drop down only." errorTitle="An invalid feedback was entered" showErrorMessage="1">
          <x14:formula1>
            <xm:f>Antennas!A:A</xm:f>
          </x14:formula1>
          <xm:sqref>P8</xm:sqref>
        </x14:dataValidation>
        <x14:dataValidation type="list" xr:uid="{6EF38395-DA12-425B-BFFB-C4377D77FDAC}" error="Please choose feedback from drop down only." errorTitle="An invalid feedback was entered" showErrorMessage="1">
          <x14:formula1>
            <xm:f>Antennas!A:A</xm:f>
          </x14:formula1>
          <xm:sqref>Q8</xm:sqref>
        </x14:dataValidation>
        <x14:dataValidation type="list" xr:uid="{7F73E23D-5DB5-4546-AD00-F7966EE7BC8D}" error="Please choose feedback from drop down only." errorTitle="An invalid feedback was entered" showErrorMessage="1">
          <x14:formula1>
            <xm:f>Combiners!A:A</xm:f>
          </x14:formula1>
          <xm:sqref>C39</xm:sqref>
        </x14:dataValidation>
        <x14:dataValidation type="list" xr:uid="{8816F94F-C6F9-446F-86C5-B236FC24480B}" error="Please choose feedback from drop down only." errorTitle="An invalid feedback was entered" showErrorMessage="1">
          <x14:formula1>
            <xm:f>Combiners!A:A</xm:f>
          </x14:formula1>
          <xm:sqref>D39</xm:sqref>
        </x14:dataValidation>
        <x14:dataValidation type="list" xr:uid="{85422CA5-FB99-4C51-B4F5-7177B85CBED4}" error="Please choose feedback from drop down only." errorTitle="An invalid feedback was entered" showErrorMessage="1">
          <x14:formula1>
            <xm:f>Combiners!A:A</xm:f>
          </x14:formula1>
          <xm:sqref>E39</xm:sqref>
        </x14:dataValidation>
        <x14:dataValidation type="list" xr:uid="{ACC6348E-B530-4B63-AA0C-06DBED18CC0A}" error="Please choose feedback from drop down only." errorTitle="An invalid feedback was entered" showErrorMessage="1">
          <x14:formula1>
            <xm:f>Combiners!A:A</xm:f>
          </x14:formula1>
          <xm:sqref>F39</xm:sqref>
        </x14:dataValidation>
        <x14:dataValidation type="list" xr:uid="{02AFC842-3ED9-411C-B1A8-DCFDBD0BFA13}" error="Please choose feedback from drop down only." errorTitle="An invalid feedback was entered" showErrorMessage="1">
          <x14:formula1>
            <xm:f>Combiners!A:A</xm:f>
          </x14:formula1>
          <xm:sqref>G39</xm:sqref>
        </x14:dataValidation>
        <x14:dataValidation type="list" xr:uid="{69EE1C31-1DA0-47F5-B9B1-AAC173279E9E}" error="Please choose feedback from drop down only." errorTitle="An invalid feedback was entered" showErrorMessage="1">
          <x14:formula1>
            <xm:f>Combiners!A:A</xm:f>
          </x14:formula1>
          <xm:sqref>H39</xm:sqref>
        </x14:dataValidation>
        <x14:dataValidation type="list" xr:uid="{6E38C477-C830-4F5E-9B31-6E5A8DBE2107}" error="Please choose feedback from drop down only." errorTitle="An invalid feedback was entered" showErrorMessage="1">
          <x14:formula1>
            <xm:f>Combiners!A:A</xm:f>
          </x14:formula1>
          <xm:sqref>I39</xm:sqref>
        </x14:dataValidation>
        <x14:dataValidation type="list" xr:uid="{D8C6986B-6858-4CD3-A1BF-2A560038E8E7}" error="Please choose feedback from drop down only." errorTitle="An invalid feedback was entered" showErrorMessage="1">
          <x14:formula1>
            <xm:f>Combiners!A:A</xm:f>
          </x14:formula1>
          <xm:sqref>J39</xm:sqref>
        </x14:dataValidation>
        <x14:dataValidation type="list" xr:uid="{9739CCF7-AAF1-4ACF-8983-CB2E9C34BF4C}" error="Please choose feedback from drop down only." errorTitle="An invalid feedback was entered" showErrorMessage="1">
          <x14:formula1>
            <xm:f>Combiners!A:A</xm:f>
          </x14:formula1>
          <xm:sqref>K39</xm:sqref>
        </x14:dataValidation>
        <x14:dataValidation type="list" xr:uid="{503AE392-5420-4A54-9AA3-17187BA6F2BC}" error="Please choose feedback from drop down only." errorTitle="An invalid feedback was entered" showErrorMessage="1">
          <x14:formula1>
            <xm:f>Combiners!A:A</xm:f>
          </x14:formula1>
          <xm:sqref>L39</xm:sqref>
        </x14:dataValidation>
        <x14:dataValidation type="list" xr:uid="{5CD070C7-8320-487D-8C18-86D5377D93FA}" error="Please choose feedback from drop down only." errorTitle="An invalid feedback was entered" showErrorMessage="1">
          <x14:formula1>
            <xm:f>Combiners!A:A</xm:f>
          </x14:formula1>
          <xm:sqref>M39</xm:sqref>
        </x14:dataValidation>
        <x14:dataValidation type="list" xr:uid="{11C15803-F7F3-4821-89D6-89F86805FD8F}" error="Please choose feedback from drop down only." errorTitle="An invalid feedback was entered" showErrorMessage="1">
          <x14:formula1>
            <xm:f>Combiners!A:A</xm:f>
          </x14:formula1>
          <xm:sqref>N39</xm:sqref>
        </x14:dataValidation>
        <x14:dataValidation type="list" xr:uid="{F9EA02DD-7873-4FD6-BC60-047AEAC6E4AF}" error="Please choose feedback from drop down only." errorTitle="An invalid feedback was entered" showErrorMessage="1">
          <x14:formula1>
            <xm:f>Combiners!A:A</xm:f>
          </x14:formula1>
          <xm:sqref>O39</xm:sqref>
        </x14:dataValidation>
        <x14:dataValidation type="list" xr:uid="{07A0825B-0329-470B-B175-5B4B9B81C04B}" error="Please choose feedback from drop down only." errorTitle="An invalid feedback was entered" showErrorMessage="1">
          <x14:formula1>
            <xm:f>Combiners!A:A</xm:f>
          </x14:formula1>
          <xm:sqref>P39</xm:sqref>
        </x14:dataValidation>
        <x14:dataValidation type="list" xr:uid="{842F3CE6-93FF-4FC6-B94C-4432C589EDA9}" error="Please choose feedback from drop down only." errorTitle="An invalid feedback was entered" showErrorMessage="1">
          <x14:formula1>
            <xm:f>Combiners!A:A</xm:f>
          </x14:formula1>
          <xm:sqref>Q39</xm:sqref>
        </x14:dataValidation>
        <x14:dataValidation type="list" xr:uid="{91A30BD6-2D83-45EC-BE16-92EB65853FCC}" error="Please choose feedback from drop down only." errorTitle="An invalid feedback was entered" showErrorMessage="0">
          <x14:formula1>
            <xm:f>RRUs!A:A</xm:f>
          </x14:formula1>
          <xm:sqref>C35</xm:sqref>
        </x14:dataValidation>
        <x14:dataValidation type="list" xr:uid="{27BA6A54-0384-4076-955A-D53A4350B3F1}" error="Please choose feedback from drop down only." errorTitle="An invalid feedback was entered" showErrorMessage="0">
          <x14:formula1>
            <xm:f>RRUs!A:A</xm:f>
          </x14:formula1>
          <xm:sqref>D35</xm:sqref>
        </x14:dataValidation>
        <x14:dataValidation type="list" xr:uid="{56AF4236-1551-4B6C-8762-F03F38AB4F28}" error="Please choose feedback from drop down only." errorTitle="An invalid feedback was entered" showErrorMessage="0">
          <x14:formula1>
            <xm:f>RRUs!A:A</xm:f>
          </x14:formula1>
          <xm:sqref>E35</xm:sqref>
        </x14:dataValidation>
        <x14:dataValidation type="list" xr:uid="{E3BE4493-79F1-4888-B3CF-B9B522D60725}" error="Please choose feedback from drop down only." errorTitle="An invalid feedback was entered" showErrorMessage="0">
          <x14:formula1>
            <xm:f>RRUs!A:A</xm:f>
          </x14:formula1>
          <xm:sqref>F35</xm:sqref>
        </x14:dataValidation>
        <x14:dataValidation type="list" xr:uid="{A86FBF99-6F55-46BC-819D-2016A0247121}" error="Please choose feedback from drop down only." errorTitle="An invalid feedback was entered" showErrorMessage="0">
          <x14:formula1>
            <xm:f>RRUs!A:A</xm:f>
          </x14:formula1>
          <xm:sqref>G35</xm:sqref>
        </x14:dataValidation>
        <x14:dataValidation type="list" xr:uid="{DC606D4E-76ED-4DDC-97D6-AC88AE6C312E}" error="Please choose feedback from drop down only." errorTitle="An invalid feedback was entered" showErrorMessage="0">
          <x14:formula1>
            <xm:f>RRUs!A:A</xm:f>
          </x14:formula1>
          <xm:sqref>H35</xm:sqref>
        </x14:dataValidation>
        <x14:dataValidation type="list" xr:uid="{7D8EDA02-76C0-4330-9A40-964954549F15}" error="Please choose feedback from drop down only." errorTitle="An invalid feedback was entered" showErrorMessage="0">
          <x14:formula1>
            <xm:f>RRUs!A:A</xm:f>
          </x14:formula1>
          <xm:sqref>I35</xm:sqref>
        </x14:dataValidation>
        <x14:dataValidation type="list" xr:uid="{17BDC722-E4D7-4EC1-8B93-7C49F2D02CBE}" error="Please choose feedback from drop down only." errorTitle="An invalid feedback was entered" showErrorMessage="0">
          <x14:formula1>
            <xm:f>RRUs!A:A</xm:f>
          </x14:formula1>
          <xm:sqref>J35</xm:sqref>
        </x14:dataValidation>
        <x14:dataValidation type="list" xr:uid="{2F6AF5F4-C200-4BEB-ABA4-8C01F4DF2336}" error="Please choose feedback from drop down only." errorTitle="An invalid feedback was entered" showErrorMessage="0">
          <x14:formula1>
            <xm:f>RRUs!A:A</xm:f>
          </x14:formula1>
          <xm:sqref>K35</xm:sqref>
        </x14:dataValidation>
        <x14:dataValidation type="list" xr:uid="{215BEA8C-5887-4627-9349-E32139DAF798}" error="Please choose feedback from drop down only." errorTitle="An invalid feedback was entered" showErrorMessage="0">
          <x14:formula1>
            <xm:f>RRUs!A:A</xm:f>
          </x14:formula1>
          <xm:sqref>L35</xm:sqref>
        </x14:dataValidation>
        <x14:dataValidation type="list" xr:uid="{F4C34DCB-C80B-4E4F-9996-68577FAE9065}" error="Please choose feedback from drop down only." errorTitle="An invalid feedback was entered" showErrorMessage="0">
          <x14:formula1>
            <xm:f>RRUs!A:A</xm:f>
          </x14:formula1>
          <xm:sqref>M35</xm:sqref>
        </x14:dataValidation>
        <x14:dataValidation type="list" xr:uid="{D9578B6C-5E83-4334-BB3B-5C505773470F}" error="Please choose feedback from drop down only." errorTitle="An invalid feedback was entered" showErrorMessage="0">
          <x14:formula1>
            <xm:f>RRUs!A:A</xm:f>
          </x14:formula1>
          <xm:sqref>N35</xm:sqref>
        </x14:dataValidation>
        <x14:dataValidation type="list" xr:uid="{9E32BDD2-8F40-43CF-B8FD-AA661AF98B20}" error="Please choose feedback from drop down only." errorTitle="An invalid feedback was entered" showErrorMessage="0">
          <x14:formula1>
            <xm:f>RRUs!A:A</xm:f>
          </x14:formula1>
          <xm:sqref>O35</xm:sqref>
        </x14:dataValidation>
        <x14:dataValidation type="list" xr:uid="{662B2152-ED75-4DA9-837F-BE038C810FF4}" error="Please choose feedback from drop down only." errorTitle="An invalid feedback was entered" showErrorMessage="0">
          <x14:formula1>
            <xm:f>RRUs!A:A</xm:f>
          </x14:formula1>
          <xm:sqref>P35</xm:sqref>
        </x14:dataValidation>
        <x14:dataValidation type="list" xr:uid="{A9102A1D-1EB0-41B6-9D41-54DE97184D63}" error="Please choose feedback from drop down only." errorTitle="An invalid feedback was entered" showErrorMessage="0">
          <x14:formula1>
            <xm:f>RRUs!A:A</xm:f>
          </x14:formula1>
          <xm:sqref>Q35</xm:sqref>
        </x14:dataValidation>
        <x14:dataValidation type="list" xr:uid="{9852F15C-0B87-4A78-AACC-0BDE982298D6}" error="Please choose feedback from drop down only." errorTitle="An invalid feedback was entered" showErrorMessage="1">
          <x14:formula1>
            <xm:f>Combiners!A:A</xm:f>
          </x14:formula1>
          <xm:sqref>C41</xm:sqref>
        </x14:dataValidation>
        <x14:dataValidation type="list" xr:uid="{7A890D5E-F972-41FE-A364-3FC34DA25CCB}" error="Please choose feedback from drop down only." errorTitle="An invalid feedback was entered" showErrorMessage="1">
          <x14:formula1>
            <xm:f>Combiners!A:A</xm:f>
          </x14:formula1>
          <xm:sqref>D41</xm:sqref>
        </x14:dataValidation>
        <x14:dataValidation type="list" xr:uid="{EBC2BB43-016B-49BC-8E14-74EC6CD2FC4D}" error="Please choose feedback from drop down only." errorTitle="An invalid feedback was entered" showErrorMessage="1">
          <x14:formula1>
            <xm:f>Combiners!A:A</xm:f>
          </x14:formula1>
          <xm:sqref>E41</xm:sqref>
        </x14:dataValidation>
        <x14:dataValidation type="list" xr:uid="{174F526F-A5F6-4BA0-9A9A-DE1DC40C1E98}" error="Please choose feedback from drop down only." errorTitle="An invalid feedback was entered" showErrorMessage="1">
          <x14:formula1>
            <xm:f>Combiners!A:A</xm:f>
          </x14:formula1>
          <xm:sqref>F41</xm:sqref>
        </x14:dataValidation>
        <x14:dataValidation type="list" xr:uid="{C6911759-EEE8-4D7D-848D-DAE17BC5BA17}" error="Please choose feedback from drop down only." errorTitle="An invalid feedback was entered" showErrorMessage="1">
          <x14:formula1>
            <xm:f>Combiners!A:A</xm:f>
          </x14:formula1>
          <xm:sqref>G41</xm:sqref>
        </x14:dataValidation>
        <x14:dataValidation type="list" xr:uid="{A0156025-E3D0-43BC-8DE1-D7307A6F4B26}" error="Please choose feedback from drop down only." errorTitle="An invalid feedback was entered" showErrorMessage="1">
          <x14:formula1>
            <xm:f>Combiners!A:A</xm:f>
          </x14:formula1>
          <xm:sqref>H41</xm:sqref>
        </x14:dataValidation>
        <x14:dataValidation type="list" xr:uid="{7C5C82EA-EB75-43AC-9A00-234C3D8AA01C}" error="Please choose feedback from drop down only." errorTitle="An invalid feedback was entered" showErrorMessage="1">
          <x14:formula1>
            <xm:f>Combiners!A:A</xm:f>
          </x14:formula1>
          <xm:sqref>I41</xm:sqref>
        </x14:dataValidation>
        <x14:dataValidation type="list" xr:uid="{D0B79763-DFFB-49C0-9FC8-B1E1843B2E1B}" error="Please choose feedback from drop down only." errorTitle="An invalid feedback was entered" showErrorMessage="1">
          <x14:formula1>
            <xm:f>Combiners!A:A</xm:f>
          </x14:formula1>
          <xm:sqref>J41</xm:sqref>
        </x14:dataValidation>
        <x14:dataValidation type="list" xr:uid="{32DC76C5-62D3-4B3E-BD75-036C5B2D52DA}" error="Please choose feedback from drop down only." errorTitle="An invalid feedback was entered" showErrorMessage="1">
          <x14:formula1>
            <xm:f>Combiners!A:A</xm:f>
          </x14:formula1>
          <xm:sqref>K41</xm:sqref>
        </x14:dataValidation>
        <x14:dataValidation type="list" xr:uid="{090AEA6D-313C-4ABB-87EC-A315AB5C447D}" error="Please choose feedback from drop down only." errorTitle="An invalid feedback was entered" showErrorMessage="1">
          <x14:formula1>
            <xm:f>Combiners!A:A</xm:f>
          </x14:formula1>
          <xm:sqref>L41</xm:sqref>
        </x14:dataValidation>
        <x14:dataValidation type="list" xr:uid="{3EB1762D-1F7B-4C43-9C58-7C3BD6740D1F}" error="Please choose feedback from drop down only." errorTitle="An invalid feedback was entered" showErrorMessage="1">
          <x14:formula1>
            <xm:f>Combiners!A:A</xm:f>
          </x14:formula1>
          <xm:sqref>M41</xm:sqref>
        </x14:dataValidation>
        <x14:dataValidation type="list" xr:uid="{998EAFD3-47EE-4EDE-8AF4-AE90627C4025}" error="Please choose feedback from drop down only." errorTitle="An invalid feedback was entered" showErrorMessage="1">
          <x14:formula1>
            <xm:f>Combiners!A:A</xm:f>
          </x14:formula1>
          <xm:sqref>N41</xm:sqref>
        </x14:dataValidation>
        <x14:dataValidation type="list" xr:uid="{8E845A16-5644-4928-A28C-92FE34A79248}" error="Please choose feedback from drop down only." errorTitle="An invalid feedback was entered" showErrorMessage="1">
          <x14:formula1>
            <xm:f>Combiners!A:A</xm:f>
          </x14:formula1>
          <xm:sqref>O41</xm:sqref>
        </x14:dataValidation>
        <x14:dataValidation type="list" xr:uid="{D7B798AB-B8C0-4D53-B011-4B2665ED89DA}" error="Please choose feedback from drop down only." errorTitle="An invalid feedback was entered" showErrorMessage="1">
          <x14:formula1>
            <xm:f>Combiners!A:A</xm:f>
          </x14:formula1>
          <xm:sqref>P41</xm:sqref>
        </x14:dataValidation>
        <x14:dataValidation type="list" xr:uid="{8215F6FC-F2F3-4CC4-A80F-DD3A24B121E4}" error="Please choose feedback from drop down only." errorTitle="An invalid feedback was entered" showErrorMessage="1">
          <x14:formula1>
            <xm:f>Combiners!A:A</xm:f>
          </x14:formula1>
          <xm:sqref>Q41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6"/>
  <dimension ref="A1:U45"/>
  <sheetViews>
    <sheetView zoomScale="90" zoomScaleNormal="90" workbookViewId="0">
      <selection activeCell="C8" sqref="C8:H8"/>
    </sheetView>
  </sheetViews>
  <sheetFormatPr defaultColWidth="9.1328125" defaultRowHeight="12.75"/>
  <cols>
    <col min="1" max="1" bestFit="1" width="10.265625" customWidth="1" style="6"/>
    <col min="2" max="2" bestFit="1" width="40.1328125" customWidth="1" style="7"/>
    <col min="3" max="7" width="9.1328125" customWidth="1" style="21"/>
    <col min="8" max="8" bestFit="1" width="9.3984375" customWidth="1" style="21"/>
    <col min="9" max="16384" width="9.1328125" customWidth="1" style="21"/>
  </cols>
  <sheetData>
    <row r="1" ht="25.15" customHeight="1">
      <c r="A1" s="197"/>
      <c r="B1" s="198"/>
      <c r="C1" s="258" t="s">
        <v>102</v>
      </c>
      <c r="D1" s="258"/>
      <c r="E1" s="258"/>
      <c r="F1" s="258"/>
      <c r="G1" s="258"/>
      <c r="H1" s="258"/>
      <c r="I1" s="258"/>
      <c r="J1" s="258"/>
      <c r="K1" s="258"/>
      <c r="L1" s="258"/>
      <c r="M1" s="258"/>
      <c r="N1" s="258"/>
      <c r="O1" s="258"/>
      <c r="P1" s="258"/>
    </row>
    <row r="2" ht="18">
      <c r="A2" s="33"/>
      <c r="B2" s="14" t="s">
        <v>1</v>
      </c>
      <c r="C2" s="217">
        <v>1</v>
      </c>
      <c r="D2" s="251"/>
      <c r="E2" s="251"/>
      <c r="F2" s="251"/>
      <c r="G2" s="251"/>
      <c r="H2" s="219"/>
      <c r="I2" s="252">
        <v>2</v>
      </c>
      <c r="J2" s="253"/>
      <c r="K2" s="253"/>
      <c r="L2" s="254"/>
      <c r="M2" s="252">
        <v>3</v>
      </c>
      <c r="N2" s="253"/>
      <c r="O2" s="255"/>
      <c r="P2" s="72">
        <v>4</v>
      </c>
    </row>
    <row r="3" ht="17.25">
      <c r="A3" s="241"/>
      <c r="B3" s="12" t="s">
        <v>2</v>
      </c>
      <c r="C3" s="211"/>
      <c r="D3" s="212"/>
      <c r="E3" s="212"/>
      <c r="F3" s="212"/>
      <c r="G3" s="212"/>
      <c r="H3" s="212"/>
      <c r="I3" s="212"/>
      <c r="J3" s="212"/>
      <c r="K3" s="212"/>
      <c r="L3" s="212"/>
      <c r="M3" s="212"/>
      <c r="N3" s="212"/>
      <c r="O3" s="212"/>
      <c r="P3" s="213"/>
    </row>
    <row r="4" ht="25.15" s="22" customFormat="1">
      <c r="A4" s="241"/>
      <c r="B4" s="9" t="s">
        <v>3</v>
      </c>
      <c r="C4" s="248"/>
      <c r="D4" s="249"/>
      <c r="E4" s="249"/>
      <c r="F4" s="249"/>
      <c r="G4" s="249"/>
      <c r="H4" s="249"/>
      <c r="I4" s="249"/>
      <c r="J4" s="249"/>
      <c r="K4" s="249"/>
      <c r="L4" s="249"/>
      <c r="M4" s="249"/>
      <c r="N4" s="249"/>
      <c r="O4" s="249"/>
      <c r="P4" s="250"/>
    </row>
    <row r="5" ht="24.75">
      <c r="A5" s="241"/>
      <c r="B5" s="13" t="s">
        <v>4</v>
      </c>
      <c r="C5" s="245"/>
      <c r="D5" s="246"/>
      <c r="E5" s="246"/>
      <c r="F5" s="246"/>
      <c r="G5" s="246"/>
      <c r="H5" s="246"/>
      <c r="I5" s="246"/>
      <c r="J5" s="246"/>
      <c r="K5" s="246"/>
      <c r="L5" s="246"/>
      <c r="M5" s="246"/>
      <c r="N5" s="246"/>
      <c r="O5" s="246"/>
      <c r="P5" s="247"/>
    </row>
    <row r="6" ht="25.15" s="22" customFormat="1">
      <c r="A6" s="241"/>
      <c r="B6" s="32" t="s">
        <v>5</v>
      </c>
      <c r="C6" s="248"/>
      <c r="D6" s="249"/>
      <c r="E6" s="249"/>
      <c r="F6" s="249"/>
      <c r="G6" s="249"/>
      <c r="H6" s="249"/>
      <c r="I6" s="249"/>
      <c r="J6" s="249"/>
      <c r="K6" s="249"/>
      <c r="L6" s="249"/>
      <c r="M6" s="249"/>
      <c r="N6" s="249"/>
      <c r="O6" s="249"/>
      <c r="P6" s="250"/>
    </row>
    <row r="7" ht="17.25">
      <c r="A7" s="241"/>
      <c r="B7" s="8" t="s">
        <v>6</v>
      </c>
      <c r="C7" s="226"/>
      <c r="D7" s="227"/>
      <c r="E7" s="227"/>
      <c r="F7" s="227"/>
      <c r="G7" s="227"/>
      <c r="H7" s="228"/>
      <c r="I7" s="227"/>
      <c r="J7" s="227"/>
      <c r="K7" s="227"/>
      <c r="L7" s="228"/>
      <c r="M7" s="227"/>
      <c r="N7" s="227"/>
      <c r="O7" s="228"/>
      <c r="P7" s="90"/>
    </row>
    <row r="8" ht="17.65" s="22" customFormat="1">
      <c r="A8" s="241"/>
      <c r="B8" s="9" t="s">
        <v>7</v>
      </c>
      <c r="C8" s="229"/>
      <c r="D8" s="230"/>
      <c r="E8" s="230"/>
      <c r="F8" s="230"/>
      <c r="G8" s="230"/>
      <c r="H8" s="231"/>
      <c r="I8" s="229"/>
      <c r="J8" s="230"/>
      <c r="K8" s="230"/>
      <c r="L8" s="231"/>
      <c r="M8" s="229"/>
      <c r="N8" s="230"/>
      <c r="O8" s="231"/>
      <c r="P8" s="74"/>
    </row>
    <row r="9" ht="17.25">
      <c r="A9" s="241"/>
      <c r="B9" s="8" t="s">
        <v>8</v>
      </c>
      <c r="C9" s="211"/>
      <c r="D9" s="212"/>
      <c r="E9" s="212"/>
      <c r="F9" s="212"/>
      <c r="G9" s="212"/>
      <c r="H9" s="213"/>
      <c r="I9" s="212"/>
      <c r="J9" s="212"/>
      <c r="K9" s="212"/>
      <c r="L9" s="213"/>
      <c r="M9" s="212"/>
      <c r="N9" s="212"/>
      <c r="O9" s="213"/>
      <c r="P9" s="73"/>
    </row>
    <row r="10" ht="17.65" s="22" customFormat="1">
      <c r="A10" s="241"/>
      <c r="B10" s="10" t="s">
        <v>9</v>
      </c>
      <c r="C10" s="229"/>
      <c r="D10" s="230"/>
      <c r="E10" s="230"/>
      <c r="F10" s="230"/>
      <c r="G10" s="230"/>
      <c r="H10" s="231"/>
      <c r="I10" s="229"/>
      <c r="J10" s="230"/>
      <c r="K10" s="230"/>
      <c r="L10" s="231"/>
      <c r="M10" s="229"/>
      <c r="N10" s="230"/>
      <c r="O10" s="231"/>
      <c r="P10" s="74"/>
    </row>
    <row r="11" ht="17.25">
      <c r="A11" s="241"/>
      <c r="B11" s="8" t="s">
        <v>10</v>
      </c>
      <c r="C11" s="211"/>
      <c r="D11" s="212"/>
      <c r="E11" s="212"/>
      <c r="F11" s="212"/>
      <c r="G11" s="212"/>
      <c r="H11" s="213"/>
      <c r="I11" s="212"/>
      <c r="J11" s="212"/>
      <c r="K11" s="212"/>
      <c r="L11" s="213"/>
      <c r="M11" s="212"/>
      <c r="N11" s="212"/>
      <c r="O11" s="213"/>
      <c r="P11" s="73"/>
    </row>
    <row r="12" ht="17.65" s="22" customFormat="1">
      <c r="A12" s="241"/>
      <c r="B12" s="10" t="s">
        <v>11</v>
      </c>
      <c r="C12" s="214"/>
      <c r="D12" s="215"/>
      <c r="E12" s="215"/>
      <c r="F12" s="215"/>
      <c r="G12" s="215"/>
      <c r="H12" s="216"/>
      <c r="I12" s="214"/>
      <c r="J12" s="215"/>
      <c r="K12" s="215"/>
      <c r="L12" s="216"/>
      <c r="M12" s="214"/>
      <c r="N12" s="215"/>
      <c r="O12" s="216"/>
      <c r="P12" s="74"/>
    </row>
    <row r="13" ht="17.25">
      <c r="A13" s="241"/>
      <c r="B13" s="8" t="s">
        <v>12</v>
      </c>
      <c r="C13" s="211"/>
      <c r="D13" s="212"/>
      <c r="E13" s="212"/>
      <c r="F13" s="212"/>
      <c r="G13" s="212"/>
      <c r="H13" s="213"/>
      <c r="I13" s="212"/>
      <c r="J13" s="212"/>
      <c r="K13" s="212"/>
      <c r="L13" s="213"/>
      <c r="M13" s="212"/>
      <c r="N13" s="212"/>
      <c r="O13" s="213"/>
      <c r="P13" s="73"/>
    </row>
    <row r="14" ht="17.65" s="22" customFormat="1">
      <c r="A14" s="241"/>
      <c r="B14" s="10" t="s">
        <v>13</v>
      </c>
      <c r="C14" s="208"/>
      <c r="D14" s="209"/>
      <c r="E14" s="209"/>
      <c r="F14" s="209"/>
      <c r="G14" s="209"/>
      <c r="H14" s="210"/>
      <c r="I14" s="208"/>
      <c r="J14" s="209"/>
      <c r="K14" s="209"/>
      <c r="L14" s="210"/>
      <c r="M14" s="208"/>
      <c r="N14" s="209"/>
      <c r="O14" s="210"/>
      <c r="P14" s="81"/>
    </row>
    <row r="15" ht="17.25">
      <c r="A15" s="241"/>
      <c r="B15" s="8" t="s">
        <v>14</v>
      </c>
      <c r="C15" s="211"/>
      <c r="D15" s="212"/>
      <c r="E15" s="212"/>
      <c r="F15" s="212"/>
      <c r="G15" s="212"/>
      <c r="H15" s="213"/>
      <c r="I15" s="212"/>
      <c r="J15" s="212"/>
      <c r="K15" s="212"/>
      <c r="L15" s="213"/>
      <c r="M15" s="212"/>
      <c r="N15" s="212"/>
      <c r="O15" s="213"/>
      <c r="P15" s="80"/>
    </row>
    <row r="16" ht="17.25" s="22" customFormat="1">
      <c r="A16" s="241"/>
      <c r="B16" s="68" t="s">
        <v>15</v>
      </c>
      <c r="C16" s="199"/>
      <c r="D16" s="200"/>
      <c r="E16" s="200"/>
      <c r="F16" s="200"/>
      <c r="G16" s="200"/>
      <c r="H16" s="201"/>
      <c r="I16" s="202"/>
      <c r="J16" s="203"/>
      <c r="K16" s="203"/>
      <c r="L16" s="204"/>
      <c r="M16" s="202"/>
      <c r="N16" s="203"/>
      <c r="O16" s="204"/>
      <c r="P16" s="75"/>
    </row>
    <row r="17" ht="17.25">
      <c r="A17" s="256"/>
      <c r="B17" s="70" t="s">
        <v>16</v>
      </c>
      <c r="C17" s="63" t="s">
        <v>17</v>
      </c>
      <c r="D17" s="64" t="s">
        <v>18</v>
      </c>
      <c r="E17" s="64" t="s">
        <v>19</v>
      </c>
      <c r="F17" s="64" t="s">
        <v>20</v>
      </c>
      <c r="G17" s="64" t="s">
        <v>21</v>
      </c>
      <c r="H17" s="65" t="s">
        <v>22</v>
      </c>
      <c r="I17" s="63" t="s">
        <v>17</v>
      </c>
      <c r="J17" s="64" t="s">
        <v>18</v>
      </c>
      <c r="K17" s="64" t="s">
        <v>19</v>
      </c>
      <c r="L17" s="65" t="s">
        <v>20</v>
      </c>
      <c r="M17" s="63" t="s">
        <v>17</v>
      </c>
      <c r="N17" s="64" t="s">
        <v>18</v>
      </c>
      <c r="O17" s="65" t="s">
        <v>19</v>
      </c>
      <c r="P17" s="76" t="s">
        <v>17</v>
      </c>
    </row>
    <row r="18" ht="17.25">
      <c r="A18" s="256"/>
      <c r="B18" s="70" t="s">
        <v>23</v>
      </c>
      <c r="C18" s="63"/>
      <c r="D18" s="64"/>
      <c r="E18" s="64"/>
      <c r="F18" s="64"/>
      <c r="G18" s="64"/>
      <c r="H18" s="65"/>
      <c r="I18" s="63"/>
      <c r="J18" s="64"/>
      <c r="K18" s="64"/>
      <c r="L18" s="65"/>
      <c r="M18" s="63"/>
      <c r="N18" s="64"/>
      <c r="O18" s="65"/>
      <c r="P18" s="77"/>
    </row>
    <row r="19" ht="17.25">
      <c r="A19" s="256"/>
      <c r="B19" s="71" t="s">
        <v>24</v>
      </c>
      <c r="C19" s="105">
        <f>VLOOKUP(C8,AntennasPortName!A:H,2,FALSE)</f>
      </c>
      <c r="D19" s="105">
        <f>VLOOKUP(C8,AntennasPortName!A:H,3,FALSE)</f>
      </c>
      <c r="E19" s="105">
        <f>VLOOKUP(C8,AntennasPortName!A:H,4,FALSE)</f>
      </c>
      <c r="F19" s="105">
        <f>VLOOKUP(C8,AntennasPortName!A:H,5,FALSE)</f>
      </c>
      <c r="G19" s="105">
        <f>VLOOKUP(C8,AntennasPortName!A:H,6,FALSE)</f>
      </c>
      <c r="H19" s="105">
        <f>VLOOKUP(C8,AntennasPortName!A:H,7,FALSE)</f>
      </c>
      <c r="I19" s="105">
        <f>VLOOKUP(I8,AntennasPortName!A:H,2,FALSE)</f>
      </c>
      <c r="J19" s="105">
        <f>VLOOKUP(I8,AntennasPortName!A:H,3,FALSE)</f>
      </c>
      <c r="K19" s="105">
        <f>VLOOKUP(I8,AntennasPortName!A:H,4,FALSE)</f>
      </c>
      <c r="L19" s="105">
        <f>VLOOKUP(I8,AntennasPortName!A:H,5,FALSE)</f>
      </c>
      <c r="M19" s="105">
        <f>VLOOKUP(M8,AntennasPortName!A:H,2,FALSE)</f>
      </c>
      <c r="N19" s="105">
        <f>VLOOKUP(M8,AntennasPortName!A:H,3,FALSE)</f>
      </c>
      <c r="O19" s="105">
        <f>VLOOKUP(M8,AntennasPortName!A:H,4,FALSE)</f>
      </c>
      <c r="P19" s="99">
        <f>VLOOKUP(P8,AntennasPortName!A:H,2,FALSE)</f>
      </c>
    </row>
    <row r="20" ht="17.25">
      <c r="A20" s="241"/>
      <c r="B20" s="69" t="s">
        <v>25</v>
      </c>
      <c r="C20" s="61"/>
      <c r="D20" s="62"/>
      <c r="E20" s="62"/>
      <c r="F20" s="62"/>
      <c r="G20" s="62"/>
      <c r="H20" s="62"/>
      <c r="I20" s="61"/>
      <c r="J20" s="62"/>
      <c r="K20" s="62"/>
      <c r="L20" s="66"/>
      <c r="M20" s="67"/>
      <c r="N20" s="62"/>
      <c r="O20" s="66"/>
      <c r="P20" s="66"/>
    </row>
    <row r="21" ht="17.65">
      <c r="A21" s="241"/>
      <c r="B21" s="18" t="s">
        <v>26</v>
      </c>
      <c r="C21" s="42">
        <f>VLOOKUP(C8,Antennas!A:H,2,FALSE)</f>
      </c>
      <c r="D21" s="43">
        <f>VLOOKUP(C8,Antennas!A:H,3,FALSE)</f>
      </c>
      <c r="E21" s="43">
        <f>VLOOKUP(C8,Antennas!A:H,4,FALSE)</f>
      </c>
      <c r="F21" s="43">
        <f>VLOOKUP(C8,Antennas!A:H,5,FALSE)</f>
      </c>
      <c r="G21" s="43">
        <f>VLOOKUP(C8,Antennas!A:H,6,FALSE)</f>
      </c>
      <c r="H21" s="43">
        <f>VLOOKUP(C8,Antennas!A:H,7,FALSE)</f>
      </c>
      <c r="I21" s="43">
        <f>VLOOKUP(I8,Antennas!A:H,2,FALSE)</f>
      </c>
      <c r="J21" s="43">
        <f>VLOOKUP(I8,Antennas!A:H,3,FALSE)</f>
      </c>
      <c r="K21" s="43">
        <f>VLOOKUP(I8,Antennas!A:H,4,FALSE)</f>
      </c>
      <c r="L21" s="44">
        <f>VLOOKUP(I8,Antennas!A:H,5,FALSE)</f>
      </c>
      <c r="M21" s="45">
        <f>VLOOKUP(M8,Antennas!A:H,2,FALSE)</f>
      </c>
      <c r="N21" s="43">
        <f>VLOOKUP(M8,Antennas!A:H,3,FALSE)</f>
      </c>
      <c r="O21" s="42">
        <f>VLOOKUP(M8,Antennas!A:H,4,FALSE)</f>
      </c>
      <c r="P21" s="42">
        <f>VLOOKUP(P8,Antennas!A:H,2,FALSE)</f>
      </c>
      <c r="R21" s="17"/>
    </row>
    <row r="22" ht="17.65" s="22" customFormat="1">
      <c r="A22" s="241"/>
      <c r="B22" s="28" t="s">
        <v>27</v>
      </c>
      <c r="C22" s="46"/>
      <c r="D22" s="47"/>
      <c r="E22" s="47"/>
      <c r="F22" s="47"/>
      <c r="G22" s="47"/>
      <c r="H22" s="47"/>
      <c r="I22" s="47"/>
      <c r="J22" s="47"/>
      <c r="K22" s="47"/>
      <c r="L22" s="48"/>
      <c r="M22" s="49"/>
      <c r="N22" s="47"/>
      <c r="O22" s="50"/>
      <c r="P22" s="50"/>
    </row>
    <row r="23" ht="17.65" s="22" customFormat="1">
      <c r="A23" s="241"/>
      <c r="B23" s="28" t="s">
        <v>28</v>
      </c>
      <c r="C23" s="46"/>
      <c r="D23" s="46"/>
      <c r="E23" s="46"/>
      <c r="F23" s="46"/>
      <c r="G23" s="46"/>
      <c r="H23" s="46"/>
      <c r="I23" s="46"/>
      <c r="J23" s="46"/>
      <c r="K23" s="46"/>
      <c r="L23" s="46"/>
      <c r="M23" s="46"/>
      <c r="N23" s="46"/>
      <c r="O23" s="46"/>
      <c r="P23" s="46"/>
    </row>
    <row r="24" ht="17.25">
      <c r="A24" s="241"/>
      <c r="B24" s="11" t="s">
        <v>29</v>
      </c>
      <c r="C24" s="25"/>
      <c r="D24" s="25"/>
      <c r="E24" s="25"/>
      <c r="F24" s="25"/>
      <c r="G24" s="25"/>
      <c r="H24" s="25"/>
      <c r="I24" s="25"/>
      <c r="J24" s="25"/>
      <c r="K24" s="25"/>
      <c r="L24" s="25"/>
      <c r="M24" s="25"/>
      <c r="N24" s="25"/>
      <c r="O24" s="25"/>
      <c r="P24" s="25"/>
    </row>
    <row r="25" ht="17.65" s="22" customFormat="1">
      <c r="A25" s="241"/>
      <c r="B25" s="29" t="s">
        <v>30</v>
      </c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78"/>
    </row>
    <row r="26" ht="17.25">
      <c r="A26" s="241"/>
      <c r="B26" s="27" t="s">
        <v>31</v>
      </c>
      <c r="C26" s="24"/>
      <c r="D26" s="24"/>
      <c r="E26" s="24"/>
      <c r="F26" s="24"/>
      <c r="G26" s="24"/>
      <c r="H26" s="24"/>
      <c r="I26" s="24"/>
      <c r="J26" s="24"/>
      <c r="K26" s="24"/>
      <c r="L26" s="24"/>
      <c r="M26" s="24"/>
      <c r="N26" s="24"/>
      <c r="O26" s="24"/>
      <c r="P26" s="24"/>
    </row>
    <row r="27" ht="17.65" s="22" customFormat="1">
      <c r="A27" s="241"/>
      <c r="B27" s="30" t="s">
        <v>32</v>
      </c>
      <c r="C27" s="52"/>
      <c r="D27" s="52"/>
      <c r="E27" s="52"/>
      <c r="F27" s="52"/>
      <c r="G27" s="52"/>
      <c r="H27" s="52"/>
      <c r="I27" s="52"/>
      <c r="J27" s="52"/>
      <c r="K27" s="52"/>
      <c r="L27" s="52"/>
      <c r="M27" s="52"/>
      <c r="N27" s="52"/>
      <c r="O27" s="52"/>
      <c r="P27" s="52"/>
    </row>
    <row r="28" ht="17.25">
      <c r="A28" s="241"/>
      <c r="B28" s="11" t="s">
        <v>33</v>
      </c>
      <c r="C28" s="24"/>
      <c r="D28" s="24"/>
      <c r="E28" s="24"/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</row>
    <row r="29" ht="17.65" s="22" customFormat="1">
      <c r="A29" s="241"/>
      <c r="B29" s="31" t="s">
        <v>34</v>
      </c>
      <c r="C29" s="51"/>
      <c r="D29" s="51"/>
      <c r="E29" s="51"/>
      <c r="F29" s="51"/>
      <c r="G29" s="51"/>
      <c r="H29" s="51"/>
      <c r="I29" s="51"/>
      <c r="J29" s="51"/>
      <c r="K29" s="51"/>
      <c r="L29" s="51"/>
      <c r="M29" s="51"/>
      <c r="N29" s="51"/>
      <c r="O29" s="51"/>
      <c r="P29" s="78"/>
    </row>
    <row r="30" ht="17.25">
      <c r="A30" s="241"/>
      <c r="B30" s="27" t="s">
        <v>35</v>
      </c>
      <c r="C30" s="24"/>
      <c r="D30" s="24"/>
      <c r="E30" s="24"/>
      <c r="F30" s="24"/>
      <c r="G30" s="24"/>
      <c r="H30" s="24"/>
      <c r="I30" s="24"/>
      <c r="J30" s="24"/>
      <c r="K30" s="24"/>
      <c r="L30" s="24"/>
      <c r="M30" s="24"/>
      <c r="N30" s="24"/>
      <c r="O30" s="24"/>
      <c r="P30" s="24"/>
    </row>
    <row r="31" ht="17.65" s="22" customFormat="1">
      <c r="A31" s="241"/>
      <c r="B31" s="30" t="s">
        <v>36</v>
      </c>
      <c r="C31" s="53"/>
      <c r="D31" s="53"/>
      <c r="E31" s="53"/>
      <c r="F31" s="53"/>
      <c r="G31" s="53"/>
      <c r="H31" s="53"/>
      <c r="I31" s="53"/>
      <c r="J31" s="53"/>
      <c r="K31" s="53"/>
      <c r="L31" s="53"/>
      <c r="M31" s="53"/>
      <c r="N31" s="53"/>
      <c r="O31" s="53"/>
      <c r="P31" s="79"/>
    </row>
    <row r="32" ht="17.25">
      <c r="A32" s="241"/>
      <c r="B32" s="11" t="s">
        <v>37</v>
      </c>
      <c r="C32" s="25"/>
      <c r="D32" s="25"/>
      <c r="E32" s="25"/>
      <c r="F32" s="25"/>
      <c r="G32" s="25"/>
      <c r="H32" s="25"/>
      <c r="I32" s="25"/>
      <c r="J32" s="25"/>
      <c r="K32" s="25"/>
      <c r="L32" s="25"/>
      <c r="M32" s="25"/>
      <c r="N32" s="25"/>
      <c r="O32" s="25"/>
      <c r="P32" s="25"/>
    </row>
    <row r="33" ht="17.65" s="22" customFormat="1">
      <c r="A33" s="241"/>
      <c r="B33" s="30" t="s">
        <v>38</v>
      </c>
      <c r="C33" s="51"/>
      <c r="D33" s="51"/>
      <c r="E33" s="51"/>
      <c r="F33" s="51"/>
      <c r="G33" s="51"/>
      <c r="H33" s="51"/>
      <c r="I33" s="51"/>
      <c r="J33" s="51"/>
      <c r="K33" s="51"/>
      <c r="L33" s="51"/>
      <c r="M33" s="51"/>
      <c r="N33" s="51"/>
      <c r="O33" s="51"/>
      <c r="P33" s="78"/>
    </row>
    <row r="34" ht="17.25">
      <c r="A34" s="241"/>
      <c r="B34" s="27" t="s">
        <v>39</v>
      </c>
      <c r="C34" s="24"/>
      <c r="D34" s="24"/>
      <c r="E34" s="24"/>
      <c r="F34" s="24"/>
      <c r="G34" s="24"/>
      <c r="H34" s="24"/>
      <c r="I34" s="24"/>
      <c r="J34" s="24"/>
      <c r="K34" s="24"/>
      <c r="L34" s="24"/>
      <c r="M34" s="24"/>
      <c r="N34" s="24"/>
      <c r="O34" s="24"/>
      <c r="P34" s="24"/>
      <c r="U34" s="22"/>
    </row>
    <row r="35" ht="17.65" s="22" customFormat="1">
      <c r="A35" s="241"/>
      <c r="B35" s="28" t="s">
        <v>40</v>
      </c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78"/>
      <c r="U35" s="21"/>
    </row>
    <row r="36" ht="17.25">
      <c r="A36" s="241"/>
      <c r="B36" s="11" t="s">
        <v>41</v>
      </c>
      <c r="C36" s="25"/>
      <c r="D36" s="25"/>
      <c r="E36" s="25"/>
      <c r="F36" s="25"/>
      <c r="G36" s="25"/>
      <c r="H36" s="25"/>
      <c r="I36" s="25"/>
      <c r="J36" s="25"/>
      <c r="K36" s="25"/>
      <c r="L36" s="25"/>
      <c r="M36" s="25"/>
      <c r="N36" s="25"/>
      <c r="O36" s="25"/>
      <c r="P36" s="25"/>
    </row>
    <row r="37" ht="17.65" s="22" customFormat="1">
      <c r="A37" s="241"/>
      <c r="B37" s="28" t="s">
        <v>42</v>
      </c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78"/>
    </row>
    <row r="38" ht="17.25">
      <c r="A38" s="241"/>
      <c r="B38" s="11" t="s">
        <v>43</v>
      </c>
      <c r="C38" s="25"/>
      <c r="D38" s="25"/>
      <c r="E38" s="25"/>
      <c r="F38" s="25"/>
      <c r="G38" s="25"/>
      <c r="H38" s="25"/>
      <c r="I38" s="25"/>
      <c r="J38" s="25"/>
      <c r="K38" s="25"/>
      <c r="L38" s="25"/>
      <c r="M38" s="25"/>
      <c r="N38" s="25"/>
      <c r="O38" s="25"/>
      <c r="P38" s="25"/>
    </row>
    <row r="39" ht="17.65" s="22" customFormat="1">
      <c r="A39" s="241"/>
      <c r="B39" s="28" t="s">
        <v>44</v>
      </c>
      <c r="C39" s="51"/>
      <c r="D39" s="51"/>
      <c r="E39" s="51"/>
      <c r="F39" s="51"/>
      <c r="G39" s="51"/>
      <c r="H39" s="51"/>
      <c r="I39" s="51"/>
      <c r="J39" s="51"/>
      <c r="K39" s="51"/>
      <c r="L39" s="51"/>
      <c r="M39" s="51"/>
      <c r="N39" s="51"/>
      <c r="O39" s="51"/>
      <c r="P39" s="78"/>
    </row>
    <row r="40" ht="17.25">
      <c r="A40" s="241"/>
      <c r="B40" s="11" t="s">
        <v>45</v>
      </c>
      <c r="C40" s="26"/>
      <c r="D40" s="26"/>
      <c r="E40" s="26"/>
      <c r="F40" s="26"/>
      <c r="G40" s="26"/>
      <c r="H40" s="26"/>
      <c r="I40" s="26"/>
      <c r="J40" s="26"/>
      <c r="K40" s="26"/>
      <c r="L40" s="26"/>
      <c r="M40" s="26"/>
      <c r="N40" s="26"/>
      <c r="O40" s="26"/>
      <c r="P40" s="26"/>
    </row>
    <row r="41" ht="17.65" s="22" customFormat="1">
      <c r="A41" s="241"/>
      <c r="B41" s="29" t="s">
        <v>46</v>
      </c>
      <c r="C41" s="51"/>
      <c r="D41" s="51"/>
      <c r="E41" s="51"/>
      <c r="F41" s="51"/>
      <c r="G41" s="51"/>
      <c r="H41" s="51"/>
      <c r="I41" s="51"/>
      <c r="J41" s="51"/>
      <c r="K41" s="51"/>
      <c r="L41" s="51"/>
      <c r="M41" s="51"/>
      <c r="N41" s="51"/>
      <c r="O41" s="51"/>
      <c r="P41" s="78"/>
    </row>
    <row r="42" ht="12.75" customHeight="1">
      <c r="A42" s="223" t="s">
        <v>47</v>
      </c>
      <c r="B42" s="232"/>
      <c r="C42" s="233"/>
      <c r="D42" s="233"/>
      <c r="E42" s="233"/>
      <c r="F42" s="233"/>
      <c r="G42" s="233"/>
      <c r="H42" s="233"/>
      <c r="I42" s="233"/>
      <c r="J42" s="233"/>
      <c r="K42" s="233"/>
      <c r="L42" s="233"/>
      <c r="M42" s="233"/>
      <c r="N42" s="233"/>
      <c r="O42" s="233"/>
      <c r="P42" s="234"/>
      <c r="Q42" s="22"/>
      <c r="R42" s="22"/>
      <c r="S42" s="22"/>
    </row>
    <row r="43" ht="13.15" customHeight="1">
      <c r="A43" s="224"/>
      <c r="B43" s="235"/>
      <c r="C43" s="236"/>
      <c r="D43" s="236"/>
      <c r="E43" s="236"/>
      <c r="F43" s="236"/>
      <c r="G43" s="236"/>
      <c r="H43" s="236"/>
      <c r="I43" s="236"/>
      <c r="J43" s="236"/>
      <c r="K43" s="236"/>
      <c r="L43" s="236"/>
      <c r="M43" s="236"/>
      <c r="N43" s="236"/>
      <c r="O43" s="236"/>
      <c r="P43" s="237"/>
      <c r="Q43" s="22"/>
      <c r="R43" s="22"/>
      <c r="S43" s="22"/>
    </row>
    <row r="44" ht="13.15" customHeight="1">
      <c r="A44" s="224"/>
      <c r="B44" s="235"/>
      <c r="C44" s="236"/>
      <c r="D44" s="236"/>
      <c r="E44" s="236"/>
      <c r="F44" s="236"/>
      <c r="G44" s="236"/>
      <c r="H44" s="236"/>
      <c r="I44" s="236"/>
      <c r="J44" s="236"/>
      <c r="K44" s="236"/>
      <c r="L44" s="236"/>
      <c r="M44" s="236"/>
      <c r="N44" s="236"/>
      <c r="O44" s="236"/>
      <c r="P44" s="237"/>
      <c r="Q44" s="22"/>
      <c r="R44" s="22"/>
      <c r="S44" s="22"/>
    </row>
    <row r="45" ht="13.9" customHeight="1">
      <c r="A45" s="225"/>
      <c r="B45" s="238"/>
      <c r="C45" s="239"/>
      <c r="D45" s="239"/>
      <c r="E45" s="239"/>
      <c r="F45" s="239"/>
      <c r="G45" s="239"/>
      <c r="H45" s="239"/>
      <c r="I45" s="239"/>
      <c r="J45" s="239"/>
      <c r="K45" s="239"/>
      <c r="L45" s="239"/>
      <c r="M45" s="239"/>
      <c r="N45" s="239"/>
      <c r="O45" s="239"/>
      <c r="P45" s="240"/>
      <c r="Q45" s="22"/>
      <c r="R45" s="22"/>
      <c r="S45" s="22"/>
    </row>
  </sheetData>
  <mergeCells>
    <mergeCell ref="M14:O14"/>
    <mergeCell ref="M10:O10"/>
    <mergeCell ref="C11:H11"/>
    <mergeCell ref="I11:L11"/>
    <mergeCell ref="M11:O11"/>
    <mergeCell ref="C12:H12"/>
    <mergeCell ref="I12:L12"/>
    <mergeCell ref="M12:O12"/>
    <mergeCell ref="C10:H10"/>
    <mergeCell ref="I10:L10"/>
    <mergeCell ref="A34:A35"/>
    <mergeCell ref="A36:A41"/>
    <mergeCell ref="A42:A45"/>
    <mergeCell ref="C15:H15"/>
    <mergeCell ref="I15:L15"/>
    <mergeCell ref="B42:P45"/>
    <mergeCell ref="M15:O15"/>
    <mergeCell ref="C16:H16"/>
    <mergeCell ref="I16:L16"/>
    <mergeCell ref="M16:O16"/>
    <mergeCell ref="A3:A33"/>
    <mergeCell ref="C13:H13"/>
    <mergeCell ref="I13:L13"/>
    <mergeCell ref="M13:O13"/>
    <mergeCell ref="C14:H14"/>
    <mergeCell ref="I14:L14"/>
    <mergeCell ref="A1:B1"/>
    <mergeCell ref="C2:H2"/>
    <mergeCell ref="I2:L2"/>
    <mergeCell ref="M2:O2"/>
    <mergeCell ref="C1:P1"/>
    <mergeCell ref="C3:P3"/>
    <mergeCell ref="C4:P4"/>
    <mergeCell ref="C5:P5"/>
    <mergeCell ref="C6:P6"/>
    <mergeCell ref="C7:H7"/>
    <mergeCell ref="I7:L7"/>
    <mergeCell ref="M7:O7"/>
    <mergeCell ref="C8:H8"/>
    <mergeCell ref="I8:L8"/>
    <mergeCell ref="M8:O8"/>
    <mergeCell ref="C9:H9"/>
    <mergeCell ref="I9:L9"/>
    <mergeCell ref="M9:O9"/>
  </mergeCells>
  <conditionalFormatting sqref="C22:E22 C4 H22:O22">
    <cfRule type="cellIs" dxfId="0" priority="49" operator="greaterThan">
      <formula>0</formula>
    </cfRule>
  </conditionalFormatting>
  <conditionalFormatting sqref="C21:E21 H21:O21">
    <cfRule type="expression" dxfId="1" priority="48">
      <formula>ISERROR(C21)</formula>
    </cfRule>
  </conditionalFormatting>
  <conditionalFormatting sqref="C21:E21 H21:O21">
    <cfRule type="cellIs" dxfId="1" priority="47" operator="equal">
      <formula>0</formula>
    </cfRule>
  </conditionalFormatting>
  <conditionalFormatting sqref="C21:E21 H21:O21">
    <cfRule type="cellIs" dxfId="3" priority="46" operator="greaterThan">
      <formula>0</formula>
    </cfRule>
  </conditionalFormatting>
  <conditionalFormatting sqref="C27:O27 D29:O29 D33:O33">
    <cfRule type="cellIs" dxfId="0" priority="45" operator="notEqual">
      <formula>VALUE(C26)</formula>
    </cfRule>
  </conditionalFormatting>
  <conditionalFormatting sqref="C8:O8 C10:O10 C12:O12 C14:O14 C16:O16 C27:O27 D29:O29 D31:O31 D33:O33 D35:O35 D37:O37 D25:O25 D39:O39 D41:O41">
    <cfRule type="expression" dxfId="10" priority="41">
      <formula>ISBLANK(C8)</formula>
    </cfRule>
  </conditionalFormatting>
  <conditionalFormatting sqref="C29">
    <cfRule type="cellIs" dxfId="0" priority="43" operator="notEqual">
      <formula>VALUE(C28)</formula>
    </cfRule>
  </conditionalFormatting>
  <conditionalFormatting sqref="C29">
    <cfRule type="expression" dxfId="10" priority="42">
      <formula>ISBLANK(C29)</formula>
    </cfRule>
  </conditionalFormatting>
  <conditionalFormatting sqref="C8:O8 C10:O10 C12:O12 C14:O14 C16:O16 C31:O31 D35:O35 D37:O37 D25:O25 D39:O39 D41:O41">
    <cfRule type="cellIs" dxfId="0" priority="44" operator="notEqual">
      <formula>C7</formula>
    </cfRule>
  </conditionalFormatting>
  <conditionalFormatting sqref="C31">
    <cfRule type="expression" dxfId="10" priority="40">
      <formula>ISBLANK(C31)</formula>
    </cfRule>
  </conditionalFormatting>
  <conditionalFormatting sqref="C33">
    <cfRule type="cellIs" dxfId="0" priority="39" operator="notEqual">
      <formula>VALUE(C32)</formula>
    </cfRule>
  </conditionalFormatting>
  <conditionalFormatting sqref="C33">
    <cfRule type="expression" dxfId="10" priority="38">
      <formula>ISBLANK(C33)</formula>
    </cfRule>
  </conditionalFormatting>
  <conditionalFormatting sqref="C35">
    <cfRule type="cellIs" dxfId="0" priority="37" operator="notEqual">
      <formula>C34</formula>
    </cfRule>
  </conditionalFormatting>
  <conditionalFormatting sqref="C35">
    <cfRule type="expression" dxfId="10" priority="36">
      <formula>ISBLANK(C35)</formula>
    </cfRule>
  </conditionalFormatting>
  <conditionalFormatting sqref="C37">
    <cfRule type="cellIs" dxfId="0" priority="35" operator="notEqual">
      <formula>C36</formula>
    </cfRule>
  </conditionalFormatting>
  <conditionalFormatting sqref="C37">
    <cfRule type="expression" dxfId="10" priority="34">
      <formula>ISBLANK(C37)</formula>
    </cfRule>
  </conditionalFormatting>
  <conditionalFormatting sqref="C6">
    <cfRule type="expression" dxfId="10" priority="32">
      <formula>ISBLANK(C6)</formula>
    </cfRule>
    <cfRule type="cellIs" dxfId="0" priority="33" operator="notEqual">
      <formula>C5</formula>
    </cfRule>
  </conditionalFormatting>
  <conditionalFormatting sqref="C25">
    <cfRule type="cellIs" dxfId="0" priority="31" operator="notEqual">
      <formula>C24</formula>
    </cfRule>
  </conditionalFormatting>
  <conditionalFormatting sqref="C25">
    <cfRule type="expression" dxfId="10" priority="30">
      <formula>ISBLANK(C25)</formula>
    </cfRule>
  </conditionalFormatting>
  <conditionalFormatting sqref="C39">
    <cfRule type="cellIs" dxfId="0" priority="29" operator="notEqual">
      <formula>C38</formula>
    </cfRule>
  </conditionalFormatting>
  <conditionalFormatting sqref="C39">
    <cfRule type="expression" dxfId="10" priority="28">
      <formula>ISBLANK(C39)</formula>
    </cfRule>
  </conditionalFormatting>
  <conditionalFormatting sqref="C41">
    <cfRule type="cellIs" dxfId="0" priority="27" operator="notEqual">
      <formula>C40</formula>
    </cfRule>
  </conditionalFormatting>
  <conditionalFormatting sqref="C41">
    <cfRule type="expression" dxfId="10" priority="26">
      <formula>ISBLANK(C41)</formula>
    </cfRule>
  </conditionalFormatting>
  <conditionalFormatting sqref="C24:O41">
    <cfRule type="expression" dxfId="1" priority="25" stopIfTrue="1">
      <formula>OR(C$22="Free",C$22="Telenor",C$22="Mtel",C$22="Telenor&amp;Mtel")</formula>
    </cfRule>
  </conditionalFormatting>
  <conditionalFormatting sqref="F22:G22">
    <cfRule type="cellIs" dxfId="0" priority="24" operator="greaterThan">
      <formula>0</formula>
    </cfRule>
  </conditionalFormatting>
  <conditionalFormatting sqref="F21:G21">
    <cfRule type="expression" dxfId="1" priority="23">
      <formula>ISERROR(F21)</formula>
    </cfRule>
  </conditionalFormatting>
  <conditionalFormatting sqref="F21:G21">
    <cfRule type="cellIs" dxfId="1" priority="22" operator="equal">
      <formula>0</formula>
    </cfRule>
  </conditionalFormatting>
  <conditionalFormatting sqref="F21:G21">
    <cfRule type="cellIs" dxfId="3" priority="21" operator="greaterThan">
      <formula>0</formula>
    </cfRule>
  </conditionalFormatting>
  <conditionalFormatting sqref="C19">
    <cfRule type="cellIs" dxfId="1" priority="19" operator="equal">
      <formula>0</formula>
    </cfRule>
    <cfRule type="expression" dxfId="1" priority="20">
      <formula>ISERROR(C19)</formula>
    </cfRule>
  </conditionalFormatting>
  <conditionalFormatting sqref="D19:O19">
    <cfRule type="cellIs" dxfId="1" priority="17" operator="equal">
      <formula>0</formula>
    </cfRule>
    <cfRule type="expression" dxfId="1" priority="18">
      <formula>ISERROR(D19)</formula>
    </cfRule>
  </conditionalFormatting>
  <conditionalFormatting sqref="P22">
    <cfRule type="cellIs" dxfId="0" priority="11" operator="greaterThan">
      <formula>0</formula>
    </cfRule>
  </conditionalFormatting>
  <conditionalFormatting sqref="P21">
    <cfRule type="expression" dxfId="1" priority="10">
      <formula>ISERROR(P21)</formula>
    </cfRule>
  </conditionalFormatting>
  <conditionalFormatting sqref="P21">
    <cfRule type="cellIs" dxfId="1" priority="9" operator="equal">
      <formula>0</formula>
    </cfRule>
  </conditionalFormatting>
  <conditionalFormatting sqref="P21">
    <cfRule type="cellIs" dxfId="3" priority="8" operator="greaterThan">
      <formula>0</formula>
    </cfRule>
  </conditionalFormatting>
  <conditionalFormatting sqref="P27 P29 P33">
    <cfRule type="cellIs" dxfId="0" priority="7" operator="notEqual">
      <formula>VALUE(P26)</formula>
    </cfRule>
  </conditionalFormatting>
  <conditionalFormatting sqref="P8 P10 P12 P14 P16 P27 P29 P31 P33 P35 P37 P25 P39 P41">
    <cfRule type="expression" dxfId="10" priority="5">
      <formula>ISBLANK(P8)</formula>
    </cfRule>
  </conditionalFormatting>
  <conditionalFormatting sqref="P8 P10 P12 P14 P16 P31 P35 P37 P25 P39 P41">
    <cfRule type="cellIs" dxfId="0" priority="6" operator="notEqual">
      <formula>P7</formula>
    </cfRule>
  </conditionalFormatting>
  <conditionalFormatting sqref="P24:P41">
    <cfRule type="expression" dxfId="1" priority="4" stopIfTrue="1">
      <formula>OR(P$22="Free",P$22="Telenor",P$22="Mtel",P$22="Telenor&amp;Mtel")</formula>
    </cfRule>
  </conditionalFormatting>
  <conditionalFormatting sqref="P19">
    <cfRule type="cellIs" dxfId="1" priority="2" operator="equal">
      <formula>0</formula>
    </cfRule>
    <cfRule type="expression" dxfId="1" priority="3">
      <formula>ISERROR(P19)</formula>
    </cfRule>
  </conditionalFormatting>
  <conditionalFormatting sqref="C23:P23">
    <cfRule type="cellIs" dxfId="0" priority="1" operator="greaterThan">
      <formula>0</formula>
    </cfRule>
  </conditionalFormatting>
  <dataValidations count="165">
    <dataValidation type="list" xr:uid="{6DA2D13C-AE9C-409B-80CC-F64906CDE709}" sqref="C2" showErrorMessage="1" errorTitle="An invalid feedback was entered" error="Please choose feedback from drop down only.">
      <formula1>"1,2,3"</formula1>
    </dataValidation>
    <dataValidation type="list" xr:uid="{DD0BED12-5ED7-400E-A4FA-A3A8D40D2E53}" sqref="D2" showErrorMessage="1" errorTitle="An invalid feedback was entered" error="Please choose feedback from drop down only.">
      <formula1>"1,2,3"</formula1>
    </dataValidation>
    <dataValidation type="list" xr:uid="{A33724C0-6901-4EB0-A373-08111CFB3979}" sqref="E2" showErrorMessage="1" errorTitle="An invalid feedback was entered" error="Please choose feedback from drop down only.">
      <formula1>"1,2,3"</formula1>
    </dataValidation>
    <dataValidation type="list" xr:uid="{9A0B5EB7-821A-4FC0-AE64-7529BCA732DA}" sqref="F2" showErrorMessage="1" errorTitle="An invalid feedback was entered" error="Please choose feedback from drop down only.">
      <formula1>"1,2,3"</formula1>
    </dataValidation>
    <dataValidation type="list" xr:uid="{425D2B27-BD8F-4C0D-81DF-92BEAA80A957}" sqref="G2" showErrorMessage="1" errorTitle="An invalid feedback was entered" error="Please choose feedback from drop down only.">
      <formula1>"1,2,3"</formula1>
    </dataValidation>
    <dataValidation type="list" xr:uid="{EC27B9AA-26A2-4C13-A779-6935EC6DEE30}" sqref="H2" showErrorMessage="1" errorTitle="An invalid feedback was entered" error="Please choose feedback from drop down only.">
      <formula1>"1,2,3"</formula1>
    </dataValidation>
    <dataValidation type="list" xr:uid="{06523C2A-785E-48A1-9523-725D6447D138}" sqref="I2" showErrorMessage="1" errorTitle="An invalid feedback was entered" error="Please choose feedback from drop down only.">
      <formula1>"1,2,3"</formula1>
    </dataValidation>
    <dataValidation type="list" xr:uid="{D5B2F7FA-3D09-4A86-9B13-8D4184BE2838}" sqref="J2" showErrorMessage="1" errorTitle="An invalid feedback was entered" error="Please choose feedback from drop down only.">
      <formula1>"1,2,3"</formula1>
    </dataValidation>
    <dataValidation type="list" xr:uid="{382C71E9-B814-4D44-A1A6-1CD3FD5A686C}" sqref="K2" showErrorMessage="1" errorTitle="An invalid feedback was entered" error="Please choose feedback from drop down only.">
      <formula1>"1,2,3"</formula1>
    </dataValidation>
    <dataValidation type="list" xr:uid="{94BC633B-E50C-477D-8822-2226F2DC1557}" sqref="L2" showErrorMessage="1" errorTitle="An invalid feedback was entered" error="Please choose feedback from drop down only.">
      <formula1>"1,2,3"</formula1>
    </dataValidation>
    <dataValidation type="list" xr:uid="{222FC175-C87E-43EA-9A89-4E868E2943FA}" sqref="M2" showErrorMessage="1" errorTitle="An invalid feedback was entered" error="Please choose feedback from drop down only.">
      <formula1>"1,2,3"</formula1>
    </dataValidation>
    <dataValidation type="list" xr:uid="{95623234-2D81-4F1E-81D1-92101F814BCD}" sqref="N2" showErrorMessage="1" errorTitle="An invalid feedback was entered" error="Please choose feedback from drop down only.">
      <formula1>"1,2,3"</formula1>
    </dataValidation>
    <dataValidation type="list" xr:uid="{B6E6058E-00EF-4BF9-AFFD-EB1129E95BC0}" sqref="O2" showErrorMessage="1" errorTitle="An invalid feedback was entered" error="Please choose feedback from drop down only.">
      <formula1>"1,2,3"</formula1>
    </dataValidation>
    <dataValidation type="list" xr:uid="{E26FE999-8C3B-45B6-93A6-679B7C2F77AF}" sqref="P2" showErrorMessage="1" errorTitle="An invalid feedback was entered" error="Please choose feedback from drop down only.">
      <formula1>"1,2,3"</formula1>
    </dataValidation>
    <dataValidation type="list" xr:uid="{20020CD9-59CB-4EAD-A99E-9F178EE4BAD1}" sqref="Q2" showErrorMessage="1" errorTitle="An invalid feedback was entered" error="Please choose feedback from drop down only.">
      <formula1>"1,2,3"</formula1>
    </dataValidation>
    <dataValidation type="list" xr:uid="{F295A8C8-25FB-4098-87CE-764C6097240D}" sqref="C17" showErrorMessage="1" errorTitle="An invalid feedback was entered" error="Please choose feedback from drop down only.">
      <formula1>"1-2,3-4,5-6,7-8,9-10,N/A"</formula1>
    </dataValidation>
    <dataValidation type="list" xr:uid="{94CD8D98-3FC8-4685-8271-C3CFB31A4771}" sqref="D17" showErrorMessage="1" errorTitle="An invalid feedback was entered" error="Please choose feedback from drop down only.">
      <formula1>"1-2,3-4,5-6,7-8,9-10,N/A"</formula1>
    </dataValidation>
    <dataValidation type="list" xr:uid="{9DB2C76F-FBB8-4950-883E-AB29425E33B7}" sqref="E17" showErrorMessage="1" errorTitle="An invalid feedback was entered" error="Please choose feedback from drop down only.">
      <formula1>"1-2,3-4,5-6,7-8,9-10,N/A"</formula1>
    </dataValidation>
    <dataValidation type="list" xr:uid="{715170CE-D2B1-4761-8383-9F1833272A2E}" sqref="F17" showErrorMessage="1" errorTitle="An invalid feedback was entered" error="Please choose feedback from drop down only.">
      <formula1>"1-2,3-4,5-6,7-8,9-10,N/A"</formula1>
    </dataValidation>
    <dataValidation type="list" xr:uid="{9036D39E-9B77-4F68-B912-5A71F000FA83}" sqref="G17" showErrorMessage="1" errorTitle="An invalid feedback was entered" error="Please choose feedback from drop down only.">
      <formula1>"1-2,3-4,5-6,7-8,9-10,N/A"</formula1>
    </dataValidation>
    <dataValidation type="list" xr:uid="{A05163D0-8810-41AA-B4F8-9839609E0EA9}" sqref="H17" showErrorMessage="1" errorTitle="An invalid feedback was entered" error="Please choose feedback from drop down only.">
      <formula1>"1-2,3-4,5-6,7-8,9-10,N/A"</formula1>
    </dataValidation>
    <dataValidation type="list" xr:uid="{347B9E81-7AAA-453F-8FBF-06C0C202C890}" sqref="I17" showErrorMessage="1" errorTitle="An invalid feedback was entered" error="Please choose feedback from drop down only.">
      <formula1>"1-2,3-4,5-6,7-8,9-10,N/A"</formula1>
    </dataValidation>
    <dataValidation type="list" xr:uid="{CFE75EC6-625A-47C4-869F-B5B2585FE440}" sqref="J17" showErrorMessage="1" errorTitle="An invalid feedback was entered" error="Please choose feedback from drop down only.">
      <formula1>"1-2,3-4,5-6,7-8,9-10,N/A"</formula1>
    </dataValidation>
    <dataValidation type="list" xr:uid="{99672FC7-BC5F-480A-8A28-F9AC37CE706F}" sqref="K17" showErrorMessage="1" errorTitle="An invalid feedback was entered" error="Please choose feedback from drop down only.">
      <formula1>"1-2,3-4,5-6,7-8,9-10,N/A"</formula1>
    </dataValidation>
    <dataValidation type="list" xr:uid="{7676C2BB-CA02-47BB-A814-535FD797CB63}" sqref="L17" showErrorMessage="1" errorTitle="An invalid feedback was entered" error="Please choose feedback from drop down only.">
      <formula1>"1-2,3-4,5-6,7-8,9-10,N/A"</formula1>
    </dataValidation>
    <dataValidation type="list" xr:uid="{5997D416-62E7-49E7-9D39-6BE3D93B282A}" sqref="M17" showErrorMessage="1" errorTitle="An invalid feedback was entered" error="Please choose feedback from drop down only.">
      <formula1>"1-2,3-4,5-6,7-8,9-10,N/A"</formula1>
    </dataValidation>
    <dataValidation type="list" xr:uid="{678299DD-EE76-4C89-9729-BE5FA2801FEA}" sqref="N17" showErrorMessage="1" errorTitle="An invalid feedback was entered" error="Please choose feedback from drop down only.">
      <formula1>"1-2,3-4,5-6,7-8,9-10,N/A"</formula1>
    </dataValidation>
    <dataValidation type="list" xr:uid="{CB2A6DE4-50DC-47D2-BD2E-28787783724C}" sqref="O17" showErrorMessage="1" errorTitle="An invalid feedback was entered" error="Please choose feedback from drop down only.">
      <formula1>"1-2,3-4,5-6,7-8,9-10,N/A"</formula1>
    </dataValidation>
    <dataValidation type="list" xr:uid="{48FD9D94-9755-4633-A30E-EF64CCC789FE}" sqref="P17" showErrorMessage="1" errorTitle="An invalid feedback was entered" error="Please choose feedback from drop down only.">
      <formula1>"1-2,3-4,5-6,7-8,9-10,N/A"</formula1>
    </dataValidation>
    <dataValidation type="list" xr:uid="{21A67944-CA93-402E-A7FE-5C832A00B5ED}" sqref="Q17" showErrorMessage="1" errorTitle="An invalid feedback was entered" error="Please choose feedback from drop down only.">
      <formula1>"1-2,3-4,5-6,7-8,9-10,N/A"</formula1>
    </dataValidation>
    <dataValidation type="list" xr:uid="{2F390C9D-8B5F-42DD-9EF6-2F01EF21A3EB}" sqref="C10" showErrorMessage="1" errorTitle="An invalid feedback was entered" error="Please choose feedback from drop down only.">
      <formula1>"STK Top,STK Bottom,STKx2,DTK Top,DTK Bottom,DTKx2,None"</formula1>
    </dataValidation>
    <dataValidation type="list" xr:uid="{FFAAC187-DFA1-4A1B-BA0A-BCC575ABFB06}" sqref="D10" showErrorMessage="1" errorTitle="An invalid feedback was entered" error="Please choose feedback from drop down only.">
      <formula1>"STK Top,STK Bottom,STKx2,DTK Top,DTK Bottom,DTKx2,None"</formula1>
    </dataValidation>
    <dataValidation type="list" xr:uid="{5E0249CC-9AC2-4E23-AD2A-01FE05DB93D5}" sqref="E10" showErrorMessage="1" errorTitle="An invalid feedback was entered" error="Please choose feedback from drop down only.">
      <formula1>"STK Top,STK Bottom,STKx2,DTK Top,DTK Bottom,DTKx2,None"</formula1>
    </dataValidation>
    <dataValidation type="list" xr:uid="{9FF377CF-875B-47A6-8415-30F47CECF0C0}" sqref="F10" showErrorMessage="1" errorTitle="An invalid feedback was entered" error="Please choose feedback from drop down only.">
      <formula1>"STK Top,STK Bottom,STKx2,DTK Top,DTK Bottom,DTKx2,None"</formula1>
    </dataValidation>
    <dataValidation type="list" xr:uid="{EF8673E2-5CC9-4A68-A2E1-CA429A6EEDC7}" sqref="G10" showErrorMessage="1" errorTitle="An invalid feedback was entered" error="Please choose feedback from drop down only.">
      <formula1>"STK Top,STK Bottom,STKx2,DTK Top,DTK Bottom,DTKx2,None"</formula1>
    </dataValidation>
    <dataValidation type="list" xr:uid="{4FA8ABBD-3BF6-4700-9082-C9629F0877AF}" sqref="H10" showErrorMessage="1" errorTitle="An invalid feedback was entered" error="Please choose feedback from drop down only.">
      <formula1>"STK Top,STK Bottom,STKx2,DTK Top,DTK Bottom,DTKx2,None"</formula1>
    </dataValidation>
    <dataValidation type="list" xr:uid="{005B2F3B-F7B6-4F2E-87C1-C8FE0961FC1E}" sqref="I10" showErrorMessage="1" errorTitle="An invalid feedback was entered" error="Please choose feedback from drop down only.">
      <formula1>"STK Top,STK Bottom,STKx2,DTK Top,DTK Bottom,DTKx2,None"</formula1>
    </dataValidation>
    <dataValidation type="list" xr:uid="{798FB789-D25E-40A7-85C6-1E4EF54BFF89}" sqref="J10" showErrorMessage="1" errorTitle="An invalid feedback was entered" error="Please choose feedback from drop down only.">
      <formula1>"STK Top,STK Bottom,STKx2,DTK Top,DTK Bottom,DTKx2,None"</formula1>
    </dataValidation>
    <dataValidation type="list" xr:uid="{5506F8AE-3B3C-4C30-B21E-CCF179FF27D5}" sqref="K10" showErrorMessage="1" errorTitle="An invalid feedback was entered" error="Please choose feedback from drop down only.">
      <formula1>"STK Top,STK Bottom,STKx2,DTK Top,DTK Bottom,DTKx2,None"</formula1>
    </dataValidation>
    <dataValidation type="list" xr:uid="{2B61E698-F9FD-4F19-899F-7FCC4B650F87}" sqref="L10" showErrorMessage="1" errorTitle="An invalid feedback was entered" error="Please choose feedback from drop down only.">
      <formula1>"STK Top,STK Bottom,STKx2,DTK Top,DTK Bottom,DTKx2,None"</formula1>
    </dataValidation>
    <dataValidation type="list" xr:uid="{F3C477E8-2272-486C-A126-8BCA23898472}" sqref="M10" showErrorMessage="1" errorTitle="An invalid feedback was entered" error="Please choose feedback from drop down only.">
      <formula1>"STK Top,STK Bottom,STKx2,DTK Top,DTK Bottom,DTKx2,None"</formula1>
    </dataValidation>
    <dataValidation type="list" xr:uid="{A00D7C75-4103-4904-95A0-81D393927601}" sqref="N10" showErrorMessage="1" errorTitle="An invalid feedback was entered" error="Please choose feedback from drop down only.">
      <formula1>"STK Top,STK Bottom,STKx2,DTK Top,DTK Bottom,DTKx2,None"</formula1>
    </dataValidation>
    <dataValidation type="list" xr:uid="{77C1A14B-353C-447A-B2FB-0BA6AAD97EEF}" sqref="O10" showErrorMessage="1" errorTitle="An invalid feedback was entered" error="Please choose feedback from drop down only.">
      <formula1>"STK Top,STK Bottom,STKx2,DTK Top,DTK Bottom,DTKx2,None"</formula1>
    </dataValidation>
    <dataValidation type="list" xr:uid="{A9A6DC20-7B8F-49E4-BD55-E6A8EB6B45EF}" sqref="P10" showErrorMessage="1" errorTitle="An invalid feedback was entered" error="Please choose feedback from drop down only.">
      <formula1>"STK Top,STK Bottom,STKx2,DTK Top,DTK Bottom,DTKx2,None"</formula1>
    </dataValidation>
    <dataValidation type="list" xr:uid="{0B983199-F855-49FF-888B-12A22AD50C65}" sqref="Q10" showErrorMessage="1" errorTitle="An invalid feedback was entered" error="Please choose feedback from drop down only.">
      <formula1>"STK Top,STK Bottom,STKx2,DTK Top,DTK Bottom,DTKx2,None"</formula1>
    </dataValidation>
    <dataValidation type="list" xr:uid="{3392821A-2ECB-4193-BE8B-7FF304E66849}" sqref="C23" showErrorMessage="1" errorTitle="An invalid feedback was entered" error="Please choose feedback from drop down only.">
      <formula1>"Yetel,Bulsatcom,A1,Yetel&amp;A1,N/A"</formula1>
    </dataValidation>
    <dataValidation type="list" xr:uid="{D70594E8-FC4D-4AF3-BA1A-25F2FB1993AE}" sqref="D23" showErrorMessage="1" errorTitle="An invalid feedback was entered" error="Please choose feedback from drop down only.">
      <formula1>"Yetel,Bulsatcom,A1,Yetel&amp;A1,N/A"</formula1>
    </dataValidation>
    <dataValidation type="list" xr:uid="{1B5EF4ED-E638-4120-9B37-7B23DFFC7D40}" sqref="E23" showErrorMessage="1" errorTitle="An invalid feedback was entered" error="Please choose feedback from drop down only.">
      <formula1>"Yetel,Bulsatcom,A1,Yetel&amp;A1,N/A"</formula1>
    </dataValidation>
    <dataValidation type="list" xr:uid="{3FF44FE2-45BD-43CA-90BE-3848935A1229}" sqref="F23" showErrorMessage="1" errorTitle="An invalid feedback was entered" error="Please choose feedback from drop down only.">
      <formula1>"Yetel,Bulsatcom,A1,Yetel&amp;A1,N/A"</formula1>
    </dataValidation>
    <dataValidation type="list" xr:uid="{116F9328-1B7C-40C6-B9F8-2EBA0A59EF8B}" sqref="G23" showErrorMessage="1" errorTitle="An invalid feedback was entered" error="Please choose feedback from drop down only.">
      <formula1>"Yetel,Bulsatcom,A1,Yetel&amp;A1,N/A"</formula1>
    </dataValidation>
    <dataValidation type="list" xr:uid="{495ABDB9-39B5-4ED0-BB57-CF5CCCE5B58C}" sqref="H23" showErrorMessage="1" errorTitle="An invalid feedback was entered" error="Please choose feedback from drop down only.">
      <formula1>"Yetel,Bulsatcom,A1,Yetel&amp;A1,N/A"</formula1>
    </dataValidation>
    <dataValidation type="list" xr:uid="{B194D734-606A-4A64-803E-25AF04C5E91E}" sqref="I23" showErrorMessage="1" errorTitle="An invalid feedback was entered" error="Please choose feedback from drop down only.">
      <formula1>"Yetel,Bulsatcom,A1,Yetel&amp;A1,N/A"</formula1>
    </dataValidation>
    <dataValidation type="list" xr:uid="{E17660A3-88DC-4590-881A-DE64AC3C7DAC}" sqref="J23" showErrorMessage="1" errorTitle="An invalid feedback was entered" error="Please choose feedback from drop down only.">
      <formula1>"Yetel,Bulsatcom,A1,Yetel&amp;A1,N/A"</formula1>
    </dataValidation>
    <dataValidation type="list" xr:uid="{B532715C-2042-444E-B43E-EE8FBA3CD51C}" sqref="K23" showErrorMessage="1" errorTitle="An invalid feedback was entered" error="Please choose feedback from drop down only.">
      <formula1>"Yetel,Bulsatcom,A1,Yetel&amp;A1,N/A"</formula1>
    </dataValidation>
    <dataValidation type="list" xr:uid="{E5C20EB8-FE32-4816-A636-89304C6228C2}" sqref="L23" showErrorMessage="1" errorTitle="An invalid feedback was entered" error="Please choose feedback from drop down only.">
      <formula1>"Yetel,Bulsatcom,A1,Yetel&amp;A1,N/A"</formula1>
    </dataValidation>
    <dataValidation type="list" xr:uid="{0DA6B7C7-48BA-435C-BB4E-39B30ABCA883}" sqref="M23" showErrorMessage="1" errorTitle="An invalid feedback was entered" error="Please choose feedback from drop down only.">
      <formula1>"Yetel,Bulsatcom,A1,Yetel&amp;A1,N/A"</formula1>
    </dataValidation>
    <dataValidation type="list" xr:uid="{94B1419A-B57C-472F-8170-E154F5049911}" sqref="N23" showErrorMessage="1" errorTitle="An invalid feedback was entered" error="Please choose feedback from drop down only.">
      <formula1>"Yetel,Bulsatcom,A1,Yetel&amp;A1,N/A"</formula1>
    </dataValidation>
    <dataValidation type="list" xr:uid="{7F485436-2AA7-491C-A85F-A3177B96F9A6}" sqref="O23" showErrorMessage="1" errorTitle="An invalid feedback was entered" error="Please choose feedback from drop down only.">
      <formula1>"Yetel,Bulsatcom,A1,Yetel&amp;A1,N/A"</formula1>
    </dataValidation>
    <dataValidation type="list" xr:uid="{ECE47786-91EA-4AD3-AA5D-444F28C7C7CA}" sqref="P23" showErrorMessage="1" errorTitle="An invalid feedback was entered" error="Please choose feedback from drop down only.">
      <formula1>"Yetel,Bulsatcom,A1,Yetel&amp;A1,N/A"</formula1>
    </dataValidation>
    <dataValidation type="list" xr:uid="{CD926BA0-2305-40AF-AC39-ABF0D0B51438}" sqref="Q23" showErrorMessage="1" errorTitle="An invalid feedback was entered" error="Please choose feedback from drop down only.">
      <formula1>"Yetel,Bulsatcom,A1,Yetel&amp;A1,N/A"</formula1>
    </dataValidation>
    <dataValidation type="list" xr:uid="{063F70B0-9743-44B5-A4C8-BA4BDC77DDB1}" sqref="C31" showErrorMessage="1" errorTitle="An invalid feedback was entered" error="Please choose feedback from drop down only.">
      <formula1>"1/2,5/4,7/8,RRU TOP JUMPER,N/A"</formula1>
    </dataValidation>
    <dataValidation type="list" xr:uid="{D6EC5E54-3A63-42E0-9328-03F483FF4FA5}" sqref="D31" showErrorMessage="1" errorTitle="An invalid feedback was entered" error="Please choose feedback from drop down only.">
      <formula1>"1/2,5/4,7/8,RRU TOP JUMPER,N/A"</formula1>
    </dataValidation>
    <dataValidation type="list" xr:uid="{F5E024CA-53F7-44AF-86D1-6A61F19DBFEA}" sqref="E31" showErrorMessage="1" errorTitle="An invalid feedback was entered" error="Please choose feedback from drop down only.">
      <formula1>"1/2,5/4,7/8,RRU TOP JUMPER,N/A"</formula1>
    </dataValidation>
    <dataValidation type="list" xr:uid="{44E8B18B-316B-4B81-A22A-81B809DB73AB}" sqref="F31" showErrorMessage="1" errorTitle="An invalid feedback was entered" error="Please choose feedback from drop down only.">
      <formula1>"1/2,5/4,7/8,RRU TOP JUMPER,N/A"</formula1>
    </dataValidation>
    <dataValidation type="list" xr:uid="{869C62B0-A965-43CE-A711-69EC0C7FD429}" sqref="G31" showErrorMessage="1" errorTitle="An invalid feedback was entered" error="Please choose feedback from drop down only.">
      <formula1>"1/2,5/4,7/8,RRU TOP JUMPER,N/A"</formula1>
    </dataValidation>
    <dataValidation type="list" xr:uid="{B8617BA2-7DB1-4C18-A482-E5C49BB4F41A}" sqref="H31" showErrorMessage="1" errorTitle="An invalid feedback was entered" error="Please choose feedback from drop down only.">
      <formula1>"1/2,5/4,7/8,RRU TOP JUMPER,N/A"</formula1>
    </dataValidation>
    <dataValidation type="list" xr:uid="{9BE27450-4C94-45EB-8576-FAC8B038F1AB}" sqref="I31" showErrorMessage="1" errorTitle="An invalid feedback was entered" error="Please choose feedback from drop down only.">
      <formula1>"1/2,5/4,7/8,RRU TOP JUMPER,N/A"</formula1>
    </dataValidation>
    <dataValidation type="list" xr:uid="{91EAE8AD-2F4D-4899-9331-0918ED65CEEA}" sqref="J31" showErrorMessage="1" errorTitle="An invalid feedback was entered" error="Please choose feedback from drop down only.">
      <formula1>"1/2,5/4,7/8,RRU TOP JUMPER,N/A"</formula1>
    </dataValidation>
    <dataValidation type="list" xr:uid="{18B089C8-3266-4A25-A109-2B9E05E6436A}" sqref="K31" showErrorMessage="1" errorTitle="An invalid feedback was entered" error="Please choose feedback from drop down only.">
      <formula1>"1/2,5/4,7/8,RRU TOP JUMPER,N/A"</formula1>
    </dataValidation>
    <dataValidation type="list" xr:uid="{3112595B-D36E-4ED4-99B7-98B0F9B5E1FB}" sqref="L31" showErrorMessage="1" errorTitle="An invalid feedback was entered" error="Please choose feedback from drop down only.">
      <formula1>"1/2,5/4,7/8,RRU TOP JUMPER,N/A"</formula1>
    </dataValidation>
    <dataValidation type="list" xr:uid="{960AFB94-86AB-4948-860C-A75EE297EC84}" sqref="M31" showErrorMessage="1" errorTitle="An invalid feedback was entered" error="Please choose feedback from drop down only.">
      <formula1>"1/2,5/4,7/8,RRU TOP JUMPER,N/A"</formula1>
    </dataValidation>
    <dataValidation type="list" xr:uid="{8AB9A266-13AD-4C9C-90CC-52DA3461717A}" sqref="N31" showErrorMessage="1" errorTitle="An invalid feedback was entered" error="Please choose feedback from drop down only.">
      <formula1>"1/2,5/4,7/8,RRU TOP JUMPER,N/A"</formula1>
    </dataValidation>
    <dataValidation type="list" xr:uid="{AA876A7A-EE3A-49E4-BF08-EAEDE15C53E1}" sqref="O31" showErrorMessage="1" errorTitle="An invalid feedback was entered" error="Please choose feedback from drop down only.">
      <formula1>"1/2,5/4,7/8,RRU TOP JUMPER,N/A"</formula1>
    </dataValidation>
    <dataValidation type="list" xr:uid="{C42B6D13-E3B2-4AC5-AE93-60F7B3C8CF5B}" sqref="P31" showErrorMessage="1" errorTitle="An invalid feedback was entered" error="Please choose feedback from drop down only.">
      <formula1>"1/2,5/4,7/8,RRU TOP JUMPER,N/A"</formula1>
    </dataValidation>
    <dataValidation type="list" xr:uid="{1E1D5D1A-711F-4188-AA16-ED77E567C2B3}" sqref="Q31" showErrorMessage="1" errorTitle="An invalid feedback was entered" error="Please choose feedback from drop down only.">
      <formula1>"1/2,5/4,7/8,RRU TOP JUMPER,N/A"</formula1>
    </dataValidation>
    <dataValidation type="list" xr:uid="{03BB4305-2911-4224-B6F2-2B4B4D797654}" sqref="C4" showErrorMessage="1" errorTitle="An invalid feedback was entered" error="Please choose feedback from drop down only.">
      <formula1>"1,2,3,4,5,6,N/A"</formula1>
    </dataValidation>
    <dataValidation type="list" xr:uid="{AEBC7BAB-B96C-4888-B488-5B66157087E3}" sqref="D4" showErrorMessage="1" errorTitle="An invalid feedback was entered" error="Please choose feedback from drop down only.">
      <formula1>"1,2,3,4,5,6,N/A"</formula1>
    </dataValidation>
    <dataValidation type="list" xr:uid="{9D0A3B96-DC8F-48C1-AB1C-FEB033E86707}" sqref="E4" showErrorMessage="1" errorTitle="An invalid feedback was entered" error="Please choose feedback from drop down only.">
      <formula1>"1,2,3,4,5,6,N/A"</formula1>
    </dataValidation>
    <dataValidation type="list" xr:uid="{F37EEBCB-3CAC-4C8E-93C5-BF5FBC7ADAFC}" sqref="F4" showErrorMessage="1" errorTitle="An invalid feedback was entered" error="Please choose feedback from drop down only.">
      <formula1>"1,2,3,4,5,6,N/A"</formula1>
    </dataValidation>
    <dataValidation type="list" xr:uid="{216AA1D6-82BC-435C-8544-A9C9940BF0E7}" sqref="G4" showErrorMessage="1" errorTitle="An invalid feedback was entered" error="Please choose feedback from drop down only.">
      <formula1>"1,2,3,4,5,6,N/A"</formula1>
    </dataValidation>
    <dataValidation type="list" xr:uid="{5551E8AC-6A63-4166-B5F3-81B07D6BE279}" sqref="H4" showErrorMessage="1" errorTitle="An invalid feedback was entered" error="Please choose feedback from drop down only.">
      <formula1>"1,2,3,4,5,6,N/A"</formula1>
    </dataValidation>
    <dataValidation type="list" xr:uid="{93C923C6-034F-48E5-A1C2-656EC4C625F9}" sqref="I4" showErrorMessage="1" errorTitle="An invalid feedback was entered" error="Please choose feedback from drop down only.">
      <formula1>"1,2,3,4,5,6,N/A"</formula1>
    </dataValidation>
    <dataValidation type="list" xr:uid="{8A7B4741-034E-475E-8AD7-B81F7DCDFFEA}" sqref="J4" showErrorMessage="1" errorTitle="An invalid feedback was entered" error="Please choose feedback from drop down only.">
      <formula1>"1,2,3,4,5,6,N/A"</formula1>
    </dataValidation>
    <dataValidation type="list" xr:uid="{0CC702DD-7568-493A-8D0F-C10A9DDF36DE}" sqref="K4" showErrorMessage="1" errorTitle="An invalid feedback was entered" error="Please choose feedback from drop down only.">
      <formula1>"1,2,3,4,5,6,N/A"</formula1>
    </dataValidation>
    <dataValidation type="list" xr:uid="{59EE9C19-DB32-4061-8BB6-C5587B86A2FD}" sqref="L4" showErrorMessage="1" errorTitle="An invalid feedback was entered" error="Please choose feedback from drop down only.">
      <formula1>"1,2,3,4,5,6,N/A"</formula1>
    </dataValidation>
    <dataValidation type="list" xr:uid="{32ADA728-2848-4254-9FDB-FCA07CCDA76B}" sqref="M4" showErrorMessage="1" errorTitle="An invalid feedback was entered" error="Please choose feedback from drop down only.">
      <formula1>"1,2,3,4,5,6,N/A"</formula1>
    </dataValidation>
    <dataValidation type="list" xr:uid="{AC8580F9-51A2-4416-9794-154BFF5395D8}" sqref="N4" showErrorMessage="1" errorTitle="An invalid feedback was entered" error="Please choose feedback from drop down only.">
      <formula1>"1,2,3,4,5,6,N/A"</formula1>
    </dataValidation>
    <dataValidation type="list" xr:uid="{122F1167-E0BB-4E83-AD2A-F87D4C23B451}" sqref="O4" showErrorMessage="1" errorTitle="An invalid feedback was entered" error="Please choose feedback from drop down only.">
      <formula1>"1,2,3,4,5,6,N/A"</formula1>
    </dataValidation>
    <dataValidation type="list" xr:uid="{0183B3DE-E4E7-4D3C-997E-33DD8CC7F8EC}" sqref="P4" showErrorMessage="1" errorTitle="An invalid feedback was entered" error="Please choose feedback from drop down only.">
      <formula1>"1,2,3,4,5,6,N/A"</formula1>
    </dataValidation>
    <dataValidation type="list" xr:uid="{7C94ED7B-1401-4BE5-9AA1-4364A824D4A8}" sqref="Q4" showErrorMessage="1" errorTitle="An invalid feedback was entered" error="Please choose feedback from drop down only.">
      <formula1>"1,2,3,4,5,6,N/A"</formula1>
    </dataValidation>
    <dataValidation type="list" xr:uid="{AC6DF1EB-A1D9-4915-B629-553960BC5DC3}" sqref="C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C4C3525C-5E4E-42B1-8F0A-5DC11F870990}" sqref="D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7F957F47-82D7-4D7A-838F-CBEB67A75DC1}" sqref="E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908FFF9D-4782-4330-9BAB-44A7E02B958B}" sqref="F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79687744-B539-4DE4-BC2A-387F429ED422}" sqref="G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F241F96D-2C4B-4702-81E6-4AC76DE780A5}" sqref="H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BEA0EAE3-B218-418D-A13E-E9045756498A}" sqref="I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22A57E10-7311-4EA6-A70D-48EA7AF213D4}" sqref="J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6510F866-EE67-4DA8-B5F8-2846ED2A6A9B}" sqref="K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B89C7976-09AB-4B4C-9BB9-D993F04795F6}" sqref="L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D022E6A3-D4A0-43F3-8551-DF3AA9F2FADE}" sqref="M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48D84A3D-CF2E-4E99-BD8F-F360AE61EA3F}" sqref="N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82040112-9F27-4A50-ADB4-F436A0BC3721}" sqref="O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6F4513C0-D936-4142-8A79-7EA570AD9AE7}" sqref="P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FECC876D-49FF-455D-A9A7-E685385BBCFE}" sqref="Q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4FEC9B36-34F2-4320-82A9-69053D2219DE}" sqref="C28" showErrorMessage="1" errorTitle="An invalid feedback was entered" error="Please choose feedback from drop down only.">
      <formula1>"Yes,No,FlexRET"</formula1>
    </dataValidation>
    <dataValidation type="list" xr:uid="{24C7DAFF-8F3E-423C-9F6C-5B33803694AA}" sqref="D28" showErrorMessage="1" errorTitle="An invalid feedback was entered" error="Please choose feedback from drop down only.">
      <formula1>"Yes,No,FlexRET"</formula1>
    </dataValidation>
    <dataValidation type="list" xr:uid="{D8037F61-1766-43C0-BD89-48F177D15FE6}" sqref="E28" showErrorMessage="1" errorTitle="An invalid feedback was entered" error="Please choose feedback from drop down only.">
      <formula1>"Yes,No,FlexRET"</formula1>
    </dataValidation>
    <dataValidation type="list" xr:uid="{FFF02180-30EA-485B-9DE6-EEDA45F9C310}" sqref="F28" showErrorMessage="1" errorTitle="An invalid feedback was entered" error="Please choose feedback from drop down only.">
      <formula1>"Yes,No,FlexRET"</formula1>
    </dataValidation>
    <dataValidation type="list" xr:uid="{95C957A2-C8DC-4383-AE59-191E06F2F7B4}" sqref="G28" showErrorMessage="1" errorTitle="An invalid feedback was entered" error="Please choose feedback from drop down only.">
      <formula1>"Yes,No,FlexRET"</formula1>
    </dataValidation>
    <dataValidation type="list" xr:uid="{EEAE89D6-870C-4B2D-A67A-F74A6D5444E0}" sqref="H28" showErrorMessage="1" errorTitle="An invalid feedback was entered" error="Please choose feedback from drop down only.">
      <formula1>"Yes,No,FlexRET"</formula1>
    </dataValidation>
    <dataValidation type="list" xr:uid="{0F8523F1-98E3-45CA-820E-F8CEC27DF8A9}" sqref="I28" showErrorMessage="1" errorTitle="An invalid feedback was entered" error="Please choose feedback from drop down only.">
      <formula1>"Yes,No,FlexRET"</formula1>
    </dataValidation>
    <dataValidation type="list" xr:uid="{94CCA054-890C-44CF-AEDA-5157FF618FA3}" sqref="J28" showErrorMessage="1" errorTitle="An invalid feedback was entered" error="Please choose feedback from drop down only.">
      <formula1>"Yes,No,FlexRET"</formula1>
    </dataValidation>
    <dataValidation type="list" xr:uid="{923800D0-B674-48B4-AA53-6EB9449B3FC6}" sqref="K28" showErrorMessage="1" errorTitle="An invalid feedback was entered" error="Please choose feedback from drop down only.">
      <formula1>"Yes,No,FlexRET"</formula1>
    </dataValidation>
    <dataValidation type="list" xr:uid="{78858431-D462-48EC-8F4E-F7B727580EFC}" sqref="L28" showErrorMessage="1" errorTitle="An invalid feedback was entered" error="Please choose feedback from drop down only.">
      <formula1>"Yes,No,FlexRET"</formula1>
    </dataValidation>
    <dataValidation type="list" xr:uid="{F94E3192-1EBD-4FFB-9912-EC1CA9EFC0E2}" sqref="M28" showErrorMessage="1" errorTitle="An invalid feedback was entered" error="Please choose feedback from drop down only.">
      <formula1>"Yes,No,FlexRET"</formula1>
    </dataValidation>
    <dataValidation type="list" xr:uid="{5BD2CD1C-0F2D-44AC-9ED7-1766928EFA37}" sqref="N28" showErrorMessage="1" errorTitle="An invalid feedback was entered" error="Please choose feedback from drop down only.">
      <formula1>"Yes,No,FlexRET"</formula1>
    </dataValidation>
    <dataValidation type="list" xr:uid="{ECD6C3CB-C5BD-4C0D-BDE5-FC0BFDCE5A15}" sqref="O28" showErrorMessage="1" errorTitle="An invalid feedback was entered" error="Please choose feedback from drop down only.">
      <formula1>"Yes,No,FlexRET"</formula1>
    </dataValidation>
    <dataValidation type="list" xr:uid="{79A0ECCE-CE7A-4262-B4F7-312151F820EB}" sqref="P28" showErrorMessage="1" errorTitle="An invalid feedback was entered" error="Please choose feedback from drop down only.">
      <formula1>"Yes,No,FlexRET"</formula1>
    </dataValidation>
    <dataValidation type="list" xr:uid="{EE3558C4-160B-40ED-A295-ECF9B6BE10EF}" sqref="Q28" showErrorMessage="1" errorTitle="An invalid feedback was entered" error="Please choose feedback from drop down only.">
      <formula1>"Yes,No,FlexRET"</formula1>
    </dataValidation>
    <dataValidation type="list" xr:uid="{75B95A3A-A8C3-43A4-ADC4-5538871C0216}" sqref="C29" showErrorMessage="1" errorTitle="An invalid feedback was entered" error="Please choose feedback from drop down only.">
      <formula1>"Yes,No,FlexRET"</formula1>
    </dataValidation>
    <dataValidation type="list" xr:uid="{E231B8AB-37F8-489B-AE0D-BF88B10738CD}" sqref="D29" showErrorMessage="1" errorTitle="An invalid feedback was entered" error="Please choose feedback from drop down only.">
      <formula1>"Yes,No,FlexRET"</formula1>
    </dataValidation>
    <dataValidation type="list" xr:uid="{A75160F5-F43D-4BD1-9AB4-55E6FFA0570B}" sqref="E29" showErrorMessage="1" errorTitle="An invalid feedback was entered" error="Please choose feedback from drop down only.">
      <formula1>"Yes,No,FlexRET"</formula1>
    </dataValidation>
    <dataValidation type="list" xr:uid="{C9EF0E01-5662-4540-9216-82CEC869C925}" sqref="F29" showErrorMessage="1" errorTitle="An invalid feedback was entered" error="Please choose feedback from drop down only.">
      <formula1>"Yes,No,FlexRET"</formula1>
    </dataValidation>
    <dataValidation type="list" xr:uid="{B5CA4240-6AED-43F6-81F0-4CA2E5157F3B}" sqref="G29" showErrorMessage="1" errorTitle="An invalid feedback was entered" error="Please choose feedback from drop down only.">
      <formula1>"Yes,No,FlexRET"</formula1>
    </dataValidation>
    <dataValidation type="list" xr:uid="{22A55E94-BF7C-4E86-9C18-F23AF79FC001}" sqref="H29" showErrorMessage="1" errorTitle="An invalid feedback was entered" error="Please choose feedback from drop down only.">
      <formula1>"Yes,No,FlexRET"</formula1>
    </dataValidation>
    <dataValidation type="list" xr:uid="{3FEADE36-AFB8-41E9-913F-31DAB1F64CE1}" sqref="I29" showErrorMessage="1" errorTitle="An invalid feedback was entered" error="Please choose feedback from drop down only.">
      <formula1>"Yes,No,FlexRET"</formula1>
    </dataValidation>
    <dataValidation type="list" xr:uid="{CCD4E9C5-BD20-47F5-92E7-255A048053F9}" sqref="J29" showErrorMessage="1" errorTitle="An invalid feedback was entered" error="Please choose feedback from drop down only.">
      <formula1>"Yes,No,FlexRET"</formula1>
    </dataValidation>
    <dataValidation type="list" xr:uid="{36D2DA7C-3C5E-4220-9DF1-54F55B562B45}" sqref="K29" showErrorMessage="1" errorTitle="An invalid feedback was entered" error="Please choose feedback from drop down only.">
      <formula1>"Yes,No,FlexRET"</formula1>
    </dataValidation>
    <dataValidation type="list" xr:uid="{013D4E97-73A0-44CB-AA28-6131D0DD9C5D}" sqref="L29" showErrorMessage="1" errorTitle="An invalid feedback was entered" error="Please choose feedback from drop down only.">
      <formula1>"Yes,No,FlexRET"</formula1>
    </dataValidation>
    <dataValidation type="list" xr:uid="{E7BB0308-D219-486E-A562-26BC6721EC2A}" sqref="M29" showErrorMessage="1" errorTitle="An invalid feedback was entered" error="Please choose feedback from drop down only.">
      <formula1>"Yes,No,FlexRET"</formula1>
    </dataValidation>
    <dataValidation type="list" xr:uid="{147FBDA7-5552-4DC7-B7D4-0D2A9D3FDE48}" sqref="N29" showErrorMessage="1" errorTitle="An invalid feedback was entered" error="Please choose feedback from drop down only.">
      <formula1>"Yes,No,FlexRET"</formula1>
    </dataValidation>
    <dataValidation type="list" xr:uid="{AA7D8D9A-9959-4654-9890-74A660E82999}" sqref="O29" showErrorMessage="1" errorTitle="An invalid feedback was entered" error="Please choose feedback from drop down only.">
      <formula1>"Yes,No,FlexRET"</formula1>
    </dataValidation>
    <dataValidation type="list" xr:uid="{3759D391-9A9E-448D-9568-C63961765F52}" sqref="P29" showErrorMessage="1" errorTitle="An invalid feedback was entered" error="Please choose feedback from drop down only.">
      <formula1>"Yes,No,FlexRET"</formula1>
    </dataValidation>
    <dataValidation type="list" xr:uid="{3BD11348-9E9D-41A8-8C3F-5D5374DFB5D1}" sqref="Q29" showErrorMessage="1" errorTitle="An invalid feedback was entered" error="Please choose feedback from drop down only.">
      <formula1>"Yes,No,FlexRET"</formula1>
    </dataValidation>
    <dataValidation type="list" xr:uid="{29FF22E3-A676-4075-A8C6-68368983C629}" sqref="C25" showErrorMessage="1" errorTitle="An invalid feedback was entered" error="Please choose feedback from drop down only.">
      <formula1>"G,U,L,NR,GU,UL,GL,GUL,LNR,ULNR,None"</formula1>
    </dataValidation>
    <dataValidation type="list" xr:uid="{435E9401-508A-4E2A-BE95-F41560DB95C2}" sqref="D25" showErrorMessage="1" errorTitle="An invalid feedback was entered" error="Please choose feedback from drop down only.">
      <formula1>"G,U,L,NR,GU,UL,GL,GUL,LNR,ULNR,None"</formula1>
    </dataValidation>
    <dataValidation type="list" xr:uid="{1994B701-C581-465D-A1A1-C4E2FBEFE787}" sqref="E25" showErrorMessage="1" errorTitle="An invalid feedback was entered" error="Please choose feedback from drop down only.">
      <formula1>"G,U,L,NR,GU,UL,GL,GUL,LNR,ULNR,None"</formula1>
    </dataValidation>
    <dataValidation type="list" xr:uid="{67A0F189-939C-4087-B485-44DC3AD026CD}" sqref="F25" showErrorMessage="1" errorTitle="An invalid feedback was entered" error="Please choose feedback from drop down only.">
      <formula1>"G,U,L,NR,GU,UL,GL,GUL,LNR,ULNR,None"</formula1>
    </dataValidation>
    <dataValidation type="list" xr:uid="{5AB445A4-DCA1-4A2C-941B-DB054BE2AC6E}" sqref="G25" showErrorMessage="1" errorTitle="An invalid feedback was entered" error="Please choose feedback from drop down only.">
      <formula1>"G,U,L,NR,GU,UL,GL,GUL,LNR,ULNR,None"</formula1>
    </dataValidation>
    <dataValidation type="list" xr:uid="{1E2340F4-473A-41BC-8A43-3DB9A35E0899}" sqref="H25" showErrorMessage="1" errorTitle="An invalid feedback was entered" error="Please choose feedback from drop down only.">
      <formula1>"G,U,L,NR,GU,UL,GL,GUL,LNR,ULNR,None"</formula1>
    </dataValidation>
    <dataValidation type="list" xr:uid="{7EC84132-0BB0-4C27-AF71-701354CB18D1}" sqref="I25" showErrorMessage="1" errorTitle="An invalid feedback was entered" error="Please choose feedback from drop down only.">
      <formula1>"G,U,L,NR,GU,UL,GL,GUL,LNR,ULNR,None"</formula1>
    </dataValidation>
    <dataValidation type="list" xr:uid="{B63D3999-434B-456F-8F26-E30E1909E815}" sqref="J25" showErrorMessage="1" errorTitle="An invalid feedback was entered" error="Please choose feedback from drop down only.">
      <formula1>"G,U,L,NR,GU,UL,GL,GUL,LNR,ULNR,None"</formula1>
    </dataValidation>
    <dataValidation type="list" xr:uid="{70F81C0E-750C-47C5-9F8E-32158D1E99CF}" sqref="K25" showErrorMessage="1" errorTitle="An invalid feedback was entered" error="Please choose feedback from drop down only.">
      <formula1>"G,U,L,NR,GU,UL,GL,GUL,LNR,ULNR,None"</formula1>
    </dataValidation>
    <dataValidation type="list" xr:uid="{2605F4DE-21DE-4F92-8A7E-B0FA2AE0B7B0}" sqref="L25" showErrorMessage="1" errorTitle="An invalid feedback was entered" error="Please choose feedback from drop down only.">
      <formula1>"G,U,L,NR,GU,UL,GL,GUL,LNR,ULNR,None"</formula1>
    </dataValidation>
    <dataValidation type="list" xr:uid="{DB9152D8-AB86-4F96-80B6-7758AA4CB682}" sqref="M25" showErrorMessage="1" errorTitle="An invalid feedback was entered" error="Please choose feedback from drop down only.">
      <formula1>"G,U,L,NR,GU,UL,GL,GUL,LNR,ULNR,None"</formula1>
    </dataValidation>
    <dataValidation type="list" xr:uid="{516CE06B-7BF5-4419-8658-9ACE24E4E7B7}" sqref="N25" showErrorMessage="1" errorTitle="An invalid feedback was entered" error="Please choose feedback from drop down only.">
      <formula1>"G,U,L,NR,GU,UL,GL,GUL,LNR,ULNR,None"</formula1>
    </dataValidation>
    <dataValidation type="list" xr:uid="{56C3E971-F266-48EC-BA90-F280C7C8A921}" sqref="O25" showErrorMessage="1" errorTitle="An invalid feedback was entered" error="Please choose feedback from drop down only.">
      <formula1>"G,U,L,NR,GU,UL,GL,GUL,LNR,ULNR,None"</formula1>
    </dataValidation>
    <dataValidation type="list" xr:uid="{98F20B55-9033-46CE-A6B0-03F260DF26B9}" sqref="P25" showErrorMessage="1" errorTitle="An invalid feedback was entered" error="Please choose feedback from drop down only.">
      <formula1>"G,U,L,NR,GU,UL,GL,GUL,LNR,ULNR,None"</formula1>
    </dataValidation>
    <dataValidation type="list" xr:uid="{4CF82AE2-B8D9-4620-9B23-66710D625835}" sqref="Q25" showErrorMessage="1" errorTitle="An invalid feedback was entered" error="Please choose feedback from drop down only.">
      <formula1>"G,U,L,NR,GU,UL,GL,GUL,LNR,ULNR,None"</formula1>
    </dataValidation>
    <dataValidation type="list" xr:uid="{985278B7-703F-407D-B173-DC36310FFB8A}" sqref="C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23E415BB-F6BC-4A3E-8619-8FE7EE3037F9}" sqref="D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B7E015BA-3725-437C-AA1B-7448095C8E32}" sqref="E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225A2E5E-B65C-4CB4-B65C-C1178EBDC8CD}" sqref="F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0EC61B73-79EC-4540-A3E7-AE23E2048B83}" sqref="G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BBDE3086-1002-45BA-B5C7-9B8C6654D605}" sqref="H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CF7B1D66-1997-4DE5-A2CE-657511F2263D}" sqref="I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D323B1F9-AC76-4666-B912-E6616B9EC269}" sqref="J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7630502E-5094-4861-99B0-066D059241C3}" sqref="K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297AF18B-5CCA-4305-8703-217B181D8F93}" sqref="L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95BA7A62-DE0D-4158-A1DC-03DFF469528B}" sqref="M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EEE42D7A-A1FD-4598-91BA-1809A7DBF8A0}" sqref="N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0DEA934D-8E61-422E-8E4A-C75A90681EC9}" sqref="O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AD5C3696-53A6-40D7-94D5-91D4AB82EB35}" sqref="P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EAB97A17-00E8-4C9C-A856-89550FED39BD}" sqref="Q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</dataValidations>
  <pageMargins left="0.7" right="0.7" top="0.75" bottom="0.75" header="0.3" footer="0.3"/>
  <pageSetup orientation="portrait"/>
  <headerFooter/>
  <extLst>
    <ext xmlns:x14="http://schemas.microsoft.com/office/spreadsheetml/2009/9/main" uri="{CCE6A557-97BC-4b89-ADB6-D9C93CAAB3DF}">
      <x14:dataValidations xmlns:xm="http://schemas.microsoft.com/office/excel/2006/main" count="60">
        <x14:dataValidation type="list" xr:uid="{3CE5CF3C-EC4D-4372-BB4C-5D795210C652}" error="Please choose feedback from drop down only." errorTitle="An invalid feedback was entered" showErrorMessage="1">
          <x14:formula1>
            <xm:f>Antennas!A:A</xm:f>
          </x14:formula1>
          <xm:sqref>C8</xm:sqref>
        </x14:dataValidation>
        <x14:dataValidation type="list" xr:uid="{867524BF-792F-4C7F-8A4B-C3BC0D54F957}" error="Please choose feedback from drop down only." errorTitle="An invalid feedback was entered" showErrorMessage="1">
          <x14:formula1>
            <xm:f>Antennas!A:A</xm:f>
          </x14:formula1>
          <xm:sqref>D8</xm:sqref>
        </x14:dataValidation>
        <x14:dataValidation type="list" xr:uid="{609EB30D-4E91-4E6C-B2BF-462D65710A33}" error="Please choose feedback from drop down only." errorTitle="An invalid feedback was entered" showErrorMessage="1">
          <x14:formula1>
            <xm:f>Antennas!A:A</xm:f>
          </x14:formula1>
          <xm:sqref>E8</xm:sqref>
        </x14:dataValidation>
        <x14:dataValidation type="list" xr:uid="{8BEA6A1B-1613-438E-9425-B068D42251D6}" error="Please choose feedback from drop down only." errorTitle="An invalid feedback was entered" showErrorMessage="1">
          <x14:formula1>
            <xm:f>Antennas!A:A</xm:f>
          </x14:formula1>
          <xm:sqref>F8</xm:sqref>
        </x14:dataValidation>
        <x14:dataValidation type="list" xr:uid="{68ED990E-681C-46F0-973D-B3748E35402C}" error="Please choose feedback from drop down only." errorTitle="An invalid feedback was entered" showErrorMessage="1">
          <x14:formula1>
            <xm:f>Antennas!A:A</xm:f>
          </x14:formula1>
          <xm:sqref>G8</xm:sqref>
        </x14:dataValidation>
        <x14:dataValidation type="list" xr:uid="{97367ACE-14FA-4D2D-BF0C-04BD5D5B5FED}" error="Please choose feedback from drop down only." errorTitle="An invalid feedback was entered" showErrorMessage="1">
          <x14:formula1>
            <xm:f>Antennas!A:A</xm:f>
          </x14:formula1>
          <xm:sqref>H8</xm:sqref>
        </x14:dataValidation>
        <x14:dataValidation type="list" xr:uid="{A014ACAF-8FB6-4C78-A470-468BCFC1F587}" error="Please choose feedback from drop down only." errorTitle="An invalid feedback was entered" showErrorMessage="1">
          <x14:formula1>
            <xm:f>Antennas!A:A</xm:f>
          </x14:formula1>
          <xm:sqref>I8</xm:sqref>
        </x14:dataValidation>
        <x14:dataValidation type="list" xr:uid="{366F5EDC-EFDF-49D4-9DF9-1F0F38F1C478}" error="Please choose feedback from drop down only." errorTitle="An invalid feedback was entered" showErrorMessage="1">
          <x14:formula1>
            <xm:f>Antennas!A:A</xm:f>
          </x14:formula1>
          <xm:sqref>J8</xm:sqref>
        </x14:dataValidation>
        <x14:dataValidation type="list" xr:uid="{56FFC68C-ABAD-45E2-992C-8CFEA08DDFC1}" error="Please choose feedback from drop down only." errorTitle="An invalid feedback was entered" showErrorMessage="1">
          <x14:formula1>
            <xm:f>Antennas!A:A</xm:f>
          </x14:formula1>
          <xm:sqref>K8</xm:sqref>
        </x14:dataValidation>
        <x14:dataValidation type="list" xr:uid="{C411670B-506A-4BB7-A22F-E40231DA77CE}" error="Please choose feedback from drop down only." errorTitle="An invalid feedback was entered" showErrorMessage="1">
          <x14:formula1>
            <xm:f>Antennas!A:A</xm:f>
          </x14:formula1>
          <xm:sqref>L8</xm:sqref>
        </x14:dataValidation>
        <x14:dataValidation type="list" xr:uid="{59CC48DE-E8B7-4E59-A443-091D52C5E99D}" error="Please choose feedback from drop down only." errorTitle="An invalid feedback was entered" showErrorMessage="1">
          <x14:formula1>
            <xm:f>Antennas!A:A</xm:f>
          </x14:formula1>
          <xm:sqref>M8</xm:sqref>
        </x14:dataValidation>
        <x14:dataValidation type="list" xr:uid="{D00F1C49-CF7B-4B39-A5B5-85B855865D11}" error="Please choose feedback from drop down only." errorTitle="An invalid feedback was entered" showErrorMessage="1">
          <x14:formula1>
            <xm:f>Antennas!A:A</xm:f>
          </x14:formula1>
          <xm:sqref>N8</xm:sqref>
        </x14:dataValidation>
        <x14:dataValidation type="list" xr:uid="{2E5FDD8B-FCD7-4D72-8732-D9D44FD7E35E}" error="Please choose feedback from drop down only." errorTitle="An invalid feedback was entered" showErrorMessage="1">
          <x14:formula1>
            <xm:f>Antennas!A:A</xm:f>
          </x14:formula1>
          <xm:sqref>O8</xm:sqref>
        </x14:dataValidation>
        <x14:dataValidation type="list" xr:uid="{6BF55B79-F05C-4668-BD9F-DD436CC0A228}" error="Please choose feedback from drop down only." errorTitle="An invalid feedback was entered" showErrorMessage="1">
          <x14:formula1>
            <xm:f>Antennas!A:A</xm:f>
          </x14:formula1>
          <xm:sqref>P8</xm:sqref>
        </x14:dataValidation>
        <x14:dataValidation type="list" xr:uid="{4033D9AE-8C4C-4FB1-BEA5-7940C800E6E2}" error="Please choose feedback from drop down only." errorTitle="An invalid feedback was entered" showErrorMessage="1">
          <x14:formula1>
            <xm:f>Antennas!A:A</xm:f>
          </x14:formula1>
          <xm:sqref>Q8</xm:sqref>
        </x14:dataValidation>
        <x14:dataValidation type="list" xr:uid="{F5ABA09F-88B8-4AC8-968D-B257203404FD}" error="Please choose feedback from drop down only." errorTitle="An invalid feedback was entered" showErrorMessage="1">
          <x14:formula1>
            <xm:f>Combiners!A:A</xm:f>
          </x14:formula1>
          <xm:sqref>C39</xm:sqref>
        </x14:dataValidation>
        <x14:dataValidation type="list" xr:uid="{243A5CFB-3BE5-412E-B7F9-7EF8EC2CF440}" error="Please choose feedback from drop down only." errorTitle="An invalid feedback was entered" showErrorMessage="1">
          <x14:formula1>
            <xm:f>Combiners!A:A</xm:f>
          </x14:formula1>
          <xm:sqref>D39</xm:sqref>
        </x14:dataValidation>
        <x14:dataValidation type="list" xr:uid="{6DA4DFFA-C493-4E73-94F1-AC590D504EA4}" error="Please choose feedback from drop down only." errorTitle="An invalid feedback was entered" showErrorMessage="1">
          <x14:formula1>
            <xm:f>Combiners!A:A</xm:f>
          </x14:formula1>
          <xm:sqref>E39</xm:sqref>
        </x14:dataValidation>
        <x14:dataValidation type="list" xr:uid="{5424048C-36DB-437C-98E2-C7074D741B81}" error="Please choose feedback from drop down only." errorTitle="An invalid feedback was entered" showErrorMessage="1">
          <x14:formula1>
            <xm:f>Combiners!A:A</xm:f>
          </x14:formula1>
          <xm:sqref>F39</xm:sqref>
        </x14:dataValidation>
        <x14:dataValidation type="list" xr:uid="{14763BE0-1C90-4EF1-9404-C23D4118A60E}" error="Please choose feedback from drop down only." errorTitle="An invalid feedback was entered" showErrorMessage="1">
          <x14:formula1>
            <xm:f>Combiners!A:A</xm:f>
          </x14:formula1>
          <xm:sqref>G39</xm:sqref>
        </x14:dataValidation>
        <x14:dataValidation type="list" xr:uid="{BD2ACFBA-A6BE-4044-9DBB-8674E12F37FD}" error="Please choose feedback from drop down only." errorTitle="An invalid feedback was entered" showErrorMessage="1">
          <x14:formula1>
            <xm:f>Combiners!A:A</xm:f>
          </x14:formula1>
          <xm:sqref>H39</xm:sqref>
        </x14:dataValidation>
        <x14:dataValidation type="list" xr:uid="{2D31A738-6212-42BD-8A49-424DB634D08F}" error="Please choose feedback from drop down only." errorTitle="An invalid feedback was entered" showErrorMessage="1">
          <x14:formula1>
            <xm:f>Combiners!A:A</xm:f>
          </x14:formula1>
          <xm:sqref>I39</xm:sqref>
        </x14:dataValidation>
        <x14:dataValidation type="list" xr:uid="{70A2D384-1A19-4038-AB1B-EA29F43EEF4C}" error="Please choose feedback from drop down only." errorTitle="An invalid feedback was entered" showErrorMessage="1">
          <x14:formula1>
            <xm:f>Combiners!A:A</xm:f>
          </x14:formula1>
          <xm:sqref>J39</xm:sqref>
        </x14:dataValidation>
        <x14:dataValidation type="list" xr:uid="{1735AA4A-1262-4C76-A992-EEE2A5850C82}" error="Please choose feedback from drop down only." errorTitle="An invalid feedback was entered" showErrorMessage="1">
          <x14:formula1>
            <xm:f>Combiners!A:A</xm:f>
          </x14:formula1>
          <xm:sqref>K39</xm:sqref>
        </x14:dataValidation>
        <x14:dataValidation type="list" xr:uid="{661CB311-78B4-4B4B-8E98-8C2BF0F630FB}" error="Please choose feedback from drop down only." errorTitle="An invalid feedback was entered" showErrorMessage="1">
          <x14:formula1>
            <xm:f>Combiners!A:A</xm:f>
          </x14:formula1>
          <xm:sqref>L39</xm:sqref>
        </x14:dataValidation>
        <x14:dataValidation type="list" xr:uid="{BE3E57AE-48EA-4E94-A5BE-332E7D8B8EB0}" error="Please choose feedback from drop down only." errorTitle="An invalid feedback was entered" showErrorMessage="1">
          <x14:formula1>
            <xm:f>Combiners!A:A</xm:f>
          </x14:formula1>
          <xm:sqref>M39</xm:sqref>
        </x14:dataValidation>
        <x14:dataValidation type="list" xr:uid="{5D069BC5-58AB-4265-B6E4-7FC3066DE161}" error="Please choose feedback from drop down only." errorTitle="An invalid feedback was entered" showErrorMessage="1">
          <x14:formula1>
            <xm:f>Combiners!A:A</xm:f>
          </x14:formula1>
          <xm:sqref>N39</xm:sqref>
        </x14:dataValidation>
        <x14:dataValidation type="list" xr:uid="{AC81C9BC-B6D7-4C3F-A9AF-DD2F98D87023}" error="Please choose feedback from drop down only." errorTitle="An invalid feedback was entered" showErrorMessage="1">
          <x14:formula1>
            <xm:f>Combiners!A:A</xm:f>
          </x14:formula1>
          <xm:sqref>O39</xm:sqref>
        </x14:dataValidation>
        <x14:dataValidation type="list" xr:uid="{79631548-BBB6-4FC0-B81C-4134594D3B74}" error="Please choose feedback from drop down only." errorTitle="An invalid feedback was entered" showErrorMessage="1">
          <x14:formula1>
            <xm:f>Combiners!A:A</xm:f>
          </x14:formula1>
          <xm:sqref>P39</xm:sqref>
        </x14:dataValidation>
        <x14:dataValidation type="list" xr:uid="{F7323736-14F2-4F90-966D-043E4763B41E}" error="Please choose feedback from drop down only." errorTitle="An invalid feedback was entered" showErrorMessage="1">
          <x14:formula1>
            <xm:f>Combiners!A:A</xm:f>
          </x14:formula1>
          <xm:sqref>Q39</xm:sqref>
        </x14:dataValidation>
        <x14:dataValidation type="list" xr:uid="{C27BCB59-6CD0-401D-8462-FD822CA7C896}" error="Please choose feedback from drop down only." errorTitle="An invalid feedback was entered" showErrorMessage="0">
          <x14:formula1>
            <xm:f>RRUs!A:A</xm:f>
          </x14:formula1>
          <xm:sqref>C35</xm:sqref>
        </x14:dataValidation>
        <x14:dataValidation type="list" xr:uid="{0E2006D4-1D46-4E60-AA8A-3E3B55A0BC5C}" error="Please choose feedback from drop down only." errorTitle="An invalid feedback was entered" showErrorMessage="0">
          <x14:formula1>
            <xm:f>RRUs!A:A</xm:f>
          </x14:formula1>
          <xm:sqref>D35</xm:sqref>
        </x14:dataValidation>
        <x14:dataValidation type="list" xr:uid="{FCFB437F-0910-4A54-B6B2-2749652DFAD3}" error="Please choose feedback from drop down only." errorTitle="An invalid feedback was entered" showErrorMessage="0">
          <x14:formula1>
            <xm:f>RRUs!A:A</xm:f>
          </x14:formula1>
          <xm:sqref>E35</xm:sqref>
        </x14:dataValidation>
        <x14:dataValidation type="list" xr:uid="{00EBE56C-B461-4A08-AEAB-2ABE79042674}" error="Please choose feedback from drop down only." errorTitle="An invalid feedback was entered" showErrorMessage="0">
          <x14:formula1>
            <xm:f>RRUs!A:A</xm:f>
          </x14:formula1>
          <xm:sqref>F35</xm:sqref>
        </x14:dataValidation>
        <x14:dataValidation type="list" xr:uid="{91926F0C-8D2B-48C5-9D50-D5945B3E48CB}" error="Please choose feedback from drop down only." errorTitle="An invalid feedback was entered" showErrorMessage="0">
          <x14:formula1>
            <xm:f>RRUs!A:A</xm:f>
          </x14:formula1>
          <xm:sqref>G35</xm:sqref>
        </x14:dataValidation>
        <x14:dataValidation type="list" xr:uid="{02131F9E-BF72-4688-8544-6E5A3B2CBBF0}" error="Please choose feedback from drop down only." errorTitle="An invalid feedback was entered" showErrorMessage="0">
          <x14:formula1>
            <xm:f>RRUs!A:A</xm:f>
          </x14:formula1>
          <xm:sqref>H35</xm:sqref>
        </x14:dataValidation>
        <x14:dataValidation type="list" xr:uid="{0F6D6CB2-CEBA-4E09-8A83-8BA7100EDE18}" error="Please choose feedback from drop down only." errorTitle="An invalid feedback was entered" showErrorMessage="0">
          <x14:formula1>
            <xm:f>RRUs!A:A</xm:f>
          </x14:formula1>
          <xm:sqref>I35</xm:sqref>
        </x14:dataValidation>
        <x14:dataValidation type="list" xr:uid="{00B52B55-497E-4042-B5AC-A9DDD0E2676E}" error="Please choose feedback from drop down only." errorTitle="An invalid feedback was entered" showErrorMessage="0">
          <x14:formula1>
            <xm:f>RRUs!A:A</xm:f>
          </x14:formula1>
          <xm:sqref>J35</xm:sqref>
        </x14:dataValidation>
        <x14:dataValidation type="list" xr:uid="{E6D305BE-6F8C-4B1F-AB98-8DC8367BDBB6}" error="Please choose feedback from drop down only." errorTitle="An invalid feedback was entered" showErrorMessage="0">
          <x14:formula1>
            <xm:f>RRUs!A:A</xm:f>
          </x14:formula1>
          <xm:sqref>K35</xm:sqref>
        </x14:dataValidation>
        <x14:dataValidation type="list" xr:uid="{14C46864-B1DA-403B-8C44-793936A51EE8}" error="Please choose feedback from drop down only." errorTitle="An invalid feedback was entered" showErrorMessage="0">
          <x14:formula1>
            <xm:f>RRUs!A:A</xm:f>
          </x14:formula1>
          <xm:sqref>L35</xm:sqref>
        </x14:dataValidation>
        <x14:dataValidation type="list" xr:uid="{955618F6-A7C6-47A6-9CE6-591D6A789764}" error="Please choose feedback from drop down only." errorTitle="An invalid feedback was entered" showErrorMessage="0">
          <x14:formula1>
            <xm:f>RRUs!A:A</xm:f>
          </x14:formula1>
          <xm:sqref>M35</xm:sqref>
        </x14:dataValidation>
        <x14:dataValidation type="list" xr:uid="{3DC0FBDA-2DDC-413A-9BA7-CF48494F066E}" error="Please choose feedback from drop down only." errorTitle="An invalid feedback was entered" showErrorMessage="0">
          <x14:formula1>
            <xm:f>RRUs!A:A</xm:f>
          </x14:formula1>
          <xm:sqref>N35</xm:sqref>
        </x14:dataValidation>
        <x14:dataValidation type="list" xr:uid="{8F59584B-FED7-4686-B121-62FBA0D5479A}" error="Please choose feedback from drop down only." errorTitle="An invalid feedback was entered" showErrorMessage="0">
          <x14:formula1>
            <xm:f>RRUs!A:A</xm:f>
          </x14:formula1>
          <xm:sqref>O35</xm:sqref>
        </x14:dataValidation>
        <x14:dataValidation type="list" xr:uid="{9A036B40-50C3-45C2-8309-5871229A8147}" error="Please choose feedback from drop down only." errorTitle="An invalid feedback was entered" showErrorMessage="0">
          <x14:formula1>
            <xm:f>RRUs!A:A</xm:f>
          </x14:formula1>
          <xm:sqref>P35</xm:sqref>
        </x14:dataValidation>
        <x14:dataValidation type="list" xr:uid="{C782107E-5980-4E00-9161-2F955F80EE1C}" error="Please choose feedback from drop down only." errorTitle="An invalid feedback was entered" showErrorMessage="0">
          <x14:formula1>
            <xm:f>RRUs!A:A</xm:f>
          </x14:formula1>
          <xm:sqref>Q35</xm:sqref>
        </x14:dataValidation>
        <x14:dataValidation type="list" xr:uid="{C5B33D4D-FF63-427F-BC74-A45387BEC7BB}" error="Please choose feedback from drop down only." errorTitle="An invalid feedback was entered" showErrorMessage="1">
          <x14:formula1>
            <xm:f>Combiners!A:A</xm:f>
          </x14:formula1>
          <xm:sqref>C41</xm:sqref>
        </x14:dataValidation>
        <x14:dataValidation type="list" xr:uid="{EB1FD621-9086-4577-B694-5BA5E73E20B2}" error="Please choose feedback from drop down only." errorTitle="An invalid feedback was entered" showErrorMessage="1">
          <x14:formula1>
            <xm:f>Combiners!A:A</xm:f>
          </x14:formula1>
          <xm:sqref>D41</xm:sqref>
        </x14:dataValidation>
        <x14:dataValidation type="list" xr:uid="{B3785CEC-5575-42F7-B486-13FE498D080C}" error="Please choose feedback from drop down only." errorTitle="An invalid feedback was entered" showErrorMessage="1">
          <x14:formula1>
            <xm:f>Combiners!A:A</xm:f>
          </x14:formula1>
          <xm:sqref>E41</xm:sqref>
        </x14:dataValidation>
        <x14:dataValidation type="list" xr:uid="{86E5A0AD-1924-4BBA-A55B-0E3D16354869}" error="Please choose feedback from drop down only." errorTitle="An invalid feedback was entered" showErrorMessage="1">
          <x14:formula1>
            <xm:f>Combiners!A:A</xm:f>
          </x14:formula1>
          <xm:sqref>F41</xm:sqref>
        </x14:dataValidation>
        <x14:dataValidation type="list" xr:uid="{C7EDE910-FA0A-416B-BF35-F5831518FD9B}" error="Please choose feedback from drop down only." errorTitle="An invalid feedback was entered" showErrorMessage="1">
          <x14:formula1>
            <xm:f>Combiners!A:A</xm:f>
          </x14:formula1>
          <xm:sqref>G41</xm:sqref>
        </x14:dataValidation>
        <x14:dataValidation type="list" xr:uid="{83AB1AC3-F5E8-4E32-B255-FEAFAA644615}" error="Please choose feedback from drop down only." errorTitle="An invalid feedback was entered" showErrorMessage="1">
          <x14:formula1>
            <xm:f>Combiners!A:A</xm:f>
          </x14:formula1>
          <xm:sqref>H41</xm:sqref>
        </x14:dataValidation>
        <x14:dataValidation type="list" xr:uid="{D854011F-F6BA-4875-ACBC-C20F2716D329}" error="Please choose feedback from drop down only." errorTitle="An invalid feedback was entered" showErrorMessage="1">
          <x14:formula1>
            <xm:f>Combiners!A:A</xm:f>
          </x14:formula1>
          <xm:sqref>I41</xm:sqref>
        </x14:dataValidation>
        <x14:dataValidation type="list" xr:uid="{C3820BB8-5211-4839-B277-1F77B17A2F4D}" error="Please choose feedback from drop down only." errorTitle="An invalid feedback was entered" showErrorMessage="1">
          <x14:formula1>
            <xm:f>Combiners!A:A</xm:f>
          </x14:formula1>
          <xm:sqref>J41</xm:sqref>
        </x14:dataValidation>
        <x14:dataValidation type="list" xr:uid="{CC9F044A-22C3-4042-A988-DE8057AAE9F8}" error="Please choose feedback from drop down only." errorTitle="An invalid feedback was entered" showErrorMessage="1">
          <x14:formula1>
            <xm:f>Combiners!A:A</xm:f>
          </x14:formula1>
          <xm:sqref>K41</xm:sqref>
        </x14:dataValidation>
        <x14:dataValidation type="list" xr:uid="{EA6B7BAF-41FA-478F-AD48-8FCFB804425C}" error="Please choose feedback from drop down only." errorTitle="An invalid feedback was entered" showErrorMessage="1">
          <x14:formula1>
            <xm:f>Combiners!A:A</xm:f>
          </x14:formula1>
          <xm:sqref>L41</xm:sqref>
        </x14:dataValidation>
        <x14:dataValidation type="list" xr:uid="{DBE56B30-A0C6-4B11-A613-C251C87A324A}" error="Please choose feedback from drop down only." errorTitle="An invalid feedback was entered" showErrorMessage="1">
          <x14:formula1>
            <xm:f>Combiners!A:A</xm:f>
          </x14:formula1>
          <xm:sqref>M41</xm:sqref>
        </x14:dataValidation>
        <x14:dataValidation type="list" xr:uid="{17570BA8-304C-45AF-B839-C767926E3588}" error="Please choose feedback from drop down only." errorTitle="An invalid feedback was entered" showErrorMessage="1">
          <x14:formula1>
            <xm:f>Combiners!A:A</xm:f>
          </x14:formula1>
          <xm:sqref>N41</xm:sqref>
        </x14:dataValidation>
        <x14:dataValidation type="list" xr:uid="{5DFE1EE4-4938-445E-9274-A32A87C04A28}" error="Please choose feedback from drop down only." errorTitle="An invalid feedback was entered" showErrorMessage="1">
          <x14:formula1>
            <xm:f>Combiners!A:A</xm:f>
          </x14:formula1>
          <xm:sqref>O41</xm:sqref>
        </x14:dataValidation>
        <x14:dataValidation type="list" xr:uid="{9E3E55C0-14D1-4E06-9DA7-3F4C815CAC66}" error="Please choose feedback from drop down only." errorTitle="An invalid feedback was entered" showErrorMessage="1">
          <x14:formula1>
            <xm:f>Combiners!A:A</xm:f>
          </x14:formula1>
          <xm:sqref>P41</xm:sqref>
        </x14:dataValidation>
        <x14:dataValidation type="list" xr:uid="{C1782DC9-B0AF-4743-AD44-0D5FF8591805}" error="Please choose feedback from drop down only." errorTitle="An invalid feedback was entered" showErrorMessage="1">
          <x14:formula1>
            <xm:f>Combiners!A:A</xm:f>
          </x14:formula1>
          <xm:sqref>Q41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7"/>
  <dimension ref="A1:U45"/>
  <sheetViews>
    <sheetView zoomScale="90" zoomScaleNormal="90" workbookViewId="0">
      <selection activeCell="C8" sqref="C8:H8"/>
    </sheetView>
  </sheetViews>
  <sheetFormatPr defaultColWidth="9.1328125" defaultRowHeight="12.75"/>
  <cols>
    <col min="1" max="1" bestFit="1" width="10.265625" customWidth="1" style="6"/>
    <col min="2" max="2" bestFit="1" width="40.1328125" customWidth="1" style="7"/>
    <col min="3" max="7" width="9.1328125" customWidth="1" style="21"/>
    <col min="8" max="8" bestFit="1" width="9.3984375" customWidth="1" style="21"/>
    <col min="9" max="16384" width="9.1328125" customWidth="1" style="21"/>
  </cols>
  <sheetData>
    <row r="1" ht="25.15" customHeight="1">
      <c r="A1" s="197"/>
      <c r="B1" s="198"/>
      <c r="C1" s="258" t="s">
        <v>105</v>
      </c>
      <c r="D1" s="258"/>
      <c r="E1" s="258"/>
      <c r="F1" s="258"/>
      <c r="G1" s="258"/>
      <c r="H1" s="258"/>
      <c r="I1" s="258"/>
      <c r="J1" s="258"/>
      <c r="K1" s="258"/>
      <c r="L1" s="258"/>
      <c r="M1" s="258"/>
      <c r="N1" s="258"/>
      <c r="O1" s="258"/>
      <c r="P1" s="258"/>
    </row>
    <row r="2" ht="18">
      <c r="A2" s="33"/>
      <c r="B2" s="14" t="s">
        <v>1</v>
      </c>
      <c r="C2" s="217">
        <v>1</v>
      </c>
      <c r="D2" s="251"/>
      <c r="E2" s="251"/>
      <c r="F2" s="251"/>
      <c r="G2" s="251"/>
      <c r="H2" s="219"/>
      <c r="I2" s="252">
        <v>2</v>
      </c>
      <c r="J2" s="253"/>
      <c r="K2" s="253"/>
      <c r="L2" s="254"/>
      <c r="M2" s="252">
        <v>3</v>
      </c>
      <c r="N2" s="253"/>
      <c r="O2" s="255"/>
      <c r="P2" s="72">
        <v>4</v>
      </c>
    </row>
    <row r="3" ht="17.65">
      <c r="A3" s="241"/>
      <c r="B3" s="12" t="s">
        <v>2</v>
      </c>
      <c r="C3" s="226"/>
      <c r="D3" s="227"/>
      <c r="E3" s="227"/>
      <c r="F3" s="227"/>
      <c r="G3" s="227"/>
      <c r="H3" s="227"/>
      <c r="I3" s="227"/>
      <c r="J3" s="227"/>
      <c r="K3" s="227"/>
      <c r="L3" s="227"/>
      <c r="M3" s="227"/>
      <c r="N3" s="227"/>
      <c r="O3" s="227"/>
      <c r="P3" s="228"/>
    </row>
    <row r="4" ht="25.15" s="22" customFormat="1">
      <c r="A4" s="241"/>
      <c r="B4" s="9" t="s">
        <v>3</v>
      </c>
      <c r="C4" s="267"/>
      <c r="D4" s="268"/>
      <c r="E4" s="268"/>
      <c r="F4" s="268"/>
      <c r="G4" s="268"/>
      <c r="H4" s="268"/>
      <c r="I4" s="268"/>
      <c r="J4" s="268"/>
      <c r="K4" s="268"/>
      <c r="L4" s="268"/>
      <c r="M4" s="268"/>
      <c r="N4" s="268"/>
      <c r="O4" s="268"/>
      <c r="P4" s="269"/>
    </row>
    <row r="5" ht="24.75">
      <c r="A5" s="241"/>
      <c r="B5" s="13" t="s">
        <v>4</v>
      </c>
      <c r="C5" s="245"/>
      <c r="D5" s="246"/>
      <c r="E5" s="246"/>
      <c r="F5" s="246"/>
      <c r="G5" s="246"/>
      <c r="H5" s="246"/>
      <c r="I5" s="246"/>
      <c r="J5" s="246"/>
      <c r="K5" s="246"/>
      <c r="L5" s="246"/>
      <c r="M5" s="246"/>
      <c r="N5" s="246"/>
      <c r="O5" s="246"/>
      <c r="P5" s="247"/>
    </row>
    <row r="6" ht="25.15" s="22" customFormat="1">
      <c r="A6" s="241"/>
      <c r="B6" s="32" t="s">
        <v>5</v>
      </c>
      <c r="C6" s="248"/>
      <c r="D6" s="249"/>
      <c r="E6" s="249"/>
      <c r="F6" s="249"/>
      <c r="G6" s="249"/>
      <c r="H6" s="249"/>
      <c r="I6" s="249"/>
      <c r="J6" s="249"/>
      <c r="K6" s="249"/>
      <c r="L6" s="249"/>
      <c r="M6" s="249"/>
      <c r="N6" s="249"/>
      <c r="O6" s="249"/>
      <c r="P6" s="250"/>
    </row>
    <row r="7" ht="17.25">
      <c r="A7" s="241"/>
      <c r="B7" s="8" t="s">
        <v>6</v>
      </c>
      <c r="C7" s="226"/>
      <c r="D7" s="227"/>
      <c r="E7" s="227"/>
      <c r="F7" s="227"/>
      <c r="G7" s="227"/>
      <c r="H7" s="228"/>
      <c r="I7" s="227"/>
      <c r="J7" s="227"/>
      <c r="K7" s="227"/>
      <c r="L7" s="228"/>
      <c r="M7" s="227"/>
      <c r="N7" s="227"/>
      <c r="O7" s="228"/>
      <c r="P7" s="90"/>
    </row>
    <row r="8" ht="17.65" s="22" customFormat="1">
      <c r="A8" s="241"/>
      <c r="B8" s="9" t="s">
        <v>7</v>
      </c>
      <c r="C8" s="229"/>
      <c r="D8" s="230"/>
      <c r="E8" s="230"/>
      <c r="F8" s="230"/>
      <c r="G8" s="230"/>
      <c r="H8" s="231"/>
      <c r="I8" s="229"/>
      <c r="J8" s="230"/>
      <c r="K8" s="230"/>
      <c r="L8" s="231"/>
      <c r="M8" s="229"/>
      <c r="N8" s="230"/>
      <c r="O8" s="231"/>
      <c r="P8" s="74"/>
    </row>
    <row r="9" ht="17.25">
      <c r="A9" s="241"/>
      <c r="B9" s="8" t="s">
        <v>8</v>
      </c>
      <c r="C9" s="211"/>
      <c r="D9" s="212"/>
      <c r="E9" s="212"/>
      <c r="F9" s="212"/>
      <c r="G9" s="212"/>
      <c r="H9" s="213"/>
      <c r="I9" s="212"/>
      <c r="J9" s="212"/>
      <c r="K9" s="212"/>
      <c r="L9" s="213"/>
      <c r="M9" s="212"/>
      <c r="N9" s="212"/>
      <c r="O9" s="213"/>
      <c r="P9" s="73"/>
    </row>
    <row r="10" ht="17.65" s="22" customFormat="1">
      <c r="A10" s="241"/>
      <c r="B10" s="10" t="s">
        <v>9</v>
      </c>
      <c r="C10" s="229"/>
      <c r="D10" s="230"/>
      <c r="E10" s="230"/>
      <c r="F10" s="230"/>
      <c r="G10" s="230"/>
      <c r="H10" s="231"/>
      <c r="I10" s="229"/>
      <c r="J10" s="230"/>
      <c r="K10" s="230"/>
      <c r="L10" s="231"/>
      <c r="M10" s="229"/>
      <c r="N10" s="230"/>
      <c r="O10" s="231"/>
      <c r="P10" s="74"/>
    </row>
    <row r="11" ht="17.25">
      <c r="A11" s="241"/>
      <c r="B11" s="8" t="s">
        <v>10</v>
      </c>
      <c r="C11" s="211"/>
      <c r="D11" s="212"/>
      <c r="E11" s="212"/>
      <c r="F11" s="212"/>
      <c r="G11" s="212"/>
      <c r="H11" s="213"/>
      <c r="I11" s="212"/>
      <c r="J11" s="212"/>
      <c r="K11" s="212"/>
      <c r="L11" s="213"/>
      <c r="M11" s="212"/>
      <c r="N11" s="212"/>
      <c r="O11" s="213"/>
      <c r="P11" s="73"/>
    </row>
    <row r="12" ht="17.65" s="22" customFormat="1">
      <c r="A12" s="241"/>
      <c r="B12" s="10" t="s">
        <v>11</v>
      </c>
      <c r="C12" s="214"/>
      <c r="D12" s="215"/>
      <c r="E12" s="215"/>
      <c r="F12" s="215"/>
      <c r="G12" s="215"/>
      <c r="H12" s="216"/>
      <c r="I12" s="214"/>
      <c r="J12" s="215"/>
      <c r="K12" s="215"/>
      <c r="L12" s="216"/>
      <c r="M12" s="214"/>
      <c r="N12" s="215"/>
      <c r="O12" s="216"/>
      <c r="P12" s="74"/>
    </row>
    <row r="13" ht="17.25">
      <c r="A13" s="241"/>
      <c r="B13" s="8" t="s">
        <v>12</v>
      </c>
      <c r="C13" s="211"/>
      <c r="D13" s="212"/>
      <c r="E13" s="212"/>
      <c r="F13" s="212"/>
      <c r="G13" s="212"/>
      <c r="H13" s="213"/>
      <c r="I13" s="212"/>
      <c r="J13" s="212"/>
      <c r="K13" s="212"/>
      <c r="L13" s="213"/>
      <c r="M13" s="212"/>
      <c r="N13" s="212"/>
      <c r="O13" s="213"/>
      <c r="P13" s="73"/>
    </row>
    <row r="14" ht="17.65" s="22" customFormat="1">
      <c r="A14" s="241"/>
      <c r="B14" s="10" t="s">
        <v>13</v>
      </c>
      <c r="C14" s="208"/>
      <c r="D14" s="209"/>
      <c r="E14" s="209"/>
      <c r="F14" s="209"/>
      <c r="G14" s="209"/>
      <c r="H14" s="210"/>
      <c r="I14" s="208"/>
      <c r="J14" s="209"/>
      <c r="K14" s="209"/>
      <c r="L14" s="210"/>
      <c r="M14" s="208"/>
      <c r="N14" s="209"/>
      <c r="O14" s="210"/>
      <c r="P14" s="81"/>
    </row>
    <row r="15" ht="17.25">
      <c r="A15" s="241"/>
      <c r="B15" s="8" t="s">
        <v>14</v>
      </c>
      <c r="C15" s="211"/>
      <c r="D15" s="212"/>
      <c r="E15" s="212"/>
      <c r="F15" s="212"/>
      <c r="G15" s="212"/>
      <c r="H15" s="213"/>
      <c r="I15" s="212"/>
      <c r="J15" s="212"/>
      <c r="K15" s="212"/>
      <c r="L15" s="213"/>
      <c r="M15" s="212"/>
      <c r="N15" s="212"/>
      <c r="O15" s="213"/>
      <c r="P15" s="80"/>
    </row>
    <row r="16" ht="17.25" s="22" customFormat="1">
      <c r="A16" s="241"/>
      <c r="B16" s="68" t="s">
        <v>15</v>
      </c>
      <c r="C16" s="199"/>
      <c r="D16" s="200"/>
      <c r="E16" s="200"/>
      <c r="F16" s="200"/>
      <c r="G16" s="200"/>
      <c r="H16" s="201"/>
      <c r="I16" s="202"/>
      <c r="J16" s="203"/>
      <c r="K16" s="203"/>
      <c r="L16" s="204"/>
      <c r="M16" s="202"/>
      <c r="N16" s="203"/>
      <c r="O16" s="204"/>
      <c r="P16" s="75"/>
    </row>
    <row r="17" ht="17.25">
      <c r="A17" s="256"/>
      <c r="B17" s="70" t="s">
        <v>16</v>
      </c>
      <c r="C17" s="63" t="s">
        <v>17</v>
      </c>
      <c r="D17" s="64" t="s">
        <v>18</v>
      </c>
      <c r="E17" s="64" t="s">
        <v>19</v>
      </c>
      <c r="F17" s="64" t="s">
        <v>20</v>
      </c>
      <c r="G17" s="64" t="s">
        <v>21</v>
      </c>
      <c r="H17" s="65" t="s">
        <v>22</v>
      </c>
      <c r="I17" s="63" t="s">
        <v>17</v>
      </c>
      <c r="J17" s="64" t="s">
        <v>18</v>
      </c>
      <c r="K17" s="64" t="s">
        <v>19</v>
      </c>
      <c r="L17" s="65" t="s">
        <v>20</v>
      </c>
      <c r="M17" s="63" t="s">
        <v>17</v>
      </c>
      <c r="N17" s="64" t="s">
        <v>18</v>
      </c>
      <c r="O17" s="65" t="s">
        <v>19</v>
      </c>
      <c r="P17" s="76" t="s">
        <v>17</v>
      </c>
    </row>
    <row r="18" ht="17.25">
      <c r="A18" s="256"/>
      <c r="B18" s="70" t="s">
        <v>23</v>
      </c>
      <c r="C18" s="63"/>
      <c r="D18" s="64"/>
      <c r="E18" s="64"/>
      <c r="F18" s="64"/>
      <c r="G18" s="64"/>
      <c r="H18" s="65"/>
      <c r="I18" s="63"/>
      <c r="J18" s="64"/>
      <c r="K18" s="64"/>
      <c r="L18" s="65"/>
      <c r="M18" s="63"/>
      <c r="N18" s="64"/>
      <c r="O18" s="65"/>
      <c r="P18" s="77"/>
    </row>
    <row r="19" ht="17.25">
      <c r="A19" s="256"/>
      <c r="B19" s="71" t="s">
        <v>24</v>
      </c>
      <c r="C19" s="105">
        <f>VLOOKUP(C8,AntennasPortName!A:H,2,FALSE)</f>
      </c>
      <c r="D19" s="105">
        <f>VLOOKUP(C8,AntennasPortName!A:H,3,FALSE)</f>
      </c>
      <c r="E19" s="105">
        <f>VLOOKUP(C8,AntennasPortName!A:H,4,FALSE)</f>
      </c>
      <c r="F19" s="105">
        <f>VLOOKUP(C8,AntennasPortName!A:H,5,FALSE)</f>
      </c>
      <c r="G19" s="105">
        <f>VLOOKUP(C8,AntennasPortName!A:H,6,FALSE)</f>
      </c>
      <c r="H19" s="105">
        <f>VLOOKUP(C8,AntennasPortName!A:H,7,FALSE)</f>
      </c>
      <c r="I19" s="105">
        <f>VLOOKUP(I8,AntennasPortName!A:H,2,FALSE)</f>
      </c>
      <c r="J19" s="105">
        <f>VLOOKUP(I8,AntennasPortName!A:H,3,FALSE)</f>
      </c>
      <c r="K19" s="105">
        <f>VLOOKUP(I8,AntennasPortName!A:H,4,FALSE)</f>
      </c>
      <c r="L19" s="105">
        <f>VLOOKUP(I8,AntennasPortName!A:H,5,FALSE)</f>
      </c>
      <c r="M19" s="105">
        <f>VLOOKUP(M8,AntennasPortName!A:H,2,FALSE)</f>
      </c>
      <c r="N19" s="105">
        <f>VLOOKUP(M8,AntennasPortName!A:H,3,FALSE)</f>
      </c>
      <c r="O19" s="105">
        <f>VLOOKUP(M8,AntennasPortName!A:H,4,FALSE)</f>
      </c>
      <c r="P19" s="99">
        <f>VLOOKUP(P8,AntennasPortName!A:H,2,FALSE)</f>
      </c>
    </row>
    <row r="20" ht="17.25">
      <c r="A20" s="241"/>
      <c r="B20" s="69" t="s">
        <v>25</v>
      </c>
      <c r="C20" s="61"/>
      <c r="D20" s="62"/>
      <c r="E20" s="62"/>
      <c r="F20" s="62"/>
      <c r="G20" s="62"/>
      <c r="H20" s="62"/>
      <c r="I20" s="61"/>
      <c r="J20" s="62"/>
      <c r="K20" s="62"/>
      <c r="L20" s="66"/>
      <c r="M20" s="67"/>
      <c r="N20" s="62"/>
      <c r="O20" s="66"/>
      <c r="P20" s="66"/>
    </row>
    <row r="21" ht="17.65">
      <c r="A21" s="241"/>
      <c r="B21" s="18" t="s">
        <v>26</v>
      </c>
      <c r="C21" s="42">
        <f>VLOOKUP(C8,Antennas!A:H,2,FALSE)</f>
      </c>
      <c r="D21" s="43">
        <f>VLOOKUP(C8,Antennas!A:H,3,FALSE)</f>
      </c>
      <c r="E21" s="43">
        <f>VLOOKUP(C8,Antennas!A:H,4,FALSE)</f>
      </c>
      <c r="F21" s="43">
        <f>VLOOKUP(C8,Antennas!A:H,5,FALSE)</f>
      </c>
      <c r="G21" s="43">
        <f>VLOOKUP(C8,Antennas!A:H,6,FALSE)</f>
      </c>
      <c r="H21" s="43">
        <f>VLOOKUP(C8,Antennas!A:H,7,FALSE)</f>
      </c>
      <c r="I21" s="43">
        <f>VLOOKUP(I8,Antennas!A:H,2,FALSE)</f>
      </c>
      <c r="J21" s="43">
        <f>VLOOKUP(I8,Antennas!A:H,3,FALSE)</f>
      </c>
      <c r="K21" s="43">
        <f>VLOOKUP(I8,Antennas!A:H,4,FALSE)</f>
      </c>
      <c r="L21" s="44">
        <f>VLOOKUP(I8,Antennas!A:H,5,FALSE)</f>
      </c>
      <c r="M21" s="45">
        <f>VLOOKUP(M8,Antennas!A:H,2,FALSE)</f>
      </c>
      <c r="N21" s="43">
        <f>VLOOKUP(M8,Antennas!A:H,3,FALSE)</f>
      </c>
      <c r="O21" s="42">
        <f>VLOOKUP(M8,Antennas!A:H,4,FALSE)</f>
      </c>
      <c r="P21" s="42">
        <f>VLOOKUP(P8,Antennas!A:H,2,FALSE)</f>
      </c>
      <c r="R21" s="17"/>
    </row>
    <row r="22" ht="17.65" s="22" customFormat="1">
      <c r="A22" s="241"/>
      <c r="B22" s="28" t="s">
        <v>27</v>
      </c>
      <c r="C22" s="46"/>
      <c r="D22" s="47"/>
      <c r="E22" s="47"/>
      <c r="F22" s="47"/>
      <c r="G22" s="47"/>
      <c r="H22" s="47"/>
      <c r="I22" s="47"/>
      <c r="J22" s="47"/>
      <c r="K22" s="47"/>
      <c r="L22" s="48"/>
      <c r="M22" s="49"/>
      <c r="N22" s="47"/>
      <c r="O22" s="50"/>
      <c r="P22" s="50"/>
    </row>
    <row r="23" ht="17.65" s="22" customFormat="1">
      <c r="A23" s="241"/>
      <c r="B23" s="28" t="s">
        <v>28</v>
      </c>
      <c r="C23" s="46"/>
      <c r="D23" s="46"/>
      <c r="E23" s="46"/>
      <c r="F23" s="46"/>
      <c r="G23" s="46"/>
      <c r="H23" s="46"/>
      <c r="I23" s="46"/>
      <c r="J23" s="46"/>
      <c r="K23" s="46"/>
      <c r="L23" s="46"/>
      <c r="M23" s="46"/>
      <c r="N23" s="46"/>
      <c r="O23" s="46"/>
      <c r="P23" s="46"/>
    </row>
    <row r="24" ht="17.25">
      <c r="A24" s="241"/>
      <c r="B24" s="11" t="s">
        <v>29</v>
      </c>
      <c r="C24" s="25"/>
      <c r="D24" s="25"/>
      <c r="E24" s="25"/>
      <c r="F24" s="25"/>
      <c r="G24" s="25"/>
      <c r="H24" s="25"/>
      <c r="I24" s="25"/>
      <c r="J24" s="25"/>
      <c r="K24" s="25"/>
      <c r="L24" s="25"/>
      <c r="M24" s="25"/>
      <c r="N24" s="25"/>
      <c r="O24" s="25"/>
      <c r="P24" s="25"/>
    </row>
    <row r="25" ht="17.65" s="22" customFormat="1">
      <c r="A25" s="241"/>
      <c r="B25" s="29" t="s">
        <v>30</v>
      </c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78"/>
    </row>
    <row r="26" ht="17.25">
      <c r="A26" s="241"/>
      <c r="B26" s="27" t="s">
        <v>31</v>
      </c>
      <c r="C26" s="24"/>
      <c r="D26" s="24"/>
      <c r="E26" s="24"/>
      <c r="F26" s="24"/>
      <c r="G26" s="24"/>
      <c r="H26" s="24"/>
      <c r="I26" s="24"/>
      <c r="J26" s="24"/>
      <c r="K26" s="24"/>
      <c r="L26" s="24"/>
      <c r="M26" s="24"/>
      <c r="N26" s="24"/>
      <c r="O26" s="24"/>
      <c r="P26" s="24"/>
    </row>
    <row r="27" ht="17.65" s="22" customFormat="1">
      <c r="A27" s="241"/>
      <c r="B27" s="30" t="s">
        <v>32</v>
      </c>
      <c r="C27" s="52"/>
      <c r="D27" s="52"/>
      <c r="E27" s="52"/>
      <c r="F27" s="52"/>
      <c r="G27" s="52"/>
      <c r="H27" s="52"/>
      <c r="I27" s="52"/>
      <c r="J27" s="52"/>
      <c r="K27" s="52"/>
      <c r="L27" s="52"/>
      <c r="M27" s="52"/>
      <c r="N27" s="52"/>
      <c r="O27" s="52"/>
      <c r="P27" s="52"/>
    </row>
    <row r="28" ht="17.25">
      <c r="A28" s="241"/>
      <c r="B28" s="11" t="s">
        <v>33</v>
      </c>
      <c r="C28" s="24"/>
      <c r="D28" s="24"/>
      <c r="E28" s="24"/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</row>
    <row r="29" ht="17.65" s="22" customFormat="1">
      <c r="A29" s="241"/>
      <c r="B29" s="31" t="s">
        <v>34</v>
      </c>
      <c r="C29" s="51"/>
      <c r="D29" s="51"/>
      <c r="E29" s="51"/>
      <c r="F29" s="51"/>
      <c r="G29" s="51"/>
      <c r="H29" s="51"/>
      <c r="I29" s="51"/>
      <c r="J29" s="51"/>
      <c r="K29" s="51"/>
      <c r="L29" s="51"/>
      <c r="M29" s="51"/>
      <c r="N29" s="51"/>
      <c r="O29" s="51"/>
      <c r="P29" s="78"/>
    </row>
    <row r="30" ht="17.25">
      <c r="A30" s="241"/>
      <c r="B30" s="27" t="s">
        <v>35</v>
      </c>
      <c r="C30" s="24"/>
      <c r="D30" s="24"/>
      <c r="E30" s="24"/>
      <c r="F30" s="24"/>
      <c r="G30" s="24"/>
      <c r="H30" s="24"/>
      <c r="I30" s="24"/>
      <c r="J30" s="24"/>
      <c r="K30" s="24"/>
      <c r="L30" s="24"/>
      <c r="M30" s="24"/>
      <c r="N30" s="24"/>
      <c r="O30" s="24"/>
      <c r="P30" s="24"/>
    </row>
    <row r="31" ht="17.65" s="22" customFormat="1">
      <c r="A31" s="241"/>
      <c r="B31" s="30" t="s">
        <v>36</v>
      </c>
      <c r="C31" s="53"/>
      <c r="D31" s="53"/>
      <c r="E31" s="53"/>
      <c r="F31" s="53"/>
      <c r="G31" s="53"/>
      <c r="H31" s="53"/>
      <c r="I31" s="53"/>
      <c r="J31" s="53"/>
      <c r="K31" s="53"/>
      <c r="L31" s="53"/>
      <c r="M31" s="53"/>
      <c r="N31" s="53"/>
      <c r="O31" s="53"/>
      <c r="P31" s="79"/>
    </row>
    <row r="32" ht="17.25">
      <c r="A32" s="241"/>
      <c r="B32" s="11" t="s">
        <v>37</v>
      </c>
      <c r="C32" s="25"/>
      <c r="D32" s="25"/>
      <c r="E32" s="25"/>
      <c r="F32" s="25"/>
      <c r="G32" s="25"/>
      <c r="H32" s="25"/>
      <c r="I32" s="25"/>
      <c r="J32" s="25"/>
      <c r="K32" s="25"/>
      <c r="L32" s="25"/>
      <c r="M32" s="25"/>
      <c r="N32" s="25"/>
      <c r="O32" s="25"/>
      <c r="P32" s="25"/>
    </row>
    <row r="33" ht="17.65" s="22" customFormat="1">
      <c r="A33" s="241"/>
      <c r="B33" s="30" t="s">
        <v>38</v>
      </c>
      <c r="C33" s="51"/>
      <c r="D33" s="51"/>
      <c r="E33" s="51"/>
      <c r="F33" s="51"/>
      <c r="G33" s="51"/>
      <c r="H33" s="51"/>
      <c r="I33" s="51"/>
      <c r="J33" s="51"/>
      <c r="K33" s="51"/>
      <c r="L33" s="51"/>
      <c r="M33" s="51"/>
      <c r="N33" s="51"/>
      <c r="O33" s="51"/>
      <c r="P33" s="78"/>
    </row>
    <row r="34" ht="17.25">
      <c r="A34" s="241"/>
      <c r="B34" s="27" t="s">
        <v>39</v>
      </c>
      <c r="C34" s="24"/>
      <c r="D34" s="24"/>
      <c r="E34" s="24"/>
      <c r="F34" s="24"/>
      <c r="G34" s="24"/>
      <c r="H34" s="24"/>
      <c r="I34" s="24"/>
      <c r="J34" s="24"/>
      <c r="K34" s="24"/>
      <c r="L34" s="24"/>
      <c r="M34" s="24"/>
      <c r="N34" s="24"/>
      <c r="O34" s="24"/>
      <c r="P34" s="24"/>
      <c r="U34" s="22"/>
    </row>
    <row r="35" ht="17.65" s="22" customFormat="1">
      <c r="A35" s="241"/>
      <c r="B35" s="28" t="s">
        <v>40</v>
      </c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78"/>
      <c r="U35" s="21"/>
    </row>
    <row r="36" ht="17.25">
      <c r="A36" s="241"/>
      <c r="B36" s="11" t="s">
        <v>41</v>
      </c>
      <c r="C36" s="25"/>
      <c r="D36" s="25"/>
      <c r="E36" s="25"/>
      <c r="F36" s="25"/>
      <c r="G36" s="25"/>
      <c r="H36" s="25"/>
      <c r="I36" s="25"/>
      <c r="J36" s="25"/>
      <c r="K36" s="25"/>
      <c r="L36" s="25"/>
      <c r="M36" s="25"/>
      <c r="N36" s="25"/>
      <c r="O36" s="25"/>
      <c r="P36" s="25"/>
    </row>
    <row r="37" ht="17.65" s="22" customFormat="1">
      <c r="A37" s="241"/>
      <c r="B37" s="28" t="s">
        <v>42</v>
      </c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78"/>
    </row>
    <row r="38" ht="17.25">
      <c r="A38" s="241"/>
      <c r="B38" s="11" t="s">
        <v>43</v>
      </c>
      <c r="C38" s="25"/>
      <c r="D38" s="25"/>
      <c r="E38" s="25"/>
      <c r="F38" s="25"/>
      <c r="G38" s="25"/>
      <c r="H38" s="25"/>
      <c r="I38" s="25"/>
      <c r="J38" s="25"/>
      <c r="K38" s="25"/>
      <c r="L38" s="25"/>
      <c r="M38" s="25"/>
      <c r="N38" s="25"/>
      <c r="O38" s="25"/>
      <c r="P38" s="25"/>
    </row>
    <row r="39" ht="17.65" s="22" customFormat="1">
      <c r="A39" s="241"/>
      <c r="B39" s="28" t="s">
        <v>44</v>
      </c>
      <c r="C39" s="51"/>
      <c r="D39" s="51"/>
      <c r="E39" s="51"/>
      <c r="F39" s="51"/>
      <c r="G39" s="51"/>
      <c r="H39" s="51"/>
      <c r="I39" s="51"/>
      <c r="J39" s="51"/>
      <c r="K39" s="51"/>
      <c r="L39" s="51"/>
      <c r="M39" s="51"/>
      <c r="N39" s="51"/>
      <c r="O39" s="51"/>
      <c r="P39" s="78"/>
    </row>
    <row r="40" ht="17.25">
      <c r="A40" s="241"/>
      <c r="B40" s="11" t="s">
        <v>45</v>
      </c>
      <c r="C40" s="26"/>
      <c r="D40" s="26"/>
      <c r="E40" s="26"/>
      <c r="F40" s="26"/>
      <c r="G40" s="26"/>
      <c r="H40" s="26"/>
      <c r="I40" s="26"/>
      <c r="J40" s="26"/>
      <c r="K40" s="26"/>
      <c r="L40" s="26"/>
      <c r="M40" s="26"/>
      <c r="N40" s="26"/>
      <c r="O40" s="26"/>
      <c r="P40" s="26"/>
    </row>
    <row r="41" ht="17.65" s="22" customFormat="1">
      <c r="A41" s="241"/>
      <c r="B41" s="29" t="s">
        <v>46</v>
      </c>
      <c r="C41" s="51"/>
      <c r="D41" s="51"/>
      <c r="E41" s="51"/>
      <c r="F41" s="51"/>
      <c r="G41" s="51"/>
      <c r="H41" s="51"/>
      <c r="I41" s="51"/>
      <c r="J41" s="51"/>
      <c r="K41" s="51"/>
      <c r="L41" s="51"/>
      <c r="M41" s="51"/>
      <c r="N41" s="51"/>
      <c r="O41" s="51"/>
      <c r="P41" s="78"/>
    </row>
    <row r="42" ht="12.75" customHeight="1">
      <c r="A42" s="223" t="s">
        <v>47</v>
      </c>
      <c r="B42" s="232"/>
      <c r="C42" s="233"/>
      <c r="D42" s="233"/>
      <c r="E42" s="233"/>
      <c r="F42" s="233"/>
      <c r="G42" s="233"/>
      <c r="H42" s="233"/>
      <c r="I42" s="233"/>
      <c r="J42" s="233"/>
      <c r="K42" s="233"/>
      <c r="L42" s="233"/>
      <c r="M42" s="233"/>
      <c r="N42" s="233"/>
      <c r="O42" s="233"/>
      <c r="P42" s="234"/>
      <c r="Q42" s="22"/>
      <c r="R42" s="22"/>
      <c r="S42" s="22"/>
    </row>
    <row r="43" ht="13.15" customHeight="1">
      <c r="A43" s="224"/>
      <c r="B43" s="235"/>
      <c r="C43" s="236"/>
      <c r="D43" s="236"/>
      <c r="E43" s="236"/>
      <c r="F43" s="236"/>
      <c r="G43" s="236"/>
      <c r="H43" s="236"/>
      <c r="I43" s="236"/>
      <c r="J43" s="236"/>
      <c r="K43" s="236"/>
      <c r="L43" s="236"/>
      <c r="M43" s="236"/>
      <c r="N43" s="236"/>
      <c r="O43" s="236"/>
      <c r="P43" s="237"/>
      <c r="Q43" s="22"/>
      <c r="R43" s="22"/>
      <c r="S43" s="22"/>
    </row>
    <row r="44" ht="13.15" customHeight="1">
      <c r="A44" s="224"/>
      <c r="B44" s="235"/>
      <c r="C44" s="236"/>
      <c r="D44" s="236"/>
      <c r="E44" s="236"/>
      <c r="F44" s="236"/>
      <c r="G44" s="236"/>
      <c r="H44" s="236"/>
      <c r="I44" s="236"/>
      <c r="J44" s="236"/>
      <c r="K44" s="236"/>
      <c r="L44" s="236"/>
      <c r="M44" s="236"/>
      <c r="N44" s="236"/>
      <c r="O44" s="236"/>
      <c r="P44" s="237"/>
      <c r="Q44" s="22"/>
      <c r="R44" s="22"/>
      <c r="S44" s="22"/>
    </row>
    <row r="45" ht="13.9" customHeight="1">
      <c r="A45" s="225"/>
      <c r="B45" s="238"/>
      <c r="C45" s="239"/>
      <c r="D45" s="239"/>
      <c r="E45" s="239"/>
      <c r="F45" s="239"/>
      <c r="G45" s="239"/>
      <c r="H45" s="239"/>
      <c r="I45" s="239"/>
      <c r="J45" s="239"/>
      <c r="K45" s="239"/>
      <c r="L45" s="239"/>
      <c r="M45" s="239"/>
      <c r="N45" s="239"/>
      <c r="O45" s="239"/>
      <c r="P45" s="240"/>
      <c r="Q45" s="22"/>
      <c r="R45" s="22"/>
      <c r="S45" s="22"/>
    </row>
  </sheetData>
  <mergeCells>
    <mergeCell ref="M14:O14"/>
    <mergeCell ref="M10:O10"/>
    <mergeCell ref="C11:H11"/>
    <mergeCell ref="I11:L11"/>
    <mergeCell ref="M11:O11"/>
    <mergeCell ref="C12:H12"/>
    <mergeCell ref="I12:L12"/>
    <mergeCell ref="M12:O12"/>
    <mergeCell ref="C10:H10"/>
    <mergeCell ref="I10:L10"/>
    <mergeCell ref="A34:A35"/>
    <mergeCell ref="A36:A41"/>
    <mergeCell ref="A42:A45"/>
    <mergeCell ref="C15:H15"/>
    <mergeCell ref="I15:L15"/>
    <mergeCell ref="B42:P45"/>
    <mergeCell ref="M15:O15"/>
    <mergeCell ref="C16:H16"/>
    <mergeCell ref="I16:L16"/>
    <mergeCell ref="M16:O16"/>
    <mergeCell ref="A3:A33"/>
    <mergeCell ref="C13:H13"/>
    <mergeCell ref="I13:L13"/>
    <mergeCell ref="M13:O13"/>
    <mergeCell ref="C14:H14"/>
    <mergeCell ref="I14:L14"/>
    <mergeCell ref="A1:B1"/>
    <mergeCell ref="C2:H2"/>
    <mergeCell ref="I2:L2"/>
    <mergeCell ref="M2:O2"/>
    <mergeCell ref="C1:P1"/>
    <mergeCell ref="C3:P3"/>
    <mergeCell ref="C4:P4"/>
    <mergeCell ref="C5:P5"/>
    <mergeCell ref="C6:P6"/>
    <mergeCell ref="C7:H7"/>
    <mergeCell ref="I7:L7"/>
    <mergeCell ref="M7:O7"/>
    <mergeCell ref="C8:H8"/>
    <mergeCell ref="I8:L8"/>
    <mergeCell ref="M8:O8"/>
    <mergeCell ref="C9:H9"/>
    <mergeCell ref="I9:L9"/>
    <mergeCell ref="M9:O9"/>
  </mergeCells>
  <conditionalFormatting sqref="C22:E22 C4 H22:O22">
    <cfRule type="cellIs" dxfId="0" priority="49" operator="greaterThan">
      <formula>0</formula>
    </cfRule>
  </conditionalFormatting>
  <conditionalFormatting sqref="C21:E21 H21:O21">
    <cfRule type="expression" dxfId="1" priority="48">
      <formula>ISERROR(C21)</formula>
    </cfRule>
  </conditionalFormatting>
  <conditionalFormatting sqref="C21:E21 H21:O21">
    <cfRule type="cellIs" dxfId="1" priority="47" operator="equal">
      <formula>0</formula>
    </cfRule>
  </conditionalFormatting>
  <conditionalFormatting sqref="C21:E21 H21:O21">
    <cfRule type="cellIs" dxfId="3" priority="46" operator="greaterThan">
      <formula>0</formula>
    </cfRule>
  </conditionalFormatting>
  <conditionalFormatting sqref="C27:O27 D29:O29 D33:O33">
    <cfRule type="cellIs" dxfId="0" priority="45" operator="notEqual">
      <formula>VALUE(C26)</formula>
    </cfRule>
  </conditionalFormatting>
  <conditionalFormatting sqref="C8:O8 C10:O10 C12:O12 C14:O14 C16:O16 C27:O27 D29:O29 D31:O31 D33:O33 D35:O35 D37:O37 D25:O25 D39:O39 D41:O41">
    <cfRule type="expression" dxfId="10" priority="41">
      <formula>ISBLANK(C8)</formula>
    </cfRule>
  </conditionalFormatting>
  <conditionalFormatting sqref="C29">
    <cfRule type="cellIs" dxfId="0" priority="43" operator="notEqual">
      <formula>VALUE(C28)</formula>
    </cfRule>
  </conditionalFormatting>
  <conditionalFormatting sqref="C29">
    <cfRule type="expression" dxfId="10" priority="42">
      <formula>ISBLANK(C29)</formula>
    </cfRule>
  </conditionalFormatting>
  <conditionalFormatting sqref="C8:O8 C10:O10 C12:O12 C14:O14 C16:O16 C31:O31 D35:O35 D37:O37 D25:O25 D39:O39 D41:O41">
    <cfRule type="cellIs" dxfId="0" priority="44" operator="notEqual">
      <formula>C7</formula>
    </cfRule>
  </conditionalFormatting>
  <conditionalFormatting sqref="C31">
    <cfRule type="expression" dxfId="10" priority="40">
      <formula>ISBLANK(C31)</formula>
    </cfRule>
  </conditionalFormatting>
  <conditionalFormatting sqref="C33">
    <cfRule type="cellIs" dxfId="0" priority="39" operator="notEqual">
      <formula>VALUE(C32)</formula>
    </cfRule>
  </conditionalFormatting>
  <conditionalFormatting sqref="C33">
    <cfRule type="expression" dxfId="10" priority="38">
      <formula>ISBLANK(C33)</formula>
    </cfRule>
  </conditionalFormatting>
  <conditionalFormatting sqref="C35">
    <cfRule type="cellIs" dxfId="0" priority="37" operator="notEqual">
      <formula>C34</formula>
    </cfRule>
  </conditionalFormatting>
  <conditionalFormatting sqref="C35">
    <cfRule type="expression" dxfId="10" priority="36">
      <formula>ISBLANK(C35)</formula>
    </cfRule>
  </conditionalFormatting>
  <conditionalFormatting sqref="C37">
    <cfRule type="cellIs" dxfId="0" priority="35" operator="notEqual">
      <formula>C36</formula>
    </cfRule>
  </conditionalFormatting>
  <conditionalFormatting sqref="C37">
    <cfRule type="expression" dxfId="10" priority="34">
      <formula>ISBLANK(C37)</formula>
    </cfRule>
  </conditionalFormatting>
  <conditionalFormatting sqref="C6">
    <cfRule type="expression" dxfId="10" priority="32">
      <formula>ISBLANK(C6)</formula>
    </cfRule>
    <cfRule type="cellIs" dxfId="0" priority="33" operator="notEqual">
      <formula>C5</formula>
    </cfRule>
  </conditionalFormatting>
  <conditionalFormatting sqref="C25">
    <cfRule type="cellIs" dxfId="0" priority="31" operator="notEqual">
      <formula>C24</formula>
    </cfRule>
  </conditionalFormatting>
  <conditionalFormatting sqref="C25">
    <cfRule type="expression" dxfId="10" priority="30">
      <formula>ISBLANK(C25)</formula>
    </cfRule>
  </conditionalFormatting>
  <conditionalFormatting sqref="C39">
    <cfRule type="cellIs" dxfId="0" priority="29" operator="notEqual">
      <formula>C38</formula>
    </cfRule>
  </conditionalFormatting>
  <conditionalFormatting sqref="C39">
    <cfRule type="expression" dxfId="10" priority="28">
      <formula>ISBLANK(C39)</formula>
    </cfRule>
  </conditionalFormatting>
  <conditionalFormatting sqref="C41">
    <cfRule type="cellIs" dxfId="0" priority="27" operator="notEqual">
      <formula>C40</formula>
    </cfRule>
  </conditionalFormatting>
  <conditionalFormatting sqref="C41">
    <cfRule type="expression" dxfId="10" priority="26">
      <formula>ISBLANK(C41)</formula>
    </cfRule>
  </conditionalFormatting>
  <conditionalFormatting sqref="C24:O41">
    <cfRule type="expression" dxfId="1" priority="25" stopIfTrue="1">
      <formula>OR(C$22="Free",C$22="Telenor",C$22="Mtel",C$22="Telenor&amp;Mtel")</formula>
    </cfRule>
  </conditionalFormatting>
  <conditionalFormatting sqref="F22:G22">
    <cfRule type="cellIs" dxfId="0" priority="24" operator="greaterThan">
      <formula>0</formula>
    </cfRule>
  </conditionalFormatting>
  <conditionalFormatting sqref="F21:G21">
    <cfRule type="expression" dxfId="1" priority="23">
      <formula>ISERROR(F21)</formula>
    </cfRule>
  </conditionalFormatting>
  <conditionalFormatting sqref="F21:G21">
    <cfRule type="cellIs" dxfId="1" priority="22" operator="equal">
      <formula>0</formula>
    </cfRule>
  </conditionalFormatting>
  <conditionalFormatting sqref="F21:G21">
    <cfRule type="cellIs" dxfId="3" priority="21" operator="greaterThan">
      <formula>0</formula>
    </cfRule>
  </conditionalFormatting>
  <conditionalFormatting sqref="C19">
    <cfRule type="cellIs" dxfId="139" priority="19" operator="equal">
      <formula>0</formula>
    </cfRule>
    <cfRule type="expression" dxfId="139" priority="20">
      <formula>ISERROR(C19)</formula>
    </cfRule>
  </conditionalFormatting>
  <conditionalFormatting sqref="D19:O19">
    <cfRule type="cellIs" dxfId="139" priority="17" operator="equal">
      <formula>0</formula>
    </cfRule>
    <cfRule type="expression" dxfId="139" priority="18">
      <formula>ISERROR(D19)</formula>
    </cfRule>
  </conditionalFormatting>
  <conditionalFormatting sqref="P22">
    <cfRule type="cellIs" dxfId="0" priority="11" operator="greaterThan">
      <formula>0</formula>
    </cfRule>
  </conditionalFormatting>
  <conditionalFormatting sqref="P21">
    <cfRule type="expression" dxfId="1" priority="10">
      <formula>ISERROR(P21)</formula>
    </cfRule>
  </conditionalFormatting>
  <conditionalFormatting sqref="P21">
    <cfRule type="cellIs" dxfId="1" priority="9" operator="equal">
      <formula>0</formula>
    </cfRule>
  </conditionalFormatting>
  <conditionalFormatting sqref="P21">
    <cfRule type="cellIs" dxfId="3" priority="8" operator="greaterThan">
      <formula>0</formula>
    </cfRule>
  </conditionalFormatting>
  <conditionalFormatting sqref="P27 P29 P33">
    <cfRule type="cellIs" dxfId="0" priority="7" operator="notEqual">
      <formula>VALUE(P26)</formula>
    </cfRule>
  </conditionalFormatting>
  <conditionalFormatting sqref="P8 P10 P12 P14 P16 P27 P29 P31 P33 P35 P37 P25 P39 P41">
    <cfRule type="expression" dxfId="10" priority="5">
      <formula>ISBLANK(P8)</formula>
    </cfRule>
  </conditionalFormatting>
  <conditionalFormatting sqref="P8 P10 P12 P14 P16 P31 P35 P37 P25 P39 P41">
    <cfRule type="cellIs" dxfId="0" priority="6" operator="notEqual">
      <formula>P7</formula>
    </cfRule>
  </conditionalFormatting>
  <conditionalFormatting sqref="P24:P41">
    <cfRule type="expression" dxfId="1" priority="4" stopIfTrue="1">
      <formula>OR(P$22="Free",P$22="Telenor",P$22="Mtel",P$22="Telenor&amp;Mtel")</formula>
    </cfRule>
  </conditionalFormatting>
  <conditionalFormatting sqref="P19">
    <cfRule type="cellIs" dxfId="1" priority="2" operator="equal">
      <formula>0</formula>
    </cfRule>
    <cfRule type="expression" dxfId="1" priority="3">
      <formula>ISERROR(P19)</formula>
    </cfRule>
  </conditionalFormatting>
  <conditionalFormatting sqref="C23:P23">
    <cfRule type="cellIs" dxfId="0" priority="1" operator="greaterThan">
      <formula>0</formula>
    </cfRule>
  </conditionalFormatting>
  <dataValidations count="165">
    <dataValidation type="list" xr:uid="{8D16FF8F-DB9D-40A2-8630-E894971FDD47}" sqref="C2" showErrorMessage="1" errorTitle="An invalid feedback was entered" error="Please choose feedback from drop down only.">
      <formula1>"1,2,3"</formula1>
    </dataValidation>
    <dataValidation type="list" xr:uid="{5AA334F9-F4AF-40DF-8B6B-4E8254BBA99B}" sqref="D2" showErrorMessage="1" errorTitle="An invalid feedback was entered" error="Please choose feedback from drop down only.">
      <formula1>"1,2,3"</formula1>
    </dataValidation>
    <dataValidation type="list" xr:uid="{AA5E3CD9-9124-490D-BBA7-5674E5D84664}" sqref="E2" showErrorMessage="1" errorTitle="An invalid feedback was entered" error="Please choose feedback from drop down only.">
      <formula1>"1,2,3"</formula1>
    </dataValidation>
    <dataValidation type="list" xr:uid="{9EDEAABF-E848-486E-AB0B-26ECB8B23690}" sqref="F2" showErrorMessage="1" errorTitle="An invalid feedback was entered" error="Please choose feedback from drop down only.">
      <formula1>"1,2,3"</formula1>
    </dataValidation>
    <dataValidation type="list" xr:uid="{1FD715BD-6C88-466B-8F3B-78CC11DAE868}" sqref="G2" showErrorMessage="1" errorTitle="An invalid feedback was entered" error="Please choose feedback from drop down only.">
      <formula1>"1,2,3"</formula1>
    </dataValidation>
    <dataValidation type="list" xr:uid="{2D9CD7D6-7F0F-4453-A2D2-AFBE27D7E84D}" sqref="H2" showErrorMessage="1" errorTitle="An invalid feedback was entered" error="Please choose feedback from drop down only.">
      <formula1>"1,2,3"</formula1>
    </dataValidation>
    <dataValidation type="list" xr:uid="{3A8776A2-2D1E-4167-BEA7-31A514D697B6}" sqref="I2" showErrorMessage="1" errorTitle="An invalid feedback was entered" error="Please choose feedback from drop down only.">
      <formula1>"1,2,3"</formula1>
    </dataValidation>
    <dataValidation type="list" xr:uid="{D706129F-DAA5-4F2A-85FA-C79959CA3726}" sqref="J2" showErrorMessage="1" errorTitle="An invalid feedback was entered" error="Please choose feedback from drop down only.">
      <formula1>"1,2,3"</formula1>
    </dataValidation>
    <dataValidation type="list" xr:uid="{3161E990-CBF7-46DB-93C5-8AA115853673}" sqref="K2" showErrorMessage="1" errorTitle="An invalid feedback was entered" error="Please choose feedback from drop down only.">
      <formula1>"1,2,3"</formula1>
    </dataValidation>
    <dataValidation type="list" xr:uid="{7BB5B3E2-D4D2-402D-BE34-E54CFD72C853}" sqref="L2" showErrorMessage="1" errorTitle="An invalid feedback was entered" error="Please choose feedback from drop down only.">
      <formula1>"1,2,3"</formula1>
    </dataValidation>
    <dataValidation type="list" xr:uid="{E32CD220-8C2D-4909-A841-EC4E07926C40}" sqref="M2" showErrorMessage="1" errorTitle="An invalid feedback was entered" error="Please choose feedback from drop down only.">
      <formula1>"1,2,3"</formula1>
    </dataValidation>
    <dataValidation type="list" xr:uid="{2FA62F75-FA7B-4132-81FE-A72F4F6105DD}" sqref="N2" showErrorMessage="1" errorTitle="An invalid feedback was entered" error="Please choose feedback from drop down only.">
      <formula1>"1,2,3"</formula1>
    </dataValidation>
    <dataValidation type="list" xr:uid="{382712DE-357C-47EA-98B0-67CF18E15BE5}" sqref="O2" showErrorMessage="1" errorTitle="An invalid feedback was entered" error="Please choose feedback from drop down only.">
      <formula1>"1,2,3"</formula1>
    </dataValidation>
    <dataValidation type="list" xr:uid="{F4112322-045E-4346-BD8B-9DB12C828454}" sqref="P2" showErrorMessage="1" errorTitle="An invalid feedback was entered" error="Please choose feedback from drop down only.">
      <formula1>"1,2,3"</formula1>
    </dataValidation>
    <dataValidation type="list" xr:uid="{1F655FC0-4ACF-4989-BC17-C4367995F6FA}" sqref="Q2" showErrorMessage="1" errorTitle="An invalid feedback was entered" error="Please choose feedback from drop down only.">
      <formula1>"1,2,3"</formula1>
    </dataValidation>
    <dataValidation type="list" xr:uid="{1B601836-D597-4F49-AA40-430A34160F2E}" sqref="C17" showErrorMessage="1" errorTitle="An invalid feedback was entered" error="Please choose feedback from drop down only.">
      <formula1>"1-2,3-4,5-6,7-8,9-10,N/A"</formula1>
    </dataValidation>
    <dataValidation type="list" xr:uid="{4120A831-BC01-4ED9-B221-D03E76257949}" sqref="D17" showErrorMessage="1" errorTitle="An invalid feedback was entered" error="Please choose feedback from drop down only.">
      <formula1>"1-2,3-4,5-6,7-8,9-10,N/A"</formula1>
    </dataValidation>
    <dataValidation type="list" xr:uid="{927C8DA3-F8BC-4270-A0FC-4A0E5F7253DF}" sqref="E17" showErrorMessage="1" errorTitle="An invalid feedback was entered" error="Please choose feedback from drop down only.">
      <formula1>"1-2,3-4,5-6,7-8,9-10,N/A"</formula1>
    </dataValidation>
    <dataValidation type="list" xr:uid="{D09C1E48-9191-4C77-B08D-74BC8958087D}" sqref="F17" showErrorMessage="1" errorTitle="An invalid feedback was entered" error="Please choose feedback from drop down only.">
      <formula1>"1-2,3-4,5-6,7-8,9-10,N/A"</formula1>
    </dataValidation>
    <dataValidation type="list" xr:uid="{28208FDF-A534-4C41-96AC-4F08F06E7627}" sqref="G17" showErrorMessage="1" errorTitle="An invalid feedback was entered" error="Please choose feedback from drop down only.">
      <formula1>"1-2,3-4,5-6,7-8,9-10,N/A"</formula1>
    </dataValidation>
    <dataValidation type="list" xr:uid="{9D67B0D9-7247-4063-9137-B1C4743ECFDA}" sqref="H17" showErrorMessage="1" errorTitle="An invalid feedback was entered" error="Please choose feedback from drop down only.">
      <formula1>"1-2,3-4,5-6,7-8,9-10,N/A"</formula1>
    </dataValidation>
    <dataValidation type="list" xr:uid="{0D47F30B-E689-4546-91A6-341BFE2B9871}" sqref="I17" showErrorMessage="1" errorTitle="An invalid feedback was entered" error="Please choose feedback from drop down only.">
      <formula1>"1-2,3-4,5-6,7-8,9-10,N/A"</formula1>
    </dataValidation>
    <dataValidation type="list" xr:uid="{FA845CD9-0643-4622-A534-7AF7C6C272AA}" sqref="J17" showErrorMessage="1" errorTitle="An invalid feedback was entered" error="Please choose feedback from drop down only.">
      <formula1>"1-2,3-4,5-6,7-8,9-10,N/A"</formula1>
    </dataValidation>
    <dataValidation type="list" xr:uid="{FB0271CB-1AF1-4DD3-AB2D-0118A7FA2371}" sqref="K17" showErrorMessage="1" errorTitle="An invalid feedback was entered" error="Please choose feedback from drop down only.">
      <formula1>"1-2,3-4,5-6,7-8,9-10,N/A"</formula1>
    </dataValidation>
    <dataValidation type="list" xr:uid="{729E5879-A3F7-4EC1-88A1-C869A75EA292}" sqref="L17" showErrorMessage="1" errorTitle="An invalid feedback was entered" error="Please choose feedback from drop down only.">
      <formula1>"1-2,3-4,5-6,7-8,9-10,N/A"</formula1>
    </dataValidation>
    <dataValidation type="list" xr:uid="{6F6DFF31-FD00-4912-A22F-89766B027045}" sqref="M17" showErrorMessage="1" errorTitle="An invalid feedback was entered" error="Please choose feedback from drop down only.">
      <formula1>"1-2,3-4,5-6,7-8,9-10,N/A"</formula1>
    </dataValidation>
    <dataValidation type="list" xr:uid="{B262CD49-C9E7-40AC-8F02-A7FAE5D17EA7}" sqref="N17" showErrorMessage="1" errorTitle="An invalid feedback was entered" error="Please choose feedback from drop down only.">
      <formula1>"1-2,3-4,5-6,7-8,9-10,N/A"</formula1>
    </dataValidation>
    <dataValidation type="list" xr:uid="{6590F816-D882-45A3-9409-4D5B200EB5F4}" sqref="O17" showErrorMessage="1" errorTitle="An invalid feedback was entered" error="Please choose feedback from drop down only.">
      <formula1>"1-2,3-4,5-6,7-8,9-10,N/A"</formula1>
    </dataValidation>
    <dataValidation type="list" xr:uid="{0471582E-6E66-4DBD-A01F-CE7C1FADF3C6}" sqref="P17" showErrorMessage="1" errorTitle="An invalid feedback was entered" error="Please choose feedback from drop down only.">
      <formula1>"1-2,3-4,5-6,7-8,9-10,N/A"</formula1>
    </dataValidation>
    <dataValidation type="list" xr:uid="{049BAED4-88AC-41FC-9227-25E3D3B7DA9B}" sqref="Q17" showErrorMessage="1" errorTitle="An invalid feedback was entered" error="Please choose feedback from drop down only.">
      <formula1>"1-2,3-4,5-6,7-8,9-10,N/A"</formula1>
    </dataValidation>
    <dataValidation type="list" xr:uid="{722DF441-4015-43D0-81E9-3FF9BBFEA426}" sqref="C10" showErrorMessage="1" errorTitle="An invalid feedback was entered" error="Please choose feedback from drop down only.">
      <formula1>"STK Top,STK Bottom,STKx2,DTK Top,DTK Bottom,DTKx2,None"</formula1>
    </dataValidation>
    <dataValidation type="list" xr:uid="{E1C41743-7861-4349-835E-3F0E5AE1634E}" sqref="D10" showErrorMessage="1" errorTitle="An invalid feedback was entered" error="Please choose feedback from drop down only.">
      <formula1>"STK Top,STK Bottom,STKx2,DTK Top,DTK Bottom,DTKx2,None"</formula1>
    </dataValidation>
    <dataValidation type="list" xr:uid="{8675E4A4-9E49-4BEC-9764-42A2DAD454CC}" sqref="E10" showErrorMessage="1" errorTitle="An invalid feedback was entered" error="Please choose feedback from drop down only.">
      <formula1>"STK Top,STK Bottom,STKx2,DTK Top,DTK Bottom,DTKx2,None"</formula1>
    </dataValidation>
    <dataValidation type="list" xr:uid="{8F359ADA-1123-4248-8BB8-C5F819A71D94}" sqref="F10" showErrorMessage="1" errorTitle="An invalid feedback was entered" error="Please choose feedback from drop down only.">
      <formula1>"STK Top,STK Bottom,STKx2,DTK Top,DTK Bottom,DTKx2,None"</formula1>
    </dataValidation>
    <dataValidation type="list" xr:uid="{FC41BE95-4741-490D-ABD5-00E6C6732896}" sqref="G10" showErrorMessage="1" errorTitle="An invalid feedback was entered" error="Please choose feedback from drop down only.">
      <formula1>"STK Top,STK Bottom,STKx2,DTK Top,DTK Bottom,DTKx2,None"</formula1>
    </dataValidation>
    <dataValidation type="list" xr:uid="{E02996BF-D92F-421D-A9C0-CFF8FCC18461}" sqref="H10" showErrorMessage="1" errorTitle="An invalid feedback was entered" error="Please choose feedback from drop down only.">
      <formula1>"STK Top,STK Bottom,STKx2,DTK Top,DTK Bottom,DTKx2,None"</formula1>
    </dataValidation>
    <dataValidation type="list" xr:uid="{509E55A1-8977-4E78-9989-8A0494D3BAF2}" sqref="I10" showErrorMessage="1" errorTitle="An invalid feedback was entered" error="Please choose feedback from drop down only.">
      <formula1>"STK Top,STK Bottom,STKx2,DTK Top,DTK Bottom,DTKx2,None"</formula1>
    </dataValidation>
    <dataValidation type="list" xr:uid="{22C1252F-F7CD-4E7C-AF5C-81F355137C6C}" sqref="J10" showErrorMessage="1" errorTitle="An invalid feedback was entered" error="Please choose feedback from drop down only.">
      <formula1>"STK Top,STK Bottom,STKx2,DTK Top,DTK Bottom,DTKx2,None"</formula1>
    </dataValidation>
    <dataValidation type="list" xr:uid="{5D53A8F2-1531-4DAF-A8E5-DE5854AAC78D}" sqref="K10" showErrorMessage="1" errorTitle="An invalid feedback was entered" error="Please choose feedback from drop down only.">
      <formula1>"STK Top,STK Bottom,STKx2,DTK Top,DTK Bottom,DTKx2,None"</formula1>
    </dataValidation>
    <dataValidation type="list" xr:uid="{CC18E0FA-68D7-4212-AB9F-E5C10BCC0EF8}" sqref="L10" showErrorMessage="1" errorTitle="An invalid feedback was entered" error="Please choose feedback from drop down only.">
      <formula1>"STK Top,STK Bottom,STKx2,DTK Top,DTK Bottom,DTKx2,None"</formula1>
    </dataValidation>
    <dataValidation type="list" xr:uid="{AB6A09C7-B82F-48FA-B91A-A0DF2B4508F7}" sqref="M10" showErrorMessage="1" errorTitle="An invalid feedback was entered" error="Please choose feedback from drop down only.">
      <formula1>"STK Top,STK Bottom,STKx2,DTK Top,DTK Bottom,DTKx2,None"</formula1>
    </dataValidation>
    <dataValidation type="list" xr:uid="{3776D71F-6785-453C-83B0-F4F97581DF62}" sqref="N10" showErrorMessage="1" errorTitle="An invalid feedback was entered" error="Please choose feedback from drop down only.">
      <formula1>"STK Top,STK Bottom,STKx2,DTK Top,DTK Bottom,DTKx2,None"</formula1>
    </dataValidation>
    <dataValidation type="list" xr:uid="{9C18E5C3-2649-4AAB-AC33-63DD70371599}" sqref="O10" showErrorMessage="1" errorTitle="An invalid feedback was entered" error="Please choose feedback from drop down only.">
      <formula1>"STK Top,STK Bottom,STKx2,DTK Top,DTK Bottom,DTKx2,None"</formula1>
    </dataValidation>
    <dataValidation type="list" xr:uid="{6AFEA2BA-6E1C-41DF-AF96-26CBB2BB5333}" sqref="P10" showErrorMessage="1" errorTitle="An invalid feedback was entered" error="Please choose feedback from drop down only.">
      <formula1>"STK Top,STK Bottom,STKx2,DTK Top,DTK Bottom,DTKx2,None"</formula1>
    </dataValidation>
    <dataValidation type="list" xr:uid="{38AD9E36-DBCD-4599-AF1D-92C1BD66CAB0}" sqref="Q10" showErrorMessage="1" errorTitle="An invalid feedback was entered" error="Please choose feedback from drop down only.">
      <formula1>"STK Top,STK Bottom,STKx2,DTK Top,DTK Bottom,DTKx2,None"</formula1>
    </dataValidation>
    <dataValidation type="list" xr:uid="{7339BED8-6FF8-43BE-8248-4B5C050FE137}" sqref="C23" showErrorMessage="1" errorTitle="An invalid feedback was entered" error="Please choose feedback from drop down only.">
      <formula1>"Yetel,Bulsatcom,A1,Yetel&amp;A1,N/A"</formula1>
    </dataValidation>
    <dataValidation type="list" xr:uid="{A4761BF5-BB45-434D-A249-DE7A6B6308E2}" sqref="D23" showErrorMessage="1" errorTitle="An invalid feedback was entered" error="Please choose feedback from drop down only.">
      <formula1>"Yetel,Bulsatcom,A1,Yetel&amp;A1,N/A"</formula1>
    </dataValidation>
    <dataValidation type="list" xr:uid="{9739F1D9-0391-47B3-9B7E-4733D3974ACF}" sqref="E23" showErrorMessage="1" errorTitle="An invalid feedback was entered" error="Please choose feedback from drop down only.">
      <formula1>"Yetel,Bulsatcom,A1,Yetel&amp;A1,N/A"</formula1>
    </dataValidation>
    <dataValidation type="list" xr:uid="{8F090FCA-45D4-4484-A2E4-EE580E191D18}" sqref="F23" showErrorMessage="1" errorTitle="An invalid feedback was entered" error="Please choose feedback from drop down only.">
      <formula1>"Yetel,Bulsatcom,A1,Yetel&amp;A1,N/A"</formula1>
    </dataValidation>
    <dataValidation type="list" xr:uid="{3D565A16-DDFC-4388-9262-4A0C2875B7AF}" sqref="G23" showErrorMessage="1" errorTitle="An invalid feedback was entered" error="Please choose feedback from drop down only.">
      <formula1>"Yetel,Bulsatcom,A1,Yetel&amp;A1,N/A"</formula1>
    </dataValidation>
    <dataValidation type="list" xr:uid="{AC59B609-0440-447F-BEA7-6827F21BEAEC}" sqref="H23" showErrorMessage="1" errorTitle="An invalid feedback was entered" error="Please choose feedback from drop down only.">
      <formula1>"Yetel,Bulsatcom,A1,Yetel&amp;A1,N/A"</formula1>
    </dataValidation>
    <dataValidation type="list" xr:uid="{C98F8383-7B74-4561-85CE-1F06285F34DE}" sqref="I23" showErrorMessage="1" errorTitle="An invalid feedback was entered" error="Please choose feedback from drop down only.">
      <formula1>"Yetel,Bulsatcom,A1,Yetel&amp;A1,N/A"</formula1>
    </dataValidation>
    <dataValidation type="list" xr:uid="{2CB6BB62-20F4-441D-B657-93CED21DEB1B}" sqref="J23" showErrorMessage="1" errorTitle="An invalid feedback was entered" error="Please choose feedback from drop down only.">
      <formula1>"Yetel,Bulsatcom,A1,Yetel&amp;A1,N/A"</formula1>
    </dataValidation>
    <dataValidation type="list" xr:uid="{8519C2E7-6DD6-4D8B-B2A4-D875EA65B6D0}" sqref="K23" showErrorMessage="1" errorTitle="An invalid feedback was entered" error="Please choose feedback from drop down only.">
      <formula1>"Yetel,Bulsatcom,A1,Yetel&amp;A1,N/A"</formula1>
    </dataValidation>
    <dataValidation type="list" xr:uid="{11D97899-6738-464B-91F7-62AB2CED6544}" sqref="L23" showErrorMessage="1" errorTitle="An invalid feedback was entered" error="Please choose feedback from drop down only.">
      <formula1>"Yetel,Bulsatcom,A1,Yetel&amp;A1,N/A"</formula1>
    </dataValidation>
    <dataValidation type="list" xr:uid="{57621991-A50A-4F38-8BA8-27A2E3E88CDA}" sqref="M23" showErrorMessage="1" errorTitle="An invalid feedback was entered" error="Please choose feedback from drop down only.">
      <formula1>"Yetel,Bulsatcom,A1,Yetel&amp;A1,N/A"</formula1>
    </dataValidation>
    <dataValidation type="list" xr:uid="{2BA45F37-EC37-4657-B8D6-7C825681274C}" sqref="N23" showErrorMessage="1" errorTitle="An invalid feedback was entered" error="Please choose feedback from drop down only.">
      <formula1>"Yetel,Bulsatcom,A1,Yetel&amp;A1,N/A"</formula1>
    </dataValidation>
    <dataValidation type="list" xr:uid="{7E49177B-4194-491A-829F-2708A1F027BB}" sqref="O23" showErrorMessage="1" errorTitle="An invalid feedback was entered" error="Please choose feedback from drop down only.">
      <formula1>"Yetel,Bulsatcom,A1,Yetel&amp;A1,N/A"</formula1>
    </dataValidation>
    <dataValidation type="list" xr:uid="{BBE461B6-5F3A-43F9-9724-7EBC018AD8B3}" sqref="P23" showErrorMessage="1" errorTitle="An invalid feedback was entered" error="Please choose feedback from drop down only.">
      <formula1>"Yetel,Bulsatcom,A1,Yetel&amp;A1,N/A"</formula1>
    </dataValidation>
    <dataValidation type="list" xr:uid="{1FC6BE94-CC9A-4C88-829E-A8A0E60AEC07}" sqref="Q23" showErrorMessage="1" errorTitle="An invalid feedback was entered" error="Please choose feedback from drop down only.">
      <formula1>"Yetel,Bulsatcom,A1,Yetel&amp;A1,N/A"</formula1>
    </dataValidation>
    <dataValidation type="list" xr:uid="{9F6E949D-3835-4BC8-869A-D0A75D9A4163}" sqref="C31" showErrorMessage="1" errorTitle="An invalid feedback was entered" error="Please choose feedback from drop down only.">
      <formula1>"1/2,5/4,7/8,RRU TOP JUMPER,N/A"</formula1>
    </dataValidation>
    <dataValidation type="list" xr:uid="{971B9D39-A513-417A-A246-C73424279C68}" sqref="D31" showErrorMessage="1" errorTitle="An invalid feedback was entered" error="Please choose feedback from drop down only.">
      <formula1>"1/2,5/4,7/8,RRU TOP JUMPER,N/A"</formula1>
    </dataValidation>
    <dataValidation type="list" xr:uid="{C33C8F14-8A01-46AA-A447-951A40A61983}" sqref="E31" showErrorMessage="1" errorTitle="An invalid feedback was entered" error="Please choose feedback from drop down only.">
      <formula1>"1/2,5/4,7/8,RRU TOP JUMPER,N/A"</formula1>
    </dataValidation>
    <dataValidation type="list" xr:uid="{21744B01-36DD-4443-88D1-CD480DA4B33D}" sqref="F31" showErrorMessage="1" errorTitle="An invalid feedback was entered" error="Please choose feedback from drop down only.">
      <formula1>"1/2,5/4,7/8,RRU TOP JUMPER,N/A"</formula1>
    </dataValidation>
    <dataValidation type="list" xr:uid="{9698AAB0-88B5-4CFE-8AB7-B4975ADCC554}" sqref="G31" showErrorMessage="1" errorTitle="An invalid feedback was entered" error="Please choose feedback from drop down only.">
      <formula1>"1/2,5/4,7/8,RRU TOP JUMPER,N/A"</formula1>
    </dataValidation>
    <dataValidation type="list" xr:uid="{79615E50-9095-4471-A4FC-AC4B6576B64D}" sqref="H31" showErrorMessage="1" errorTitle="An invalid feedback was entered" error="Please choose feedback from drop down only.">
      <formula1>"1/2,5/4,7/8,RRU TOP JUMPER,N/A"</formula1>
    </dataValidation>
    <dataValidation type="list" xr:uid="{65390B32-8888-44B7-A3CF-9ECF025DC38E}" sqref="I31" showErrorMessage="1" errorTitle="An invalid feedback was entered" error="Please choose feedback from drop down only.">
      <formula1>"1/2,5/4,7/8,RRU TOP JUMPER,N/A"</formula1>
    </dataValidation>
    <dataValidation type="list" xr:uid="{8EDC16D4-E41F-43F3-86F0-BF8B4250EC35}" sqref="J31" showErrorMessage="1" errorTitle="An invalid feedback was entered" error="Please choose feedback from drop down only.">
      <formula1>"1/2,5/4,7/8,RRU TOP JUMPER,N/A"</formula1>
    </dataValidation>
    <dataValidation type="list" xr:uid="{27F1138D-695A-4347-A7E7-01B70704CAF7}" sqref="K31" showErrorMessage="1" errorTitle="An invalid feedback was entered" error="Please choose feedback from drop down only.">
      <formula1>"1/2,5/4,7/8,RRU TOP JUMPER,N/A"</formula1>
    </dataValidation>
    <dataValidation type="list" xr:uid="{4749D203-D730-4CEB-8BE4-ABB7750B8A3C}" sqref="L31" showErrorMessage="1" errorTitle="An invalid feedback was entered" error="Please choose feedback from drop down only.">
      <formula1>"1/2,5/4,7/8,RRU TOP JUMPER,N/A"</formula1>
    </dataValidation>
    <dataValidation type="list" xr:uid="{8AE14C38-3538-4E48-904D-637A2D224991}" sqref="M31" showErrorMessage="1" errorTitle="An invalid feedback was entered" error="Please choose feedback from drop down only.">
      <formula1>"1/2,5/4,7/8,RRU TOP JUMPER,N/A"</formula1>
    </dataValidation>
    <dataValidation type="list" xr:uid="{F1FB2C91-8607-4289-B8A1-947611C59C9C}" sqref="N31" showErrorMessage="1" errorTitle="An invalid feedback was entered" error="Please choose feedback from drop down only.">
      <formula1>"1/2,5/4,7/8,RRU TOP JUMPER,N/A"</formula1>
    </dataValidation>
    <dataValidation type="list" xr:uid="{42B9A7C0-6651-406B-A87A-10C791B55309}" sqref="O31" showErrorMessage="1" errorTitle="An invalid feedback was entered" error="Please choose feedback from drop down only.">
      <formula1>"1/2,5/4,7/8,RRU TOP JUMPER,N/A"</formula1>
    </dataValidation>
    <dataValidation type="list" xr:uid="{A61933A4-D04F-4288-A8A0-0E9B56C11250}" sqref="P31" showErrorMessage="1" errorTitle="An invalid feedback was entered" error="Please choose feedback from drop down only.">
      <formula1>"1/2,5/4,7/8,RRU TOP JUMPER,N/A"</formula1>
    </dataValidation>
    <dataValidation type="list" xr:uid="{116EFC38-A916-4C07-8C53-10D8532CE40B}" sqref="Q31" showErrorMessage="1" errorTitle="An invalid feedback was entered" error="Please choose feedback from drop down only.">
      <formula1>"1/2,5/4,7/8,RRU TOP JUMPER,N/A"</formula1>
    </dataValidation>
    <dataValidation type="list" xr:uid="{4614EFE2-19C4-416B-95A8-D8ED268C6973}" sqref="C4" showErrorMessage="1" errorTitle="An invalid feedback was entered" error="Please choose feedback from drop down only.">
      <formula1>"1,2,3,4,5,6,N/A"</formula1>
    </dataValidation>
    <dataValidation type="list" xr:uid="{03E39B0C-3428-40AE-8337-FAEF033F112B}" sqref="D4" showErrorMessage="1" errorTitle="An invalid feedback was entered" error="Please choose feedback from drop down only.">
      <formula1>"1,2,3,4,5,6,N/A"</formula1>
    </dataValidation>
    <dataValidation type="list" xr:uid="{8158DDC2-B30C-44D0-8BC8-36D2DC3EEADC}" sqref="E4" showErrorMessage="1" errorTitle="An invalid feedback was entered" error="Please choose feedback from drop down only.">
      <formula1>"1,2,3,4,5,6,N/A"</formula1>
    </dataValidation>
    <dataValidation type="list" xr:uid="{92135E8E-A438-486D-A024-1EF8B08AE26C}" sqref="F4" showErrorMessage="1" errorTitle="An invalid feedback was entered" error="Please choose feedback from drop down only.">
      <formula1>"1,2,3,4,5,6,N/A"</formula1>
    </dataValidation>
    <dataValidation type="list" xr:uid="{AFF2147E-1136-412F-9E14-D5888F937685}" sqref="G4" showErrorMessage="1" errorTitle="An invalid feedback was entered" error="Please choose feedback from drop down only.">
      <formula1>"1,2,3,4,5,6,N/A"</formula1>
    </dataValidation>
    <dataValidation type="list" xr:uid="{FF0ABE0E-9359-4169-BCDA-613B070AD554}" sqref="H4" showErrorMessage="1" errorTitle="An invalid feedback was entered" error="Please choose feedback from drop down only.">
      <formula1>"1,2,3,4,5,6,N/A"</formula1>
    </dataValidation>
    <dataValidation type="list" xr:uid="{776ABA54-B970-404D-B1CF-74B22DFEBF76}" sqref="I4" showErrorMessage="1" errorTitle="An invalid feedback was entered" error="Please choose feedback from drop down only.">
      <formula1>"1,2,3,4,5,6,N/A"</formula1>
    </dataValidation>
    <dataValidation type="list" xr:uid="{7B9151AA-0430-4444-8BC3-3752B2961B45}" sqref="J4" showErrorMessage="1" errorTitle="An invalid feedback was entered" error="Please choose feedback from drop down only.">
      <formula1>"1,2,3,4,5,6,N/A"</formula1>
    </dataValidation>
    <dataValidation type="list" xr:uid="{995A3F84-4D51-4638-AC55-BC0EA0C2DAD7}" sqref="K4" showErrorMessage="1" errorTitle="An invalid feedback was entered" error="Please choose feedback from drop down only.">
      <formula1>"1,2,3,4,5,6,N/A"</formula1>
    </dataValidation>
    <dataValidation type="list" xr:uid="{443FC8F1-B215-4BEC-85AC-324C2DEF2597}" sqref="L4" showErrorMessage="1" errorTitle="An invalid feedback was entered" error="Please choose feedback from drop down only.">
      <formula1>"1,2,3,4,5,6,N/A"</formula1>
    </dataValidation>
    <dataValidation type="list" xr:uid="{00A61539-F63E-4243-8AFF-E769291EE5CE}" sqref="M4" showErrorMessage="1" errorTitle="An invalid feedback was entered" error="Please choose feedback from drop down only.">
      <formula1>"1,2,3,4,5,6,N/A"</formula1>
    </dataValidation>
    <dataValidation type="list" xr:uid="{FB1B1FB6-BF08-41B9-B985-BD9D5D729063}" sqref="N4" showErrorMessage="1" errorTitle="An invalid feedback was entered" error="Please choose feedback from drop down only.">
      <formula1>"1,2,3,4,5,6,N/A"</formula1>
    </dataValidation>
    <dataValidation type="list" xr:uid="{1FAFA5B0-0CFD-4C66-ADF2-3BE6404E605B}" sqref="O4" showErrorMessage="1" errorTitle="An invalid feedback was entered" error="Please choose feedback from drop down only.">
      <formula1>"1,2,3,4,5,6,N/A"</formula1>
    </dataValidation>
    <dataValidation type="list" xr:uid="{FD000B86-4844-4424-BD05-EAE84EB9C4EB}" sqref="P4" showErrorMessage="1" errorTitle="An invalid feedback was entered" error="Please choose feedback from drop down only.">
      <formula1>"1,2,3,4,5,6,N/A"</formula1>
    </dataValidation>
    <dataValidation type="list" xr:uid="{62320974-13B0-4686-BEA4-A09D95E15D8C}" sqref="Q4" showErrorMessage="1" errorTitle="An invalid feedback was entered" error="Please choose feedback from drop down only.">
      <formula1>"1,2,3,4,5,6,N/A"</formula1>
    </dataValidation>
    <dataValidation type="list" xr:uid="{70D02DE7-E862-4381-A42C-228F6D5779D1}" sqref="C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415D1FD1-85F0-4AAD-B83C-F6405530422B}" sqref="D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5DB19DAA-AC99-40DA-81DC-F586A7EF64E5}" sqref="E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EC6E2251-DEED-4FF8-853A-26624A50F08F}" sqref="F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088859D1-9E1E-4FF5-8DE6-A54655F888AA}" sqref="G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94B22A27-A548-490B-993F-101ACFD820C6}" sqref="H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34D0F08C-3014-4CA9-B389-D650349ADF20}" sqref="I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07DDA2DA-733E-4142-984F-C8BF451E82BD}" sqref="J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929903E0-149D-41A2-A48F-F87A40DAFBCD}" sqref="K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5DB3078A-BE5A-49E9-A2DD-B88E9AC1045D}" sqref="L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0F9169A7-29A5-426A-8E33-A1399A188BDE}" sqref="M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09663365-FE22-483B-92EE-735A28740610}" sqref="N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0E62C987-ACB8-47A9-8227-7519E00B5E8C}" sqref="O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CA2D7CEE-2582-41AA-ABD9-9F1F47E46D3F}" sqref="P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6C31F6E6-EAA7-4E63-BFD3-80366DD79106}" sqref="Q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540448E5-9D4F-461B-83FE-D362883D58B9}" sqref="C28" showErrorMessage="1" errorTitle="An invalid feedback was entered" error="Please choose feedback from drop down only.">
      <formula1>"Yes,No,FlexRET"</formula1>
    </dataValidation>
    <dataValidation type="list" xr:uid="{618F4720-870C-4FD9-AE7D-F1F23DAA0BE5}" sqref="D28" showErrorMessage="1" errorTitle="An invalid feedback was entered" error="Please choose feedback from drop down only.">
      <formula1>"Yes,No,FlexRET"</formula1>
    </dataValidation>
    <dataValidation type="list" xr:uid="{01E9F66E-00E1-4FE6-9ED4-1D8EEDF8C472}" sqref="E28" showErrorMessage="1" errorTitle="An invalid feedback was entered" error="Please choose feedback from drop down only.">
      <formula1>"Yes,No,FlexRET"</formula1>
    </dataValidation>
    <dataValidation type="list" xr:uid="{3B7FB4DD-B458-4122-A846-EB8CB4E80D5A}" sqref="F28" showErrorMessage="1" errorTitle="An invalid feedback was entered" error="Please choose feedback from drop down only.">
      <formula1>"Yes,No,FlexRET"</formula1>
    </dataValidation>
    <dataValidation type="list" xr:uid="{1FF7BB1F-ACC2-465E-8D34-AA30FF829193}" sqref="G28" showErrorMessage="1" errorTitle="An invalid feedback was entered" error="Please choose feedback from drop down only.">
      <formula1>"Yes,No,FlexRET"</formula1>
    </dataValidation>
    <dataValidation type="list" xr:uid="{D8121652-245B-4AC8-ADBB-12D03FB5A662}" sqref="H28" showErrorMessage="1" errorTitle="An invalid feedback was entered" error="Please choose feedback from drop down only.">
      <formula1>"Yes,No,FlexRET"</formula1>
    </dataValidation>
    <dataValidation type="list" xr:uid="{CC4B8A60-B889-4916-B7E7-3E93D682104E}" sqref="I28" showErrorMessage="1" errorTitle="An invalid feedback was entered" error="Please choose feedback from drop down only.">
      <formula1>"Yes,No,FlexRET"</formula1>
    </dataValidation>
    <dataValidation type="list" xr:uid="{0B80D658-4006-4FA7-869D-4CFCF29D9CFC}" sqref="J28" showErrorMessage="1" errorTitle="An invalid feedback was entered" error="Please choose feedback from drop down only.">
      <formula1>"Yes,No,FlexRET"</formula1>
    </dataValidation>
    <dataValidation type="list" xr:uid="{A236E992-4F0B-4A83-86B9-CAB325841822}" sqref="K28" showErrorMessage="1" errorTitle="An invalid feedback was entered" error="Please choose feedback from drop down only.">
      <formula1>"Yes,No,FlexRET"</formula1>
    </dataValidation>
    <dataValidation type="list" xr:uid="{CE6BEF37-8343-4CEE-8BDC-70763831FF60}" sqref="L28" showErrorMessage="1" errorTitle="An invalid feedback was entered" error="Please choose feedback from drop down only.">
      <formula1>"Yes,No,FlexRET"</formula1>
    </dataValidation>
    <dataValidation type="list" xr:uid="{1F7858E2-EC32-4FEE-B179-A310985983CB}" sqref="M28" showErrorMessage="1" errorTitle="An invalid feedback was entered" error="Please choose feedback from drop down only.">
      <formula1>"Yes,No,FlexRET"</formula1>
    </dataValidation>
    <dataValidation type="list" xr:uid="{58554EEB-E034-468D-9EC8-A04AD48BBDA0}" sqref="N28" showErrorMessage="1" errorTitle="An invalid feedback was entered" error="Please choose feedback from drop down only.">
      <formula1>"Yes,No,FlexRET"</formula1>
    </dataValidation>
    <dataValidation type="list" xr:uid="{47F60866-4FA4-48B0-836E-D4402EF0AD11}" sqref="O28" showErrorMessage="1" errorTitle="An invalid feedback was entered" error="Please choose feedback from drop down only.">
      <formula1>"Yes,No,FlexRET"</formula1>
    </dataValidation>
    <dataValidation type="list" xr:uid="{9DE525D9-19D4-4EBA-B102-09D4AF4ED2B9}" sqref="P28" showErrorMessage="1" errorTitle="An invalid feedback was entered" error="Please choose feedback from drop down only.">
      <formula1>"Yes,No,FlexRET"</formula1>
    </dataValidation>
    <dataValidation type="list" xr:uid="{1EC1990D-490F-45EA-BBD8-4F0FF17DDBC5}" sqref="Q28" showErrorMessage="1" errorTitle="An invalid feedback was entered" error="Please choose feedback from drop down only.">
      <formula1>"Yes,No,FlexRET"</formula1>
    </dataValidation>
    <dataValidation type="list" xr:uid="{9F0C0F6A-9967-4567-A48A-D03A746131E7}" sqref="C29" showErrorMessage="1" errorTitle="An invalid feedback was entered" error="Please choose feedback from drop down only.">
      <formula1>"Yes,No,FlexRET"</formula1>
    </dataValidation>
    <dataValidation type="list" xr:uid="{F25E4055-65D4-4BF7-8F3C-C8A23717A17B}" sqref="D29" showErrorMessage="1" errorTitle="An invalid feedback was entered" error="Please choose feedback from drop down only.">
      <formula1>"Yes,No,FlexRET"</formula1>
    </dataValidation>
    <dataValidation type="list" xr:uid="{8EC56A8D-A55B-4C09-B789-D9CDC3ADFCC3}" sqref="E29" showErrorMessage="1" errorTitle="An invalid feedback was entered" error="Please choose feedback from drop down only.">
      <formula1>"Yes,No,FlexRET"</formula1>
    </dataValidation>
    <dataValidation type="list" xr:uid="{80E2323E-CBD4-41BC-9274-AD03BF653EAE}" sqref="F29" showErrorMessage="1" errorTitle="An invalid feedback was entered" error="Please choose feedback from drop down only.">
      <formula1>"Yes,No,FlexRET"</formula1>
    </dataValidation>
    <dataValidation type="list" xr:uid="{0C252704-4DA1-4145-AD44-3F51C124180D}" sqref="G29" showErrorMessage="1" errorTitle="An invalid feedback was entered" error="Please choose feedback from drop down only.">
      <formula1>"Yes,No,FlexRET"</formula1>
    </dataValidation>
    <dataValidation type="list" xr:uid="{273CE17D-9333-4C3C-BB5A-3D2766A9E221}" sqref="H29" showErrorMessage="1" errorTitle="An invalid feedback was entered" error="Please choose feedback from drop down only.">
      <formula1>"Yes,No,FlexRET"</formula1>
    </dataValidation>
    <dataValidation type="list" xr:uid="{1FDEC692-516E-4628-89B6-3208A03D74C7}" sqref="I29" showErrorMessage="1" errorTitle="An invalid feedback was entered" error="Please choose feedback from drop down only.">
      <formula1>"Yes,No,FlexRET"</formula1>
    </dataValidation>
    <dataValidation type="list" xr:uid="{BEA4123E-F432-4119-BEAC-768A74E738C9}" sqref="J29" showErrorMessage="1" errorTitle="An invalid feedback was entered" error="Please choose feedback from drop down only.">
      <formula1>"Yes,No,FlexRET"</formula1>
    </dataValidation>
    <dataValidation type="list" xr:uid="{2F41E9DA-7F1D-4DC6-9702-46F6B36DE2B7}" sqref="K29" showErrorMessage="1" errorTitle="An invalid feedback was entered" error="Please choose feedback from drop down only.">
      <formula1>"Yes,No,FlexRET"</formula1>
    </dataValidation>
    <dataValidation type="list" xr:uid="{071061F4-C22A-473A-BCC9-AA5572E6078C}" sqref="L29" showErrorMessage="1" errorTitle="An invalid feedback was entered" error="Please choose feedback from drop down only.">
      <formula1>"Yes,No,FlexRET"</formula1>
    </dataValidation>
    <dataValidation type="list" xr:uid="{968F71E9-05D1-4E2A-B7BD-1D1699B0356C}" sqref="M29" showErrorMessage="1" errorTitle="An invalid feedback was entered" error="Please choose feedback from drop down only.">
      <formula1>"Yes,No,FlexRET"</formula1>
    </dataValidation>
    <dataValidation type="list" xr:uid="{0C603104-38F0-4E52-82CF-F4A3A507C9C6}" sqref="N29" showErrorMessage="1" errorTitle="An invalid feedback was entered" error="Please choose feedback from drop down only.">
      <formula1>"Yes,No,FlexRET"</formula1>
    </dataValidation>
    <dataValidation type="list" xr:uid="{554079ED-E52B-4025-B1BD-2C93AAB1A1F4}" sqref="O29" showErrorMessage="1" errorTitle="An invalid feedback was entered" error="Please choose feedback from drop down only.">
      <formula1>"Yes,No,FlexRET"</formula1>
    </dataValidation>
    <dataValidation type="list" xr:uid="{680489AC-1CB9-4E3C-AA3C-E14760921333}" sqref="P29" showErrorMessage="1" errorTitle="An invalid feedback was entered" error="Please choose feedback from drop down only.">
      <formula1>"Yes,No,FlexRET"</formula1>
    </dataValidation>
    <dataValidation type="list" xr:uid="{184431CA-F805-44EA-8984-9E444F247270}" sqref="Q29" showErrorMessage="1" errorTitle="An invalid feedback was entered" error="Please choose feedback from drop down only.">
      <formula1>"Yes,No,FlexRET"</formula1>
    </dataValidation>
    <dataValidation type="list" xr:uid="{BC4BB870-3922-4D74-89CA-0A0A3D07A354}" sqref="C25" showErrorMessage="1" errorTitle="An invalid feedback was entered" error="Please choose feedback from drop down only.">
      <formula1>"G,U,L,NR,GU,UL,GL,GUL,LNR,ULNR,None"</formula1>
    </dataValidation>
    <dataValidation type="list" xr:uid="{C55AE3C4-1678-4609-818A-6C05B8E069D7}" sqref="D25" showErrorMessage="1" errorTitle="An invalid feedback was entered" error="Please choose feedback from drop down only.">
      <formula1>"G,U,L,NR,GU,UL,GL,GUL,LNR,ULNR,None"</formula1>
    </dataValidation>
    <dataValidation type="list" xr:uid="{EF42AD68-5B7C-4584-8531-F31C16790F4A}" sqref="E25" showErrorMessage="1" errorTitle="An invalid feedback was entered" error="Please choose feedback from drop down only.">
      <formula1>"G,U,L,NR,GU,UL,GL,GUL,LNR,ULNR,None"</formula1>
    </dataValidation>
    <dataValidation type="list" xr:uid="{C89C31A3-5367-4710-8C4B-9C321A5E2B56}" sqref="F25" showErrorMessage="1" errorTitle="An invalid feedback was entered" error="Please choose feedback from drop down only.">
      <formula1>"G,U,L,NR,GU,UL,GL,GUL,LNR,ULNR,None"</formula1>
    </dataValidation>
    <dataValidation type="list" xr:uid="{E34A903D-329A-4106-AF44-F25223A2CC14}" sqref="G25" showErrorMessage="1" errorTitle="An invalid feedback was entered" error="Please choose feedback from drop down only.">
      <formula1>"G,U,L,NR,GU,UL,GL,GUL,LNR,ULNR,None"</formula1>
    </dataValidation>
    <dataValidation type="list" xr:uid="{8A926B66-0A29-4F0D-A961-B619E8AAD483}" sqref="H25" showErrorMessage="1" errorTitle="An invalid feedback was entered" error="Please choose feedback from drop down only.">
      <formula1>"G,U,L,NR,GU,UL,GL,GUL,LNR,ULNR,None"</formula1>
    </dataValidation>
    <dataValidation type="list" xr:uid="{5F77B307-59D5-47CF-A0DD-AF36CB45013A}" sqref="I25" showErrorMessage="1" errorTitle="An invalid feedback was entered" error="Please choose feedback from drop down only.">
      <formula1>"G,U,L,NR,GU,UL,GL,GUL,LNR,ULNR,None"</formula1>
    </dataValidation>
    <dataValidation type="list" xr:uid="{584717DD-BA45-4E2E-A40A-C1983EBB969A}" sqref="J25" showErrorMessage="1" errorTitle="An invalid feedback was entered" error="Please choose feedback from drop down only.">
      <formula1>"G,U,L,NR,GU,UL,GL,GUL,LNR,ULNR,None"</formula1>
    </dataValidation>
    <dataValidation type="list" xr:uid="{A6F13567-4441-4B5F-8942-6B2541B0B7D0}" sqref="K25" showErrorMessage="1" errorTitle="An invalid feedback was entered" error="Please choose feedback from drop down only.">
      <formula1>"G,U,L,NR,GU,UL,GL,GUL,LNR,ULNR,None"</formula1>
    </dataValidation>
    <dataValidation type="list" xr:uid="{28AD1EC5-E08F-4BBA-A0E2-073348CEE458}" sqref="L25" showErrorMessage="1" errorTitle="An invalid feedback was entered" error="Please choose feedback from drop down only.">
      <formula1>"G,U,L,NR,GU,UL,GL,GUL,LNR,ULNR,None"</formula1>
    </dataValidation>
    <dataValidation type="list" xr:uid="{08FCC075-C39A-4A20-8752-FD28B31CB231}" sqref="M25" showErrorMessage="1" errorTitle="An invalid feedback was entered" error="Please choose feedback from drop down only.">
      <formula1>"G,U,L,NR,GU,UL,GL,GUL,LNR,ULNR,None"</formula1>
    </dataValidation>
    <dataValidation type="list" xr:uid="{F3EB0780-F19C-48FB-8682-6CE1C73DFDF5}" sqref="N25" showErrorMessage="1" errorTitle="An invalid feedback was entered" error="Please choose feedback from drop down only.">
      <formula1>"G,U,L,NR,GU,UL,GL,GUL,LNR,ULNR,None"</formula1>
    </dataValidation>
    <dataValidation type="list" xr:uid="{CBD2AE64-3D1D-48FA-84DA-37D3BDE6818E}" sqref="O25" showErrorMessage="1" errorTitle="An invalid feedback was entered" error="Please choose feedback from drop down only.">
      <formula1>"G,U,L,NR,GU,UL,GL,GUL,LNR,ULNR,None"</formula1>
    </dataValidation>
    <dataValidation type="list" xr:uid="{AC688B4B-3CF5-4D0D-AD03-B4E0D877EDA3}" sqref="P25" showErrorMessage="1" errorTitle="An invalid feedback was entered" error="Please choose feedback from drop down only.">
      <formula1>"G,U,L,NR,GU,UL,GL,GUL,LNR,ULNR,None"</formula1>
    </dataValidation>
    <dataValidation type="list" xr:uid="{3E92A851-CBA6-419F-AE54-3B026D4F29B2}" sqref="Q25" showErrorMessage="1" errorTitle="An invalid feedback was entered" error="Please choose feedback from drop down only.">
      <formula1>"G,U,L,NR,GU,UL,GL,GUL,LNR,ULNR,None"</formula1>
    </dataValidation>
    <dataValidation type="list" xr:uid="{8C28669F-10B4-424C-9576-1B3D9B6F4843}" sqref="C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75923CF0-76C1-49EB-82EE-743E416A8BF2}" sqref="D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FE6511B0-8810-48E9-B677-AC16E923C47D}" sqref="E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E6E860F5-1342-4688-9F71-5C368AABD6A1}" sqref="F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EAFA0241-E80C-4128-9B2D-A1234CAD9C84}" sqref="G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A02397B4-16E0-42FA-9A37-678A0626CF28}" sqref="H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5FD4B2A7-CDB3-42C0-89EA-FBC40CF45E02}" sqref="I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4C5A789A-4643-4C8C-8199-6FE4125D28D5}" sqref="J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F36681E8-60C3-4A28-A47E-BC2B14002AD0}" sqref="K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52B3C082-1BA3-4239-A195-6B79D01A6764}" sqref="L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AB7F5E24-CBF2-42A4-805E-44F349746C90}" sqref="M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6192ED90-1468-47D4-92F2-56A5817A6785}" sqref="N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DE149B08-E863-45F5-A1AF-72B94B63176A}" sqref="O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3FCD48D5-03B0-4813-8B0C-C4C59663B215}" sqref="P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35C35C9E-1C04-4768-A8A5-F2DB5F1FB598}" sqref="Q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</dataValidations>
  <pageMargins left="0.7" right="0.7" top="0.75" bottom="0.75" header="0.3" footer="0.3"/>
  <pageSetup orientation="portrait"/>
  <headerFooter/>
  <extLst>
    <ext xmlns:x14="http://schemas.microsoft.com/office/spreadsheetml/2009/9/main" uri="{CCE6A557-97BC-4b89-ADB6-D9C93CAAB3DF}">
      <x14:dataValidations xmlns:xm="http://schemas.microsoft.com/office/excel/2006/main" count="60">
        <x14:dataValidation type="list" xr:uid="{92BF8446-4747-4E4A-87AB-9764A0B3C1A0}" error="Please choose feedback from drop down only." errorTitle="An invalid feedback was entered" showErrorMessage="1">
          <x14:formula1>
            <xm:f>Antennas!A:A</xm:f>
          </x14:formula1>
          <xm:sqref>C8</xm:sqref>
        </x14:dataValidation>
        <x14:dataValidation type="list" xr:uid="{0806A611-EED2-484C-B8DC-0A090509394C}" error="Please choose feedback from drop down only." errorTitle="An invalid feedback was entered" showErrorMessage="1">
          <x14:formula1>
            <xm:f>Antennas!A:A</xm:f>
          </x14:formula1>
          <xm:sqref>D8</xm:sqref>
        </x14:dataValidation>
        <x14:dataValidation type="list" xr:uid="{E2F9489F-05F2-4F8C-A2EF-F6644F3FCCAB}" error="Please choose feedback from drop down only." errorTitle="An invalid feedback was entered" showErrorMessage="1">
          <x14:formula1>
            <xm:f>Antennas!A:A</xm:f>
          </x14:formula1>
          <xm:sqref>E8</xm:sqref>
        </x14:dataValidation>
        <x14:dataValidation type="list" xr:uid="{2A0D34FF-FF06-4AD5-9C49-C3BCB4AF97CA}" error="Please choose feedback from drop down only." errorTitle="An invalid feedback was entered" showErrorMessage="1">
          <x14:formula1>
            <xm:f>Antennas!A:A</xm:f>
          </x14:formula1>
          <xm:sqref>F8</xm:sqref>
        </x14:dataValidation>
        <x14:dataValidation type="list" xr:uid="{55154D27-D171-46EB-8321-0194FA688D4B}" error="Please choose feedback from drop down only." errorTitle="An invalid feedback was entered" showErrorMessage="1">
          <x14:formula1>
            <xm:f>Antennas!A:A</xm:f>
          </x14:formula1>
          <xm:sqref>G8</xm:sqref>
        </x14:dataValidation>
        <x14:dataValidation type="list" xr:uid="{D9EC17BD-8CC3-47D5-BB42-49195122A666}" error="Please choose feedback from drop down only." errorTitle="An invalid feedback was entered" showErrorMessage="1">
          <x14:formula1>
            <xm:f>Antennas!A:A</xm:f>
          </x14:formula1>
          <xm:sqref>H8</xm:sqref>
        </x14:dataValidation>
        <x14:dataValidation type="list" xr:uid="{5740F2E1-8657-4753-A693-1C130356C447}" error="Please choose feedback from drop down only." errorTitle="An invalid feedback was entered" showErrorMessage="1">
          <x14:formula1>
            <xm:f>Antennas!A:A</xm:f>
          </x14:formula1>
          <xm:sqref>I8</xm:sqref>
        </x14:dataValidation>
        <x14:dataValidation type="list" xr:uid="{A4607DFF-D49B-4335-AEE5-C84086AA8DAF}" error="Please choose feedback from drop down only." errorTitle="An invalid feedback was entered" showErrorMessage="1">
          <x14:formula1>
            <xm:f>Antennas!A:A</xm:f>
          </x14:formula1>
          <xm:sqref>J8</xm:sqref>
        </x14:dataValidation>
        <x14:dataValidation type="list" xr:uid="{A7B085C9-8408-48A0-81A1-7BF3F14916F6}" error="Please choose feedback from drop down only." errorTitle="An invalid feedback was entered" showErrorMessage="1">
          <x14:formula1>
            <xm:f>Antennas!A:A</xm:f>
          </x14:formula1>
          <xm:sqref>K8</xm:sqref>
        </x14:dataValidation>
        <x14:dataValidation type="list" xr:uid="{C57A9EDD-A201-4B71-A84E-D0BEB8080679}" error="Please choose feedback from drop down only." errorTitle="An invalid feedback was entered" showErrorMessage="1">
          <x14:formula1>
            <xm:f>Antennas!A:A</xm:f>
          </x14:formula1>
          <xm:sqref>L8</xm:sqref>
        </x14:dataValidation>
        <x14:dataValidation type="list" xr:uid="{1254D9C6-9E53-4447-8FDA-1B400FC084C4}" error="Please choose feedback from drop down only." errorTitle="An invalid feedback was entered" showErrorMessage="1">
          <x14:formula1>
            <xm:f>Antennas!A:A</xm:f>
          </x14:formula1>
          <xm:sqref>M8</xm:sqref>
        </x14:dataValidation>
        <x14:dataValidation type="list" xr:uid="{FE89079D-B9AD-40A9-A7F4-A64F844958D3}" error="Please choose feedback from drop down only." errorTitle="An invalid feedback was entered" showErrorMessage="1">
          <x14:formula1>
            <xm:f>Antennas!A:A</xm:f>
          </x14:formula1>
          <xm:sqref>N8</xm:sqref>
        </x14:dataValidation>
        <x14:dataValidation type="list" xr:uid="{21AF42EA-5406-4C3C-BAF9-C4FB412B2245}" error="Please choose feedback from drop down only." errorTitle="An invalid feedback was entered" showErrorMessage="1">
          <x14:formula1>
            <xm:f>Antennas!A:A</xm:f>
          </x14:formula1>
          <xm:sqref>O8</xm:sqref>
        </x14:dataValidation>
        <x14:dataValidation type="list" xr:uid="{2AF85A2D-1AB7-413E-A81F-60FFC8EC6341}" error="Please choose feedback from drop down only." errorTitle="An invalid feedback was entered" showErrorMessage="1">
          <x14:formula1>
            <xm:f>Antennas!A:A</xm:f>
          </x14:formula1>
          <xm:sqref>P8</xm:sqref>
        </x14:dataValidation>
        <x14:dataValidation type="list" xr:uid="{66765486-E04D-4C72-9780-0CC164B5FA75}" error="Please choose feedback from drop down only." errorTitle="An invalid feedback was entered" showErrorMessage="1">
          <x14:formula1>
            <xm:f>Antennas!A:A</xm:f>
          </x14:formula1>
          <xm:sqref>Q8</xm:sqref>
        </x14:dataValidation>
        <x14:dataValidation type="list" xr:uid="{97841ECE-7328-4C8F-B948-3C140B62E624}" error="Please choose feedback from drop down only." errorTitle="An invalid feedback was entered" showErrorMessage="1">
          <x14:formula1>
            <xm:f>Combiners!A:A</xm:f>
          </x14:formula1>
          <xm:sqref>C39</xm:sqref>
        </x14:dataValidation>
        <x14:dataValidation type="list" xr:uid="{1843D23B-86C1-4A3F-AC07-83F3FAF15326}" error="Please choose feedback from drop down only." errorTitle="An invalid feedback was entered" showErrorMessage="1">
          <x14:formula1>
            <xm:f>Combiners!A:A</xm:f>
          </x14:formula1>
          <xm:sqref>D39</xm:sqref>
        </x14:dataValidation>
        <x14:dataValidation type="list" xr:uid="{488FA3C3-CAA4-4BD0-9244-79F785E7B5A8}" error="Please choose feedback from drop down only." errorTitle="An invalid feedback was entered" showErrorMessage="1">
          <x14:formula1>
            <xm:f>Combiners!A:A</xm:f>
          </x14:formula1>
          <xm:sqref>E39</xm:sqref>
        </x14:dataValidation>
        <x14:dataValidation type="list" xr:uid="{131D8547-1ABA-43A5-9D26-A0BE4C36C4F2}" error="Please choose feedback from drop down only." errorTitle="An invalid feedback was entered" showErrorMessage="1">
          <x14:formula1>
            <xm:f>Combiners!A:A</xm:f>
          </x14:formula1>
          <xm:sqref>F39</xm:sqref>
        </x14:dataValidation>
        <x14:dataValidation type="list" xr:uid="{82C5B0E9-F6FB-4BC5-8BD9-6312E6A39B48}" error="Please choose feedback from drop down only." errorTitle="An invalid feedback was entered" showErrorMessage="1">
          <x14:formula1>
            <xm:f>Combiners!A:A</xm:f>
          </x14:formula1>
          <xm:sqref>G39</xm:sqref>
        </x14:dataValidation>
        <x14:dataValidation type="list" xr:uid="{8FCF7974-423E-4D80-BB24-70DA4417219D}" error="Please choose feedback from drop down only." errorTitle="An invalid feedback was entered" showErrorMessage="1">
          <x14:formula1>
            <xm:f>Combiners!A:A</xm:f>
          </x14:formula1>
          <xm:sqref>H39</xm:sqref>
        </x14:dataValidation>
        <x14:dataValidation type="list" xr:uid="{13EB8AFD-6250-493D-AEF8-5611BF8EA52F}" error="Please choose feedback from drop down only." errorTitle="An invalid feedback was entered" showErrorMessage="1">
          <x14:formula1>
            <xm:f>Combiners!A:A</xm:f>
          </x14:formula1>
          <xm:sqref>I39</xm:sqref>
        </x14:dataValidation>
        <x14:dataValidation type="list" xr:uid="{53512818-ABD1-45BC-849E-08571517992A}" error="Please choose feedback from drop down only." errorTitle="An invalid feedback was entered" showErrorMessage="1">
          <x14:formula1>
            <xm:f>Combiners!A:A</xm:f>
          </x14:formula1>
          <xm:sqref>J39</xm:sqref>
        </x14:dataValidation>
        <x14:dataValidation type="list" xr:uid="{7955F3AE-FBE5-497E-B044-2C9BD553A850}" error="Please choose feedback from drop down only." errorTitle="An invalid feedback was entered" showErrorMessage="1">
          <x14:formula1>
            <xm:f>Combiners!A:A</xm:f>
          </x14:formula1>
          <xm:sqref>K39</xm:sqref>
        </x14:dataValidation>
        <x14:dataValidation type="list" xr:uid="{D6CAAAB5-DA39-43D1-ABD5-0E36DA2FEC71}" error="Please choose feedback from drop down only." errorTitle="An invalid feedback was entered" showErrorMessage="1">
          <x14:formula1>
            <xm:f>Combiners!A:A</xm:f>
          </x14:formula1>
          <xm:sqref>L39</xm:sqref>
        </x14:dataValidation>
        <x14:dataValidation type="list" xr:uid="{C8EA162E-0579-49B6-9101-C85EFEBC5C34}" error="Please choose feedback from drop down only." errorTitle="An invalid feedback was entered" showErrorMessage="1">
          <x14:formula1>
            <xm:f>Combiners!A:A</xm:f>
          </x14:formula1>
          <xm:sqref>M39</xm:sqref>
        </x14:dataValidation>
        <x14:dataValidation type="list" xr:uid="{DC2E732B-3642-4D43-AC0A-A4A7F2C2BDB1}" error="Please choose feedback from drop down only." errorTitle="An invalid feedback was entered" showErrorMessage="1">
          <x14:formula1>
            <xm:f>Combiners!A:A</xm:f>
          </x14:formula1>
          <xm:sqref>N39</xm:sqref>
        </x14:dataValidation>
        <x14:dataValidation type="list" xr:uid="{047CDF2E-8839-48D7-8785-9AB78F8F74FA}" error="Please choose feedback from drop down only." errorTitle="An invalid feedback was entered" showErrorMessage="1">
          <x14:formula1>
            <xm:f>Combiners!A:A</xm:f>
          </x14:formula1>
          <xm:sqref>O39</xm:sqref>
        </x14:dataValidation>
        <x14:dataValidation type="list" xr:uid="{082C517F-DFED-49AA-A490-BBCE232A73CC}" error="Please choose feedback from drop down only." errorTitle="An invalid feedback was entered" showErrorMessage="1">
          <x14:formula1>
            <xm:f>Combiners!A:A</xm:f>
          </x14:formula1>
          <xm:sqref>P39</xm:sqref>
        </x14:dataValidation>
        <x14:dataValidation type="list" xr:uid="{0D41DA7E-C4A9-4F6F-8B71-1345698F12CD}" error="Please choose feedback from drop down only." errorTitle="An invalid feedback was entered" showErrorMessage="1">
          <x14:formula1>
            <xm:f>Combiners!A:A</xm:f>
          </x14:formula1>
          <xm:sqref>Q39</xm:sqref>
        </x14:dataValidation>
        <x14:dataValidation type="list" xr:uid="{556230DC-529D-469D-983D-A7E09FD5F4CA}" error="Please choose feedback from drop down only." errorTitle="An invalid feedback was entered" showErrorMessage="0">
          <x14:formula1>
            <xm:f>RRUs!A:A</xm:f>
          </x14:formula1>
          <xm:sqref>C35</xm:sqref>
        </x14:dataValidation>
        <x14:dataValidation type="list" xr:uid="{12024687-BA4C-4A7D-997F-D9022FE99443}" error="Please choose feedback from drop down only." errorTitle="An invalid feedback was entered" showErrorMessage="0">
          <x14:formula1>
            <xm:f>RRUs!A:A</xm:f>
          </x14:formula1>
          <xm:sqref>D35</xm:sqref>
        </x14:dataValidation>
        <x14:dataValidation type="list" xr:uid="{EF48127B-41BE-4C7F-A309-B36703B46BE8}" error="Please choose feedback from drop down only." errorTitle="An invalid feedback was entered" showErrorMessage="0">
          <x14:formula1>
            <xm:f>RRUs!A:A</xm:f>
          </x14:formula1>
          <xm:sqref>E35</xm:sqref>
        </x14:dataValidation>
        <x14:dataValidation type="list" xr:uid="{B5DA8A7C-255A-4B24-A2C7-127A9A18B8DC}" error="Please choose feedback from drop down only." errorTitle="An invalid feedback was entered" showErrorMessage="0">
          <x14:formula1>
            <xm:f>RRUs!A:A</xm:f>
          </x14:formula1>
          <xm:sqref>F35</xm:sqref>
        </x14:dataValidation>
        <x14:dataValidation type="list" xr:uid="{197F408E-68FA-44A5-968F-5394C4139E93}" error="Please choose feedback from drop down only." errorTitle="An invalid feedback was entered" showErrorMessage="0">
          <x14:formula1>
            <xm:f>RRUs!A:A</xm:f>
          </x14:formula1>
          <xm:sqref>G35</xm:sqref>
        </x14:dataValidation>
        <x14:dataValidation type="list" xr:uid="{916EF5BE-5217-452D-8945-2E8E0BFA4797}" error="Please choose feedback from drop down only." errorTitle="An invalid feedback was entered" showErrorMessage="0">
          <x14:formula1>
            <xm:f>RRUs!A:A</xm:f>
          </x14:formula1>
          <xm:sqref>H35</xm:sqref>
        </x14:dataValidation>
        <x14:dataValidation type="list" xr:uid="{8E507563-5D06-4187-8AE3-B031FEE3ED20}" error="Please choose feedback from drop down only." errorTitle="An invalid feedback was entered" showErrorMessage="0">
          <x14:formula1>
            <xm:f>RRUs!A:A</xm:f>
          </x14:formula1>
          <xm:sqref>I35</xm:sqref>
        </x14:dataValidation>
        <x14:dataValidation type="list" xr:uid="{A31F7049-6CB7-4452-8131-33B6DC300F0A}" error="Please choose feedback from drop down only." errorTitle="An invalid feedback was entered" showErrorMessage="0">
          <x14:formula1>
            <xm:f>RRUs!A:A</xm:f>
          </x14:formula1>
          <xm:sqref>J35</xm:sqref>
        </x14:dataValidation>
        <x14:dataValidation type="list" xr:uid="{BF698FE4-B0F5-445F-B3BB-2EA1B7E1D3B1}" error="Please choose feedback from drop down only." errorTitle="An invalid feedback was entered" showErrorMessage="0">
          <x14:formula1>
            <xm:f>RRUs!A:A</xm:f>
          </x14:formula1>
          <xm:sqref>K35</xm:sqref>
        </x14:dataValidation>
        <x14:dataValidation type="list" xr:uid="{7EAF0E2E-5354-43F3-AE90-CD57466D8EEF}" error="Please choose feedback from drop down only." errorTitle="An invalid feedback was entered" showErrorMessage="0">
          <x14:formula1>
            <xm:f>RRUs!A:A</xm:f>
          </x14:formula1>
          <xm:sqref>L35</xm:sqref>
        </x14:dataValidation>
        <x14:dataValidation type="list" xr:uid="{DD1B4E2D-5BB4-4103-8A66-E33635B9FDFC}" error="Please choose feedback from drop down only." errorTitle="An invalid feedback was entered" showErrorMessage="0">
          <x14:formula1>
            <xm:f>RRUs!A:A</xm:f>
          </x14:formula1>
          <xm:sqref>M35</xm:sqref>
        </x14:dataValidation>
        <x14:dataValidation type="list" xr:uid="{5DDDDA40-4C4F-44D8-BEC4-60301CB42216}" error="Please choose feedback from drop down only." errorTitle="An invalid feedback was entered" showErrorMessage="0">
          <x14:formula1>
            <xm:f>RRUs!A:A</xm:f>
          </x14:formula1>
          <xm:sqref>N35</xm:sqref>
        </x14:dataValidation>
        <x14:dataValidation type="list" xr:uid="{77098C24-D937-43D4-B2B1-55591A646EEA}" error="Please choose feedback from drop down only." errorTitle="An invalid feedback was entered" showErrorMessage="0">
          <x14:formula1>
            <xm:f>RRUs!A:A</xm:f>
          </x14:formula1>
          <xm:sqref>O35</xm:sqref>
        </x14:dataValidation>
        <x14:dataValidation type="list" xr:uid="{ED58F3B0-61A9-4BF7-B54A-BC400C672C02}" error="Please choose feedback from drop down only." errorTitle="An invalid feedback was entered" showErrorMessage="0">
          <x14:formula1>
            <xm:f>RRUs!A:A</xm:f>
          </x14:formula1>
          <xm:sqref>P35</xm:sqref>
        </x14:dataValidation>
        <x14:dataValidation type="list" xr:uid="{37F6014E-B34B-4C51-84A3-D9E2AAC9649A}" error="Please choose feedback from drop down only." errorTitle="An invalid feedback was entered" showErrorMessage="0">
          <x14:formula1>
            <xm:f>RRUs!A:A</xm:f>
          </x14:formula1>
          <xm:sqref>Q35</xm:sqref>
        </x14:dataValidation>
        <x14:dataValidation type="list" xr:uid="{F641BCDE-C212-44FE-BF57-A943B43952E6}" error="Please choose feedback from drop down only." errorTitle="An invalid feedback was entered" showErrorMessage="1">
          <x14:formula1>
            <xm:f>Combiners!A:A</xm:f>
          </x14:formula1>
          <xm:sqref>C41</xm:sqref>
        </x14:dataValidation>
        <x14:dataValidation type="list" xr:uid="{150E3C0F-22F0-40C1-AF96-BEE3DF23AEF8}" error="Please choose feedback from drop down only." errorTitle="An invalid feedback was entered" showErrorMessage="1">
          <x14:formula1>
            <xm:f>Combiners!A:A</xm:f>
          </x14:formula1>
          <xm:sqref>D41</xm:sqref>
        </x14:dataValidation>
        <x14:dataValidation type="list" xr:uid="{441E2779-B5C7-4A86-A28A-37F2AABE5BFA}" error="Please choose feedback from drop down only." errorTitle="An invalid feedback was entered" showErrorMessage="1">
          <x14:formula1>
            <xm:f>Combiners!A:A</xm:f>
          </x14:formula1>
          <xm:sqref>E41</xm:sqref>
        </x14:dataValidation>
        <x14:dataValidation type="list" xr:uid="{483696E2-0BBF-48DC-86DB-0F3A9235F896}" error="Please choose feedback from drop down only." errorTitle="An invalid feedback was entered" showErrorMessage="1">
          <x14:formula1>
            <xm:f>Combiners!A:A</xm:f>
          </x14:formula1>
          <xm:sqref>F41</xm:sqref>
        </x14:dataValidation>
        <x14:dataValidation type="list" xr:uid="{A52A1383-BB27-4E95-BDFC-CAA326689296}" error="Please choose feedback from drop down only." errorTitle="An invalid feedback was entered" showErrorMessage="1">
          <x14:formula1>
            <xm:f>Combiners!A:A</xm:f>
          </x14:formula1>
          <xm:sqref>G41</xm:sqref>
        </x14:dataValidation>
        <x14:dataValidation type="list" xr:uid="{DB5FEB72-5458-4B27-AF90-B73A13B182DD}" error="Please choose feedback from drop down only." errorTitle="An invalid feedback was entered" showErrorMessage="1">
          <x14:formula1>
            <xm:f>Combiners!A:A</xm:f>
          </x14:formula1>
          <xm:sqref>H41</xm:sqref>
        </x14:dataValidation>
        <x14:dataValidation type="list" xr:uid="{F24D4F36-9FA5-4585-B6A5-85DFD738A398}" error="Please choose feedback from drop down only." errorTitle="An invalid feedback was entered" showErrorMessage="1">
          <x14:formula1>
            <xm:f>Combiners!A:A</xm:f>
          </x14:formula1>
          <xm:sqref>I41</xm:sqref>
        </x14:dataValidation>
        <x14:dataValidation type="list" xr:uid="{59CB791F-656B-45ED-B5FC-E9F6F344AB9C}" error="Please choose feedback from drop down only." errorTitle="An invalid feedback was entered" showErrorMessage="1">
          <x14:formula1>
            <xm:f>Combiners!A:A</xm:f>
          </x14:formula1>
          <xm:sqref>J41</xm:sqref>
        </x14:dataValidation>
        <x14:dataValidation type="list" xr:uid="{969BED58-4F9F-4795-8D7B-5874BD17E298}" error="Please choose feedback from drop down only." errorTitle="An invalid feedback was entered" showErrorMessage="1">
          <x14:formula1>
            <xm:f>Combiners!A:A</xm:f>
          </x14:formula1>
          <xm:sqref>K41</xm:sqref>
        </x14:dataValidation>
        <x14:dataValidation type="list" xr:uid="{AE4D1AE4-4D1D-4868-A3AD-ADCAE2033266}" error="Please choose feedback from drop down only." errorTitle="An invalid feedback was entered" showErrorMessage="1">
          <x14:formula1>
            <xm:f>Combiners!A:A</xm:f>
          </x14:formula1>
          <xm:sqref>L41</xm:sqref>
        </x14:dataValidation>
        <x14:dataValidation type="list" xr:uid="{5D39CEA4-84DB-4A2D-8F37-1B7860BD010B}" error="Please choose feedback from drop down only." errorTitle="An invalid feedback was entered" showErrorMessage="1">
          <x14:formula1>
            <xm:f>Combiners!A:A</xm:f>
          </x14:formula1>
          <xm:sqref>M41</xm:sqref>
        </x14:dataValidation>
        <x14:dataValidation type="list" xr:uid="{616DE48B-D3D7-4240-AB1D-F9F58A4B4D97}" error="Please choose feedback from drop down only." errorTitle="An invalid feedback was entered" showErrorMessage="1">
          <x14:formula1>
            <xm:f>Combiners!A:A</xm:f>
          </x14:formula1>
          <xm:sqref>N41</xm:sqref>
        </x14:dataValidation>
        <x14:dataValidation type="list" xr:uid="{9B570434-B9B1-4C8D-A6B7-0ADB999821E5}" error="Please choose feedback from drop down only." errorTitle="An invalid feedback was entered" showErrorMessage="1">
          <x14:formula1>
            <xm:f>Combiners!A:A</xm:f>
          </x14:formula1>
          <xm:sqref>O41</xm:sqref>
        </x14:dataValidation>
        <x14:dataValidation type="list" xr:uid="{00774724-D6DE-4D99-BD09-08D082629003}" error="Please choose feedback from drop down only." errorTitle="An invalid feedback was entered" showErrorMessage="1">
          <x14:formula1>
            <xm:f>Combiners!A:A</xm:f>
          </x14:formula1>
          <xm:sqref>P41</xm:sqref>
        </x14:dataValidation>
        <x14:dataValidation type="list" xr:uid="{832116C5-034B-44C0-839B-F0E7CE7C096D}" error="Please choose feedback from drop down only." errorTitle="An invalid feedback was entered" showErrorMessage="1">
          <x14:formula1>
            <xm:f>Combiners!A:A</xm:f>
          </x14:formula1>
          <xm:sqref>Q41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8"/>
  <dimension ref="A1:U45"/>
  <sheetViews>
    <sheetView zoomScale="90" zoomScaleNormal="90" workbookViewId="0">
      <selection activeCell="C8" sqref="C8:H8"/>
    </sheetView>
  </sheetViews>
  <sheetFormatPr defaultColWidth="9.1328125" defaultRowHeight="12.75"/>
  <cols>
    <col min="1" max="1" bestFit="1" width="10.265625" customWidth="1" style="6"/>
    <col min="2" max="2" bestFit="1" width="40.1328125" customWidth="1" style="7"/>
    <col min="3" max="7" width="9.1328125" customWidth="1" style="21"/>
    <col min="8" max="8" bestFit="1" width="9.3984375" customWidth="1" style="21"/>
    <col min="9" max="16384" width="9.1328125" customWidth="1" style="21"/>
  </cols>
  <sheetData>
    <row r="1" ht="25.15" customHeight="1">
      <c r="A1" s="197"/>
      <c r="B1" s="198"/>
      <c r="C1" s="258" t="s">
        <v>108</v>
      </c>
      <c r="D1" s="258"/>
      <c r="E1" s="258"/>
      <c r="F1" s="258"/>
      <c r="G1" s="258"/>
      <c r="H1" s="258"/>
      <c r="I1" s="258"/>
      <c r="J1" s="258"/>
      <c r="K1" s="258"/>
      <c r="L1" s="258"/>
      <c r="M1" s="258"/>
      <c r="N1" s="258"/>
      <c r="O1" s="258"/>
      <c r="P1" s="258"/>
    </row>
    <row r="2" ht="18">
      <c r="A2" s="33"/>
      <c r="B2" s="14" t="s">
        <v>1</v>
      </c>
      <c r="C2" s="217">
        <v>1</v>
      </c>
      <c r="D2" s="251"/>
      <c r="E2" s="251"/>
      <c r="F2" s="251"/>
      <c r="G2" s="251"/>
      <c r="H2" s="219"/>
      <c r="I2" s="252">
        <v>2</v>
      </c>
      <c r="J2" s="253"/>
      <c r="K2" s="253"/>
      <c r="L2" s="254"/>
      <c r="M2" s="252">
        <v>3</v>
      </c>
      <c r="N2" s="253"/>
      <c r="O2" s="255"/>
      <c r="P2" s="72">
        <v>4</v>
      </c>
    </row>
    <row r="3" ht="17.25">
      <c r="A3" s="241"/>
      <c r="B3" s="12" t="s">
        <v>2</v>
      </c>
      <c r="C3" s="211"/>
      <c r="D3" s="212"/>
      <c r="E3" s="212"/>
      <c r="F3" s="212"/>
      <c r="G3" s="212"/>
      <c r="H3" s="212"/>
      <c r="I3" s="212"/>
      <c r="J3" s="212"/>
      <c r="K3" s="212"/>
      <c r="L3" s="212"/>
      <c r="M3" s="212"/>
      <c r="N3" s="212"/>
      <c r="O3" s="212"/>
      <c r="P3" s="213"/>
    </row>
    <row r="4" ht="25.15" s="22" customFormat="1">
      <c r="A4" s="241"/>
      <c r="B4" s="9" t="s">
        <v>3</v>
      </c>
      <c r="C4" s="248"/>
      <c r="D4" s="249"/>
      <c r="E4" s="249"/>
      <c r="F4" s="249"/>
      <c r="G4" s="249"/>
      <c r="H4" s="249"/>
      <c r="I4" s="249"/>
      <c r="J4" s="249"/>
      <c r="K4" s="249"/>
      <c r="L4" s="249"/>
      <c r="M4" s="249"/>
      <c r="N4" s="249"/>
      <c r="O4" s="249"/>
      <c r="P4" s="250"/>
    </row>
    <row r="5" ht="24.75">
      <c r="A5" s="241"/>
      <c r="B5" s="13" t="s">
        <v>4</v>
      </c>
      <c r="C5" s="245"/>
      <c r="D5" s="246"/>
      <c r="E5" s="246"/>
      <c r="F5" s="246"/>
      <c r="G5" s="246"/>
      <c r="H5" s="246"/>
      <c r="I5" s="246"/>
      <c r="J5" s="246"/>
      <c r="K5" s="246"/>
      <c r="L5" s="246"/>
      <c r="M5" s="246"/>
      <c r="N5" s="246"/>
      <c r="O5" s="246"/>
      <c r="P5" s="247"/>
    </row>
    <row r="6" ht="25.15" s="22" customFormat="1">
      <c r="A6" s="241"/>
      <c r="B6" s="32" t="s">
        <v>5</v>
      </c>
      <c r="C6" s="248"/>
      <c r="D6" s="249"/>
      <c r="E6" s="249"/>
      <c r="F6" s="249"/>
      <c r="G6" s="249"/>
      <c r="H6" s="249"/>
      <c r="I6" s="249"/>
      <c r="J6" s="249"/>
      <c r="K6" s="249"/>
      <c r="L6" s="249"/>
      <c r="M6" s="249"/>
      <c r="N6" s="249"/>
      <c r="O6" s="249"/>
      <c r="P6" s="250"/>
    </row>
    <row r="7" ht="17.25">
      <c r="A7" s="241"/>
      <c r="B7" s="8" t="s">
        <v>6</v>
      </c>
      <c r="C7" s="226"/>
      <c r="D7" s="227"/>
      <c r="E7" s="227"/>
      <c r="F7" s="227"/>
      <c r="G7" s="227"/>
      <c r="H7" s="228"/>
      <c r="I7" s="227"/>
      <c r="J7" s="227"/>
      <c r="K7" s="227"/>
      <c r="L7" s="228"/>
      <c r="M7" s="227"/>
      <c r="N7" s="227"/>
      <c r="O7" s="228"/>
      <c r="P7" s="90"/>
    </row>
    <row r="8" ht="17.65" s="22" customFormat="1">
      <c r="A8" s="241"/>
      <c r="B8" s="9" t="s">
        <v>7</v>
      </c>
      <c r="C8" s="229"/>
      <c r="D8" s="230"/>
      <c r="E8" s="230"/>
      <c r="F8" s="230"/>
      <c r="G8" s="230"/>
      <c r="H8" s="231"/>
      <c r="I8" s="229"/>
      <c r="J8" s="230"/>
      <c r="K8" s="230"/>
      <c r="L8" s="231"/>
      <c r="M8" s="229"/>
      <c r="N8" s="230"/>
      <c r="O8" s="231"/>
      <c r="P8" s="74"/>
    </row>
    <row r="9" ht="17.25">
      <c r="A9" s="241"/>
      <c r="B9" s="8" t="s">
        <v>8</v>
      </c>
      <c r="C9" s="211"/>
      <c r="D9" s="212"/>
      <c r="E9" s="212"/>
      <c r="F9" s="212"/>
      <c r="G9" s="212"/>
      <c r="H9" s="213"/>
      <c r="I9" s="212"/>
      <c r="J9" s="212"/>
      <c r="K9" s="212"/>
      <c r="L9" s="213"/>
      <c r="M9" s="212"/>
      <c r="N9" s="212"/>
      <c r="O9" s="213"/>
      <c r="P9" s="73"/>
    </row>
    <row r="10" ht="17.65" s="22" customFormat="1">
      <c r="A10" s="241"/>
      <c r="B10" s="10" t="s">
        <v>9</v>
      </c>
      <c r="C10" s="229"/>
      <c r="D10" s="230"/>
      <c r="E10" s="230"/>
      <c r="F10" s="230"/>
      <c r="G10" s="230"/>
      <c r="H10" s="231"/>
      <c r="I10" s="229"/>
      <c r="J10" s="230"/>
      <c r="K10" s="230"/>
      <c r="L10" s="231"/>
      <c r="M10" s="229"/>
      <c r="N10" s="230"/>
      <c r="O10" s="231"/>
      <c r="P10" s="74"/>
    </row>
    <row r="11" ht="17.25">
      <c r="A11" s="241"/>
      <c r="B11" s="8" t="s">
        <v>10</v>
      </c>
      <c r="C11" s="211"/>
      <c r="D11" s="212"/>
      <c r="E11" s="212"/>
      <c r="F11" s="212"/>
      <c r="G11" s="212"/>
      <c r="H11" s="213"/>
      <c r="I11" s="212"/>
      <c r="J11" s="212"/>
      <c r="K11" s="212"/>
      <c r="L11" s="213"/>
      <c r="M11" s="212"/>
      <c r="N11" s="212"/>
      <c r="O11" s="213"/>
      <c r="P11" s="73"/>
    </row>
    <row r="12" ht="17.65" s="22" customFormat="1">
      <c r="A12" s="241"/>
      <c r="B12" s="10" t="s">
        <v>11</v>
      </c>
      <c r="C12" s="214"/>
      <c r="D12" s="215"/>
      <c r="E12" s="215"/>
      <c r="F12" s="215"/>
      <c r="G12" s="215"/>
      <c r="H12" s="216"/>
      <c r="I12" s="214"/>
      <c r="J12" s="215"/>
      <c r="K12" s="215"/>
      <c r="L12" s="216"/>
      <c r="M12" s="214"/>
      <c r="N12" s="215"/>
      <c r="O12" s="216"/>
      <c r="P12" s="74"/>
    </row>
    <row r="13" ht="17.25">
      <c r="A13" s="241"/>
      <c r="B13" s="8" t="s">
        <v>12</v>
      </c>
      <c r="C13" s="211"/>
      <c r="D13" s="212"/>
      <c r="E13" s="212"/>
      <c r="F13" s="212"/>
      <c r="G13" s="212"/>
      <c r="H13" s="213"/>
      <c r="I13" s="212"/>
      <c r="J13" s="212"/>
      <c r="K13" s="212"/>
      <c r="L13" s="213"/>
      <c r="M13" s="212"/>
      <c r="N13" s="212"/>
      <c r="O13" s="213"/>
      <c r="P13" s="73"/>
    </row>
    <row r="14" ht="17.65" s="22" customFormat="1">
      <c r="A14" s="241"/>
      <c r="B14" s="10" t="s">
        <v>13</v>
      </c>
      <c r="C14" s="208"/>
      <c r="D14" s="209"/>
      <c r="E14" s="209"/>
      <c r="F14" s="209"/>
      <c r="G14" s="209"/>
      <c r="H14" s="210"/>
      <c r="I14" s="208"/>
      <c r="J14" s="209"/>
      <c r="K14" s="209"/>
      <c r="L14" s="210"/>
      <c r="M14" s="208"/>
      <c r="N14" s="209"/>
      <c r="O14" s="210"/>
      <c r="P14" s="81"/>
    </row>
    <row r="15" ht="17.25">
      <c r="A15" s="241"/>
      <c r="B15" s="8" t="s">
        <v>14</v>
      </c>
      <c r="C15" s="211"/>
      <c r="D15" s="212"/>
      <c r="E15" s="212"/>
      <c r="F15" s="212"/>
      <c r="G15" s="212"/>
      <c r="H15" s="213"/>
      <c r="I15" s="212"/>
      <c r="J15" s="212"/>
      <c r="K15" s="212"/>
      <c r="L15" s="213"/>
      <c r="M15" s="212"/>
      <c r="N15" s="212"/>
      <c r="O15" s="213"/>
      <c r="P15" s="80"/>
    </row>
    <row r="16" ht="17.25" s="22" customFormat="1">
      <c r="A16" s="241"/>
      <c r="B16" s="68" t="s">
        <v>15</v>
      </c>
      <c r="C16" s="199"/>
      <c r="D16" s="200"/>
      <c r="E16" s="200"/>
      <c r="F16" s="200"/>
      <c r="G16" s="200"/>
      <c r="H16" s="201"/>
      <c r="I16" s="202"/>
      <c r="J16" s="203"/>
      <c r="K16" s="203"/>
      <c r="L16" s="204"/>
      <c r="M16" s="202"/>
      <c r="N16" s="203"/>
      <c r="O16" s="204"/>
      <c r="P16" s="75"/>
    </row>
    <row r="17" ht="17.25">
      <c r="A17" s="256"/>
      <c r="B17" s="70" t="s">
        <v>16</v>
      </c>
      <c r="C17" s="63" t="s">
        <v>17</v>
      </c>
      <c r="D17" s="64" t="s">
        <v>18</v>
      </c>
      <c r="E17" s="64" t="s">
        <v>19</v>
      </c>
      <c r="F17" s="64" t="s">
        <v>20</v>
      </c>
      <c r="G17" s="64" t="s">
        <v>21</v>
      </c>
      <c r="H17" s="65" t="s">
        <v>22</v>
      </c>
      <c r="I17" s="63" t="s">
        <v>17</v>
      </c>
      <c r="J17" s="64" t="s">
        <v>18</v>
      </c>
      <c r="K17" s="64" t="s">
        <v>19</v>
      </c>
      <c r="L17" s="65" t="s">
        <v>20</v>
      </c>
      <c r="M17" s="63" t="s">
        <v>17</v>
      </c>
      <c r="N17" s="64" t="s">
        <v>18</v>
      </c>
      <c r="O17" s="65" t="s">
        <v>19</v>
      </c>
      <c r="P17" s="76" t="s">
        <v>17</v>
      </c>
    </row>
    <row r="18" ht="17.25">
      <c r="A18" s="256"/>
      <c r="B18" s="70" t="s">
        <v>23</v>
      </c>
      <c r="C18" s="63"/>
      <c r="D18" s="64"/>
      <c r="E18" s="64"/>
      <c r="F18" s="64"/>
      <c r="G18" s="64"/>
      <c r="H18" s="65"/>
      <c r="I18" s="63"/>
      <c r="J18" s="64"/>
      <c r="K18" s="64"/>
      <c r="L18" s="65"/>
      <c r="M18" s="63"/>
      <c r="N18" s="64"/>
      <c r="O18" s="65"/>
      <c r="P18" s="77"/>
    </row>
    <row r="19" ht="17.25">
      <c r="A19" s="256"/>
      <c r="B19" s="71" t="s">
        <v>24</v>
      </c>
      <c r="C19" s="105">
        <f>VLOOKUP(C8,AntennasPortName!A:H,2,FALSE)</f>
      </c>
      <c r="D19" s="105">
        <f>VLOOKUP(C8,AntennasPortName!A:H,3,FALSE)</f>
      </c>
      <c r="E19" s="105">
        <f>VLOOKUP(C8,AntennasPortName!A:H,4,FALSE)</f>
      </c>
      <c r="F19" s="105">
        <f>VLOOKUP(C8,AntennasPortName!A:H,5,FALSE)</f>
      </c>
      <c r="G19" s="105">
        <f>VLOOKUP(C8,AntennasPortName!A:H,6,FALSE)</f>
      </c>
      <c r="H19" s="105">
        <f>VLOOKUP(C8,AntennasPortName!A:H,7,FALSE)</f>
      </c>
      <c r="I19" s="105">
        <f>VLOOKUP(I8,AntennasPortName!A:H,2,FALSE)</f>
      </c>
      <c r="J19" s="105">
        <f>VLOOKUP(I8,AntennasPortName!A:H,3,FALSE)</f>
      </c>
      <c r="K19" s="105">
        <f>VLOOKUP(I8,AntennasPortName!A:H,4,FALSE)</f>
      </c>
      <c r="L19" s="105">
        <f>VLOOKUP(I8,AntennasPortName!A:H,5,FALSE)</f>
      </c>
      <c r="M19" s="105">
        <f>VLOOKUP(M8,AntennasPortName!A:H,2,FALSE)</f>
      </c>
      <c r="N19" s="105">
        <f>VLOOKUP(M8,AntennasPortName!A:H,3,FALSE)</f>
      </c>
      <c r="O19" s="105">
        <f>VLOOKUP(M8,AntennasPortName!A:H,4,FALSE)</f>
      </c>
      <c r="P19" s="99">
        <f>VLOOKUP(P8,AntennasPortName!A:H,2,FALSE)</f>
      </c>
    </row>
    <row r="20" ht="17.25">
      <c r="A20" s="241"/>
      <c r="B20" s="69" t="s">
        <v>25</v>
      </c>
      <c r="C20" s="61"/>
      <c r="D20" s="62"/>
      <c r="E20" s="62"/>
      <c r="F20" s="62"/>
      <c r="G20" s="62"/>
      <c r="H20" s="62"/>
      <c r="I20" s="61"/>
      <c r="J20" s="62"/>
      <c r="K20" s="62"/>
      <c r="L20" s="66"/>
      <c r="M20" s="67"/>
      <c r="N20" s="62"/>
      <c r="O20" s="66"/>
      <c r="P20" s="66"/>
    </row>
    <row r="21" ht="17.65">
      <c r="A21" s="241"/>
      <c r="B21" s="18" t="s">
        <v>26</v>
      </c>
      <c r="C21" s="42">
        <f>VLOOKUP(C8,Antennas!A:H,2,FALSE)</f>
      </c>
      <c r="D21" s="43">
        <f>VLOOKUP(C8,Antennas!A:H,3,FALSE)</f>
      </c>
      <c r="E21" s="43">
        <f>VLOOKUP(C8,Antennas!A:H,4,FALSE)</f>
      </c>
      <c r="F21" s="43">
        <f>VLOOKUP(C8,Antennas!A:H,5,FALSE)</f>
      </c>
      <c r="G21" s="43">
        <f>VLOOKUP(C8,Antennas!A:H,6,FALSE)</f>
      </c>
      <c r="H21" s="43">
        <f>VLOOKUP(C8,Antennas!A:H,7,FALSE)</f>
      </c>
      <c r="I21" s="43">
        <f>VLOOKUP(I8,Antennas!A:H,2,FALSE)</f>
      </c>
      <c r="J21" s="43">
        <f>VLOOKUP(I8,Antennas!A:H,3,FALSE)</f>
      </c>
      <c r="K21" s="43">
        <f>VLOOKUP(I8,Antennas!A:H,4,FALSE)</f>
      </c>
      <c r="L21" s="44">
        <f>VLOOKUP(I8,Antennas!A:H,5,FALSE)</f>
      </c>
      <c r="M21" s="45">
        <f>VLOOKUP(M8,Antennas!A:H,2,FALSE)</f>
      </c>
      <c r="N21" s="43">
        <f>VLOOKUP(M8,Antennas!A:H,3,FALSE)</f>
      </c>
      <c r="O21" s="42">
        <f>VLOOKUP(M8,Antennas!A:H,4,FALSE)</f>
      </c>
      <c r="P21" s="42">
        <f>VLOOKUP(P8,Antennas!A:H,2,FALSE)</f>
      </c>
      <c r="R21" s="17"/>
    </row>
    <row r="22" ht="17.65" s="22" customFormat="1">
      <c r="A22" s="241"/>
      <c r="B22" s="28" t="s">
        <v>27</v>
      </c>
      <c r="C22" s="46"/>
      <c r="D22" s="47"/>
      <c r="E22" s="47"/>
      <c r="F22" s="47"/>
      <c r="G22" s="47"/>
      <c r="H22" s="47"/>
      <c r="I22" s="47"/>
      <c r="J22" s="47"/>
      <c r="K22" s="47"/>
      <c r="L22" s="48"/>
      <c r="M22" s="49"/>
      <c r="N22" s="47"/>
      <c r="O22" s="50"/>
      <c r="P22" s="50"/>
    </row>
    <row r="23" ht="17.65" s="22" customFormat="1">
      <c r="A23" s="241"/>
      <c r="B23" s="28" t="s">
        <v>28</v>
      </c>
      <c r="C23" s="46"/>
      <c r="D23" s="46"/>
      <c r="E23" s="46"/>
      <c r="F23" s="46"/>
      <c r="G23" s="46"/>
      <c r="H23" s="46"/>
      <c r="I23" s="46"/>
      <c r="J23" s="46"/>
      <c r="K23" s="46"/>
      <c r="L23" s="46"/>
      <c r="M23" s="46"/>
      <c r="N23" s="46"/>
      <c r="O23" s="46"/>
      <c r="P23" s="46"/>
    </row>
    <row r="24" ht="17.25">
      <c r="A24" s="241"/>
      <c r="B24" s="11" t="s">
        <v>29</v>
      </c>
      <c r="C24" s="25"/>
      <c r="D24" s="25"/>
      <c r="E24" s="25"/>
      <c r="F24" s="25"/>
      <c r="G24" s="25"/>
      <c r="H24" s="25"/>
      <c r="I24" s="25"/>
      <c r="J24" s="25"/>
      <c r="K24" s="25"/>
      <c r="L24" s="25"/>
      <c r="M24" s="25"/>
      <c r="N24" s="25"/>
      <c r="O24" s="25"/>
      <c r="P24" s="25"/>
    </row>
    <row r="25" ht="17.65" s="22" customFormat="1">
      <c r="A25" s="241"/>
      <c r="B25" s="29" t="s">
        <v>30</v>
      </c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78"/>
    </row>
    <row r="26" ht="17.25">
      <c r="A26" s="241"/>
      <c r="B26" s="27" t="s">
        <v>31</v>
      </c>
      <c r="C26" s="24"/>
      <c r="D26" s="24"/>
      <c r="E26" s="24"/>
      <c r="F26" s="24"/>
      <c r="G26" s="24"/>
      <c r="H26" s="24"/>
      <c r="I26" s="24"/>
      <c r="J26" s="24"/>
      <c r="K26" s="24"/>
      <c r="L26" s="24"/>
      <c r="M26" s="24"/>
      <c r="N26" s="24"/>
      <c r="O26" s="24"/>
      <c r="P26" s="24"/>
    </row>
    <row r="27" ht="17.65" s="22" customFormat="1">
      <c r="A27" s="241"/>
      <c r="B27" s="30" t="s">
        <v>32</v>
      </c>
      <c r="C27" s="52"/>
      <c r="D27" s="52"/>
      <c r="E27" s="52"/>
      <c r="F27" s="52"/>
      <c r="G27" s="52"/>
      <c r="H27" s="52"/>
      <c r="I27" s="52"/>
      <c r="J27" s="52"/>
      <c r="K27" s="52"/>
      <c r="L27" s="52"/>
      <c r="M27" s="52"/>
      <c r="N27" s="52"/>
      <c r="O27" s="52"/>
      <c r="P27" s="52"/>
    </row>
    <row r="28" ht="17.25">
      <c r="A28" s="241"/>
      <c r="B28" s="11" t="s">
        <v>33</v>
      </c>
      <c r="C28" s="24"/>
      <c r="D28" s="24"/>
      <c r="E28" s="24"/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</row>
    <row r="29" ht="17.65" s="22" customFormat="1">
      <c r="A29" s="241"/>
      <c r="B29" s="31" t="s">
        <v>34</v>
      </c>
      <c r="C29" s="51"/>
      <c r="D29" s="51"/>
      <c r="E29" s="51"/>
      <c r="F29" s="51"/>
      <c r="G29" s="51"/>
      <c r="H29" s="51"/>
      <c r="I29" s="51"/>
      <c r="J29" s="51"/>
      <c r="K29" s="51"/>
      <c r="L29" s="51"/>
      <c r="M29" s="51"/>
      <c r="N29" s="51"/>
      <c r="O29" s="51"/>
      <c r="P29" s="78"/>
    </row>
    <row r="30" ht="17.25">
      <c r="A30" s="241"/>
      <c r="B30" s="27" t="s">
        <v>35</v>
      </c>
      <c r="C30" s="24"/>
      <c r="D30" s="24"/>
      <c r="E30" s="24"/>
      <c r="F30" s="24"/>
      <c r="G30" s="24"/>
      <c r="H30" s="24"/>
      <c r="I30" s="24"/>
      <c r="J30" s="24"/>
      <c r="K30" s="24"/>
      <c r="L30" s="24"/>
      <c r="M30" s="24"/>
      <c r="N30" s="24"/>
      <c r="O30" s="24"/>
      <c r="P30" s="24"/>
    </row>
    <row r="31" ht="17.65" s="22" customFormat="1">
      <c r="A31" s="241"/>
      <c r="B31" s="30" t="s">
        <v>36</v>
      </c>
      <c r="C31" s="53"/>
      <c r="D31" s="53"/>
      <c r="E31" s="53"/>
      <c r="F31" s="53"/>
      <c r="G31" s="53"/>
      <c r="H31" s="53"/>
      <c r="I31" s="53"/>
      <c r="J31" s="53"/>
      <c r="K31" s="53"/>
      <c r="L31" s="53"/>
      <c r="M31" s="53"/>
      <c r="N31" s="53"/>
      <c r="O31" s="53"/>
      <c r="P31" s="79"/>
    </row>
    <row r="32" ht="17.25">
      <c r="A32" s="241"/>
      <c r="B32" s="11" t="s">
        <v>37</v>
      </c>
      <c r="C32" s="25"/>
      <c r="D32" s="25"/>
      <c r="E32" s="25"/>
      <c r="F32" s="25"/>
      <c r="G32" s="25"/>
      <c r="H32" s="25"/>
      <c r="I32" s="25"/>
      <c r="J32" s="25"/>
      <c r="K32" s="25"/>
      <c r="L32" s="25"/>
      <c r="M32" s="25"/>
      <c r="N32" s="25"/>
      <c r="O32" s="25"/>
      <c r="P32" s="25"/>
    </row>
    <row r="33" ht="17.65" s="22" customFormat="1">
      <c r="A33" s="241"/>
      <c r="B33" s="30" t="s">
        <v>38</v>
      </c>
      <c r="C33" s="51"/>
      <c r="D33" s="51"/>
      <c r="E33" s="51"/>
      <c r="F33" s="51"/>
      <c r="G33" s="51"/>
      <c r="H33" s="51"/>
      <c r="I33" s="51"/>
      <c r="J33" s="51"/>
      <c r="K33" s="51"/>
      <c r="L33" s="51"/>
      <c r="M33" s="51"/>
      <c r="N33" s="51"/>
      <c r="O33" s="51"/>
      <c r="P33" s="78"/>
    </row>
    <row r="34" ht="17.25">
      <c r="A34" s="241"/>
      <c r="B34" s="27" t="s">
        <v>39</v>
      </c>
      <c r="C34" s="24"/>
      <c r="D34" s="24"/>
      <c r="E34" s="24"/>
      <c r="F34" s="24"/>
      <c r="G34" s="24"/>
      <c r="H34" s="24"/>
      <c r="I34" s="24"/>
      <c r="J34" s="24"/>
      <c r="K34" s="24"/>
      <c r="L34" s="24"/>
      <c r="M34" s="24"/>
      <c r="N34" s="24"/>
      <c r="O34" s="24"/>
      <c r="P34" s="24"/>
      <c r="U34" s="22"/>
    </row>
    <row r="35" ht="17.65" s="22" customFormat="1">
      <c r="A35" s="241"/>
      <c r="B35" s="28" t="s">
        <v>40</v>
      </c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78"/>
      <c r="U35" s="21"/>
    </row>
    <row r="36" ht="17.25">
      <c r="A36" s="241"/>
      <c r="B36" s="11" t="s">
        <v>41</v>
      </c>
      <c r="C36" s="25"/>
      <c r="D36" s="25"/>
      <c r="E36" s="25"/>
      <c r="F36" s="25"/>
      <c r="G36" s="25"/>
      <c r="H36" s="25"/>
      <c r="I36" s="25"/>
      <c r="J36" s="25"/>
      <c r="K36" s="25"/>
      <c r="L36" s="25"/>
      <c r="M36" s="25"/>
      <c r="N36" s="25"/>
      <c r="O36" s="25"/>
      <c r="P36" s="25"/>
    </row>
    <row r="37" ht="17.65" s="22" customFormat="1">
      <c r="A37" s="241"/>
      <c r="B37" s="28" t="s">
        <v>42</v>
      </c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78"/>
    </row>
    <row r="38" ht="17.25">
      <c r="A38" s="241"/>
      <c r="B38" s="11" t="s">
        <v>43</v>
      </c>
      <c r="C38" s="25"/>
      <c r="D38" s="25"/>
      <c r="E38" s="25"/>
      <c r="F38" s="25"/>
      <c r="G38" s="25"/>
      <c r="H38" s="25"/>
      <c r="I38" s="25"/>
      <c r="J38" s="25"/>
      <c r="K38" s="25"/>
      <c r="L38" s="25"/>
      <c r="M38" s="25"/>
      <c r="N38" s="25"/>
      <c r="O38" s="25"/>
      <c r="P38" s="25"/>
    </row>
    <row r="39" ht="17.65" s="22" customFormat="1">
      <c r="A39" s="241"/>
      <c r="B39" s="28" t="s">
        <v>44</v>
      </c>
      <c r="C39" s="51"/>
      <c r="D39" s="51"/>
      <c r="E39" s="51"/>
      <c r="F39" s="51"/>
      <c r="G39" s="51"/>
      <c r="H39" s="51"/>
      <c r="I39" s="51"/>
      <c r="J39" s="51"/>
      <c r="K39" s="51"/>
      <c r="L39" s="51"/>
      <c r="M39" s="51"/>
      <c r="N39" s="51"/>
      <c r="O39" s="51"/>
      <c r="P39" s="78"/>
    </row>
    <row r="40" ht="17.25">
      <c r="A40" s="241"/>
      <c r="B40" s="11" t="s">
        <v>45</v>
      </c>
      <c r="C40" s="26"/>
      <c r="D40" s="26"/>
      <c r="E40" s="26"/>
      <c r="F40" s="26"/>
      <c r="G40" s="26"/>
      <c r="H40" s="26"/>
      <c r="I40" s="26"/>
      <c r="J40" s="26"/>
      <c r="K40" s="26"/>
      <c r="L40" s="26"/>
      <c r="M40" s="26"/>
      <c r="N40" s="26"/>
      <c r="O40" s="26"/>
      <c r="P40" s="26"/>
    </row>
    <row r="41" ht="17.65" s="22" customFormat="1">
      <c r="A41" s="241"/>
      <c r="B41" s="29" t="s">
        <v>46</v>
      </c>
      <c r="C41" s="51"/>
      <c r="D41" s="51"/>
      <c r="E41" s="51"/>
      <c r="F41" s="51"/>
      <c r="G41" s="51"/>
      <c r="H41" s="51"/>
      <c r="I41" s="51"/>
      <c r="J41" s="51"/>
      <c r="K41" s="51"/>
      <c r="L41" s="51"/>
      <c r="M41" s="51"/>
      <c r="N41" s="51"/>
      <c r="O41" s="51"/>
      <c r="P41" s="78"/>
    </row>
    <row r="42" ht="12.75" customHeight="1">
      <c r="A42" s="223" t="s">
        <v>47</v>
      </c>
      <c r="B42" s="232"/>
      <c r="C42" s="233"/>
      <c r="D42" s="233"/>
      <c r="E42" s="233"/>
      <c r="F42" s="233"/>
      <c r="G42" s="233"/>
      <c r="H42" s="233"/>
      <c r="I42" s="233"/>
      <c r="J42" s="233"/>
      <c r="K42" s="233"/>
      <c r="L42" s="233"/>
      <c r="M42" s="233"/>
      <c r="N42" s="233"/>
      <c r="O42" s="233"/>
      <c r="P42" s="234"/>
      <c r="Q42" s="22"/>
      <c r="R42" s="22"/>
      <c r="S42" s="22"/>
    </row>
    <row r="43" ht="13.15" customHeight="1">
      <c r="A43" s="224"/>
      <c r="B43" s="235"/>
      <c r="C43" s="236"/>
      <c r="D43" s="236"/>
      <c r="E43" s="236"/>
      <c r="F43" s="236"/>
      <c r="G43" s="236"/>
      <c r="H43" s="236"/>
      <c r="I43" s="236"/>
      <c r="J43" s="236"/>
      <c r="K43" s="236"/>
      <c r="L43" s="236"/>
      <c r="M43" s="236"/>
      <c r="N43" s="236"/>
      <c r="O43" s="236"/>
      <c r="P43" s="237"/>
      <c r="Q43" s="22"/>
      <c r="R43" s="22"/>
      <c r="S43" s="22"/>
    </row>
    <row r="44" ht="13.15" customHeight="1">
      <c r="A44" s="224"/>
      <c r="B44" s="235"/>
      <c r="C44" s="236"/>
      <c r="D44" s="236"/>
      <c r="E44" s="236"/>
      <c r="F44" s="236"/>
      <c r="G44" s="236"/>
      <c r="H44" s="236"/>
      <c r="I44" s="236"/>
      <c r="J44" s="236"/>
      <c r="K44" s="236"/>
      <c r="L44" s="236"/>
      <c r="M44" s="236"/>
      <c r="N44" s="236"/>
      <c r="O44" s="236"/>
      <c r="P44" s="237"/>
      <c r="Q44" s="22"/>
      <c r="R44" s="22"/>
      <c r="S44" s="22"/>
    </row>
    <row r="45" ht="13.9" customHeight="1">
      <c r="A45" s="225"/>
      <c r="B45" s="238"/>
      <c r="C45" s="239"/>
      <c r="D45" s="239"/>
      <c r="E45" s="239"/>
      <c r="F45" s="239"/>
      <c r="G45" s="239"/>
      <c r="H45" s="239"/>
      <c r="I45" s="239"/>
      <c r="J45" s="239"/>
      <c r="K45" s="239"/>
      <c r="L45" s="239"/>
      <c r="M45" s="239"/>
      <c r="N45" s="239"/>
      <c r="O45" s="239"/>
      <c r="P45" s="240"/>
      <c r="Q45" s="22"/>
      <c r="R45" s="22"/>
      <c r="S45" s="22"/>
    </row>
  </sheetData>
  <mergeCells>
    <mergeCell ref="M14:O14"/>
    <mergeCell ref="M10:O10"/>
    <mergeCell ref="C11:H11"/>
    <mergeCell ref="I11:L11"/>
    <mergeCell ref="M11:O11"/>
    <mergeCell ref="C12:H12"/>
    <mergeCell ref="I12:L12"/>
    <mergeCell ref="M12:O12"/>
    <mergeCell ref="C10:H10"/>
    <mergeCell ref="I10:L10"/>
    <mergeCell ref="A34:A35"/>
    <mergeCell ref="A36:A41"/>
    <mergeCell ref="A42:A45"/>
    <mergeCell ref="C15:H15"/>
    <mergeCell ref="I15:L15"/>
    <mergeCell ref="B42:P45"/>
    <mergeCell ref="M15:O15"/>
    <mergeCell ref="C16:H16"/>
    <mergeCell ref="I16:L16"/>
    <mergeCell ref="M16:O16"/>
    <mergeCell ref="A3:A33"/>
    <mergeCell ref="C13:H13"/>
    <mergeCell ref="I13:L13"/>
    <mergeCell ref="M13:O13"/>
    <mergeCell ref="C14:H14"/>
    <mergeCell ref="I14:L14"/>
    <mergeCell ref="A1:B1"/>
    <mergeCell ref="C2:H2"/>
    <mergeCell ref="I2:L2"/>
    <mergeCell ref="M2:O2"/>
    <mergeCell ref="C1:P1"/>
    <mergeCell ref="C3:P3"/>
    <mergeCell ref="C4:P4"/>
    <mergeCell ref="C5:P5"/>
    <mergeCell ref="C6:P6"/>
    <mergeCell ref="C7:H7"/>
    <mergeCell ref="I7:L7"/>
    <mergeCell ref="M7:O7"/>
    <mergeCell ref="C8:H8"/>
    <mergeCell ref="I8:L8"/>
    <mergeCell ref="M8:O8"/>
    <mergeCell ref="C9:H9"/>
    <mergeCell ref="I9:L9"/>
    <mergeCell ref="M9:O9"/>
  </mergeCells>
  <conditionalFormatting sqref="C22:E22 C4 H22:O22">
    <cfRule type="cellIs" dxfId="0" priority="49" operator="greaterThan">
      <formula>0</formula>
    </cfRule>
  </conditionalFormatting>
  <conditionalFormatting sqref="C21:E21 H21:O21">
    <cfRule type="expression" dxfId="1" priority="48">
      <formula>ISERROR(C21)</formula>
    </cfRule>
  </conditionalFormatting>
  <conditionalFormatting sqref="C21:E21 H21:O21">
    <cfRule type="cellIs" dxfId="1" priority="47" operator="equal">
      <formula>0</formula>
    </cfRule>
  </conditionalFormatting>
  <conditionalFormatting sqref="C21:E21 H21:O21">
    <cfRule type="cellIs" dxfId="3" priority="46" operator="greaterThan">
      <formula>0</formula>
    </cfRule>
  </conditionalFormatting>
  <conditionalFormatting sqref="C27:O27 D29:O29 D33:O33">
    <cfRule type="cellIs" dxfId="0" priority="45" operator="notEqual">
      <formula>VALUE(C26)</formula>
    </cfRule>
  </conditionalFormatting>
  <conditionalFormatting sqref="C8:O8 C10:O10 C12:O12 C14:O14 C16:O16 C27:O27 D29:O29 D31:O31 D33:O33 D35:O35 D37:O37 D25:O25 D39:O39 D41:O41">
    <cfRule type="expression" dxfId="10" priority="41">
      <formula>ISBLANK(C8)</formula>
    </cfRule>
  </conditionalFormatting>
  <conditionalFormatting sqref="C29">
    <cfRule type="cellIs" dxfId="0" priority="43" operator="notEqual">
      <formula>VALUE(C28)</formula>
    </cfRule>
  </conditionalFormatting>
  <conditionalFormatting sqref="C29">
    <cfRule type="expression" dxfId="10" priority="42">
      <formula>ISBLANK(C29)</formula>
    </cfRule>
  </conditionalFormatting>
  <conditionalFormatting sqref="C8:O8 C10:O10 C12:O12 C14:O14 C16:O16 C31:O31 D35:O35 D37:O37 D25:O25 D39:O39 D41:O41">
    <cfRule type="cellIs" dxfId="0" priority="44" operator="notEqual">
      <formula>C7</formula>
    </cfRule>
  </conditionalFormatting>
  <conditionalFormatting sqref="C31">
    <cfRule type="expression" dxfId="10" priority="40">
      <formula>ISBLANK(C31)</formula>
    </cfRule>
  </conditionalFormatting>
  <conditionalFormatting sqref="C33">
    <cfRule type="cellIs" dxfId="0" priority="39" operator="notEqual">
      <formula>VALUE(C32)</formula>
    </cfRule>
  </conditionalFormatting>
  <conditionalFormatting sqref="C33">
    <cfRule type="expression" dxfId="10" priority="38">
      <formula>ISBLANK(C33)</formula>
    </cfRule>
  </conditionalFormatting>
  <conditionalFormatting sqref="C35">
    <cfRule type="cellIs" dxfId="0" priority="37" operator="notEqual">
      <formula>C34</formula>
    </cfRule>
  </conditionalFormatting>
  <conditionalFormatting sqref="C35">
    <cfRule type="expression" dxfId="10" priority="36">
      <formula>ISBLANK(C35)</formula>
    </cfRule>
  </conditionalFormatting>
  <conditionalFormatting sqref="C37">
    <cfRule type="cellIs" dxfId="0" priority="35" operator="notEqual">
      <formula>C36</formula>
    </cfRule>
  </conditionalFormatting>
  <conditionalFormatting sqref="C37">
    <cfRule type="expression" dxfId="10" priority="34">
      <formula>ISBLANK(C37)</formula>
    </cfRule>
  </conditionalFormatting>
  <conditionalFormatting sqref="C6">
    <cfRule type="expression" dxfId="10" priority="32">
      <formula>ISBLANK(C6)</formula>
    </cfRule>
    <cfRule type="cellIs" dxfId="0" priority="33" operator="notEqual">
      <formula>C5</formula>
    </cfRule>
  </conditionalFormatting>
  <conditionalFormatting sqref="C25">
    <cfRule type="cellIs" dxfId="0" priority="31" operator="notEqual">
      <formula>C24</formula>
    </cfRule>
  </conditionalFormatting>
  <conditionalFormatting sqref="C25">
    <cfRule type="expression" dxfId="10" priority="30">
      <formula>ISBLANK(C25)</formula>
    </cfRule>
  </conditionalFormatting>
  <conditionalFormatting sqref="C39">
    <cfRule type="cellIs" dxfId="0" priority="29" operator="notEqual">
      <formula>C38</formula>
    </cfRule>
  </conditionalFormatting>
  <conditionalFormatting sqref="C39">
    <cfRule type="expression" dxfId="10" priority="28">
      <formula>ISBLANK(C39)</formula>
    </cfRule>
  </conditionalFormatting>
  <conditionalFormatting sqref="C41">
    <cfRule type="cellIs" dxfId="0" priority="27" operator="notEqual">
      <formula>C40</formula>
    </cfRule>
  </conditionalFormatting>
  <conditionalFormatting sqref="C41">
    <cfRule type="expression" dxfId="10" priority="26">
      <formula>ISBLANK(C41)</formula>
    </cfRule>
  </conditionalFormatting>
  <conditionalFormatting sqref="C24:O41">
    <cfRule type="expression" dxfId="1" priority="25" stopIfTrue="1">
      <formula>OR(C$22="Free",C$22="Telenor",C$22="Mtel",C$22="Telenor&amp;Mtel")</formula>
    </cfRule>
  </conditionalFormatting>
  <conditionalFormatting sqref="F22:G22">
    <cfRule type="cellIs" dxfId="0" priority="24" operator="greaterThan">
      <formula>0</formula>
    </cfRule>
  </conditionalFormatting>
  <conditionalFormatting sqref="F21:G21">
    <cfRule type="expression" dxfId="1" priority="23">
      <formula>ISERROR(F21)</formula>
    </cfRule>
  </conditionalFormatting>
  <conditionalFormatting sqref="F21:G21">
    <cfRule type="cellIs" dxfId="1" priority="22" operator="equal">
      <formula>0</formula>
    </cfRule>
  </conditionalFormatting>
  <conditionalFormatting sqref="F21:G21">
    <cfRule type="cellIs" dxfId="3" priority="21" operator="greaterThan">
      <formula>0</formula>
    </cfRule>
  </conditionalFormatting>
  <conditionalFormatting sqref="C19">
    <cfRule type="cellIs" dxfId="1" priority="19" operator="equal">
      <formula>0</formula>
    </cfRule>
    <cfRule type="expression" dxfId="95" priority="20">
      <formula>ISERROR(C19)</formula>
    </cfRule>
  </conditionalFormatting>
  <conditionalFormatting sqref="D19:O19">
    <cfRule type="cellIs" dxfId="1" priority="17" operator="equal">
      <formula>0</formula>
    </cfRule>
    <cfRule type="expression" dxfId="95" priority="18">
      <formula>ISERROR(D19)</formula>
    </cfRule>
  </conditionalFormatting>
  <conditionalFormatting sqref="P22">
    <cfRule type="cellIs" dxfId="0" priority="11" operator="greaterThan">
      <formula>0</formula>
    </cfRule>
  </conditionalFormatting>
  <conditionalFormatting sqref="P21">
    <cfRule type="expression" dxfId="1" priority="10">
      <formula>ISERROR(P21)</formula>
    </cfRule>
  </conditionalFormatting>
  <conditionalFormatting sqref="P21">
    <cfRule type="cellIs" dxfId="1" priority="9" operator="equal">
      <formula>0</formula>
    </cfRule>
  </conditionalFormatting>
  <conditionalFormatting sqref="P21">
    <cfRule type="cellIs" dxfId="3" priority="8" operator="greaterThan">
      <formula>0</formula>
    </cfRule>
  </conditionalFormatting>
  <conditionalFormatting sqref="P27 P29 P33">
    <cfRule type="cellIs" dxfId="0" priority="7" operator="notEqual">
      <formula>VALUE(P26)</formula>
    </cfRule>
  </conditionalFormatting>
  <conditionalFormatting sqref="P8 P10 P12 P14 P16 P27 P29 P31 P33 P35 P37 P25 P39 P41">
    <cfRule type="expression" dxfId="10" priority="5">
      <formula>ISBLANK(P8)</formula>
    </cfRule>
  </conditionalFormatting>
  <conditionalFormatting sqref="P8 P10 P12 P14 P16 P31 P35 P37 P25 P39 P41">
    <cfRule type="cellIs" dxfId="0" priority="6" operator="notEqual">
      <formula>P7</formula>
    </cfRule>
  </conditionalFormatting>
  <conditionalFormatting sqref="P24:P41">
    <cfRule type="expression" dxfId="1" priority="4" stopIfTrue="1">
      <formula>OR(P$22="Free",P$22="Telenor",P$22="Mtel",P$22="Telenor&amp;Mtel")</formula>
    </cfRule>
  </conditionalFormatting>
  <conditionalFormatting sqref="P19">
    <cfRule type="cellIs" dxfId="1" priority="2" operator="equal">
      <formula>0</formula>
    </cfRule>
    <cfRule type="expression" dxfId="1" priority="3">
      <formula>ISERROR(P19)</formula>
    </cfRule>
  </conditionalFormatting>
  <conditionalFormatting sqref="C23:P23">
    <cfRule type="cellIs" dxfId="0" priority="1" operator="greaterThan">
      <formula>0</formula>
    </cfRule>
  </conditionalFormatting>
  <dataValidations count="165">
    <dataValidation type="list" xr:uid="{48DB8458-3E91-46C3-B660-5409F3F3BBEF}" sqref="C2" showErrorMessage="1" errorTitle="An invalid feedback was entered" error="Please choose feedback from drop down only.">
      <formula1>"1,2,3"</formula1>
    </dataValidation>
    <dataValidation type="list" xr:uid="{5340334A-CCB7-4289-9E0C-04B350A2B701}" sqref="D2" showErrorMessage="1" errorTitle="An invalid feedback was entered" error="Please choose feedback from drop down only.">
      <formula1>"1,2,3"</formula1>
    </dataValidation>
    <dataValidation type="list" xr:uid="{FCFBB579-867C-4E3F-B330-DB7CD5EFFF62}" sqref="E2" showErrorMessage="1" errorTitle="An invalid feedback was entered" error="Please choose feedback from drop down only.">
      <formula1>"1,2,3"</formula1>
    </dataValidation>
    <dataValidation type="list" xr:uid="{883FADAD-35D1-41BF-B49F-4B5FB429B249}" sqref="F2" showErrorMessage="1" errorTitle="An invalid feedback was entered" error="Please choose feedback from drop down only.">
      <formula1>"1,2,3"</formula1>
    </dataValidation>
    <dataValidation type="list" xr:uid="{FFB7364A-ED9C-44DF-9EDD-D330012CC1EB}" sqref="G2" showErrorMessage="1" errorTitle="An invalid feedback was entered" error="Please choose feedback from drop down only.">
      <formula1>"1,2,3"</formula1>
    </dataValidation>
    <dataValidation type="list" xr:uid="{75802D4D-0A3C-4AAE-B79A-D595517048A0}" sqref="H2" showErrorMessage="1" errorTitle="An invalid feedback was entered" error="Please choose feedback from drop down only.">
      <formula1>"1,2,3"</formula1>
    </dataValidation>
    <dataValidation type="list" xr:uid="{C61CB4E0-B8CA-4ECF-8868-E5A325C1CD2C}" sqref="I2" showErrorMessage="1" errorTitle="An invalid feedback was entered" error="Please choose feedback from drop down only.">
      <formula1>"1,2,3"</formula1>
    </dataValidation>
    <dataValidation type="list" xr:uid="{39709726-058D-4279-A2D6-AAF89935EE1E}" sqref="J2" showErrorMessage="1" errorTitle="An invalid feedback was entered" error="Please choose feedback from drop down only.">
      <formula1>"1,2,3"</formula1>
    </dataValidation>
    <dataValidation type="list" xr:uid="{8CEAA146-DB09-46B0-A385-3A73007FFA1B}" sqref="K2" showErrorMessage="1" errorTitle="An invalid feedback was entered" error="Please choose feedback from drop down only.">
      <formula1>"1,2,3"</formula1>
    </dataValidation>
    <dataValidation type="list" xr:uid="{FBBE00D4-8E72-4BEF-89D2-AF3108335FED}" sqref="L2" showErrorMessage="1" errorTitle="An invalid feedback was entered" error="Please choose feedback from drop down only.">
      <formula1>"1,2,3"</formula1>
    </dataValidation>
    <dataValidation type="list" xr:uid="{D45C767D-FBD9-4825-ACBF-17EA06D45614}" sqref="M2" showErrorMessage="1" errorTitle="An invalid feedback was entered" error="Please choose feedback from drop down only.">
      <formula1>"1,2,3"</formula1>
    </dataValidation>
    <dataValidation type="list" xr:uid="{83055E63-1FCE-43F3-AF63-35E8883A01AB}" sqref="N2" showErrorMessage="1" errorTitle="An invalid feedback was entered" error="Please choose feedback from drop down only.">
      <formula1>"1,2,3"</formula1>
    </dataValidation>
    <dataValidation type="list" xr:uid="{BFA77A50-1608-4E80-8330-E3DCB2F0E8A2}" sqref="O2" showErrorMessage="1" errorTitle="An invalid feedback was entered" error="Please choose feedback from drop down only.">
      <formula1>"1,2,3"</formula1>
    </dataValidation>
    <dataValidation type="list" xr:uid="{CCAA8065-176F-481C-8F6A-018A60314DB9}" sqref="P2" showErrorMessage="1" errorTitle="An invalid feedback was entered" error="Please choose feedback from drop down only.">
      <formula1>"1,2,3"</formula1>
    </dataValidation>
    <dataValidation type="list" xr:uid="{811DDA57-FFB2-45E6-9A41-224F28470B82}" sqref="Q2" showErrorMessage="1" errorTitle="An invalid feedback was entered" error="Please choose feedback from drop down only.">
      <formula1>"1,2,3"</formula1>
    </dataValidation>
    <dataValidation type="list" xr:uid="{14352917-777A-4EE0-A57E-B859B59EC3C2}" sqref="C17" showErrorMessage="1" errorTitle="An invalid feedback was entered" error="Please choose feedback from drop down only.">
      <formula1>"1-2,3-4,5-6,7-8,9-10,N/A"</formula1>
    </dataValidation>
    <dataValidation type="list" xr:uid="{0EED57A7-00E2-4030-9E3B-88DEE74F3FF2}" sqref="D17" showErrorMessage="1" errorTitle="An invalid feedback was entered" error="Please choose feedback from drop down only.">
      <formula1>"1-2,3-4,5-6,7-8,9-10,N/A"</formula1>
    </dataValidation>
    <dataValidation type="list" xr:uid="{3B9203B3-1C77-4AD5-BD1C-164428235BD5}" sqref="E17" showErrorMessage="1" errorTitle="An invalid feedback was entered" error="Please choose feedback from drop down only.">
      <formula1>"1-2,3-4,5-6,7-8,9-10,N/A"</formula1>
    </dataValidation>
    <dataValidation type="list" xr:uid="{9AC4075C-3E3C-42FD-9C51-5DF365EB00FD}" sqref="F17" showErrorMessage="1" errorTitle="An invalid feedback was entered" error="Please choose feedback from drop down only.">
      <formula1>"1-2,3-4,5-6,7-8,9-10,N/A"</formula1>
    </dataValidation>
    <dataValidation type="list" xr:uid="{1F088D4B-817A-4299-8B48-8C0A8C6A8167}" sqref="G17" showErrorMessage="1" errorTitle="An invalid feedback was entered" error="Please choose feedback from drop down only.">
      <formula1>"1-2,3-4,5-6,7-8,9-10,N/A"</formula1>
    </dataValidation>
    <dataValidation type="list" xr:uid="{922409CB-7F21-43C6-80B9-F2ADA811A451}" sqref="H17" showErrorMessage="1" errorTitle="An invalid feedback was entered" error="Please choose feedback from drop down only.">
      <formula1>"1-2,3-4,5-6,7-8,9-10,N/A"</formula1>
    </dataValidation>
    <dataValidation type="list" xr:uid="{DF6C69F0-BC76-43BE-AC19-A121FEE61AFE}" sqref="I17" showErrorMessage="1" errorTitle="An invalid feedback was entered" error="Please choose feedback from drop down only.">
      <formula1>"1-2,3-4,5-6,7-8,9-10,N/A"</formula1>
    </dataValidation>
    <dataValidation type="list" xr:uid="{DF981CB7-738A-4A3C-AD52-C1DD347D8583}" sqref="J17" showErrorMessage="1" errorTitle="An invalid feedback was entered" error="Please choose feedback from drop down only.">
      <formula1>"1-2,3-4,5-6,7-8,9-10,N/A"</formula1>
    </dataValidation>
    <dataValidation type="list" xr:uid="{FF0A7B6C-4694-4442-AAA3-6C93D5DBD8A0}" sqref="K17" showErrorMessage="1" errorTitle="An invalid feedback was entered" error="Please choose feedback from drop down only.">
      <formula1>"1-2,3-4,5-6,7-8,9-10,N/A"</formula1>
    </dataValidation>
    <dataValidation type="list" xr:uid="{7FE6F6FB-38E5-4D5D-8C71-3BB127D6D975}" sqref="L17" showErrorMessage="1" errorTitle="An invalid feedback was entered" error="Please choose feedback from drop down only.">
      <formula1>"1-2,3-4,5-6,7-8,9-10,N/A"</formula1>
    </dataValidation>
    <dataValidation type="list" xr:uid="{997B22E6-E2F0-4F57-9FD3-1089680837AA}" sqref="M17" showErrorMessage="1" errorTitle="An invalid feedback was entered" error="Please choose feedback from drop down only.">
      <formula1>"1-2,3-4,5-6,7-8,9-10,N/A"</formula1>
    </dataValidation>
    <dataValidation type="list" xr:uid="{FE8CCA93-51FB-4677-8D4B-88055C3368B9}" sqref="N17" showErrorMessage="1" errorTitle="An invalid feedback was entered" error="Please choose feedback from drop down only.">
      <formula1>"1-2,3-4,5-6,7-8,9-10,N/A"</formula1>
    </dataValidation>
    <dataValidation type="list" xr:uid="{C0A71A8A-8B04-4AA4-9C5A-2F41BEFBE8F1}" sqref="O17" showErrorMessage="1" errorTitle="An invalid feedback was entered" error="Please choose feedback from drop down only.">
      <formula1>"1-2,3-4,5-6,7-8,9-10,N/A"</formula1>
    </dataValidation>
    <dataValidation type="list" xr:uid="{5C2AB2EE-F6C3-4499-AD60-9D7E412C1D50}" sqref="P17" showErrorMessage="1" errorTitle="An invalid feedback was entered" error="Please choose feedback from drop down only.">
      <formula1>"1-2,3-4,5-6,7-8,9-10,N/A"</formula1>
    </dataValidation>
    <dataValidation type="list" xr:uid="{949CCA74-2AF2-4C6D-BD6A-C28D8D99E155}" sqref="Q17" showErrorMessage="1" errorTitle="An invalid feedback was entered" error="Please choose feedback from drop down only.">
      <formula1>"1-2,3-4,5-6,7-8,9-10,N/A"</formula1>
    </dataValidation>
    <dataValidation type="list" xr:uid="{D496BB85-8080-43D7-B9DF-4AFD18565169}" sqref="C10" showErrorMessage="1" errorTitle="An invalid feedback was entered" error="Please choose feedback from drop down only.">
      <formula1>"STK Top,STK Bottom,STKx2,DTK Top,DTK Bottom,DTKx2,None"</formula1>
    </dataValidation>
    <dataValidation type="list" xr:uid="{74D897E2-0B39-4C02-9151-48699DF8CFC2}" sqref="D10" showErrorMessage="1" errorTitle="An invalid feedback was entered" error="Please choose feedback from drop down only.">
      <formula1>"STK Top,STK Bottom,STKx2,DTK Top,DTK Bottom,DTKx2,None"</formula1>
    </dataValidation>
    <dataValidation type="list" xr:uid="{5823D0C6-26B6-4B80-B464-11815CC5ECCD}" sqref="E10" showErrorMessage="1" errorTitle="An invalid feedback was entered" error="Please choose feedback from drop down only.">
      <formula1>"STK Top,STK Bottom,STKx2,DTK Top,DTK Bottom,DTKx2,None"</formula1>
    </dataValidation>
    <dataValidation type="list" xr:uid="{D38410EE-44D3-4922-B511-356AE021A61D}" sqref="F10" showErrorMessage="1" errorTitle="An invalid feedback was entered" error="Please choose feedback from drop down only.">
      <formula1>"STK Top,STK Bottom,STKx2,DTK Top,DTK Bottom,DTKx2,None"</formula1>
    </dataValidation>
    <dataValidation type="list" xr:uid="{FCD9C09A-0951-4643-BF67-E3A7BDC1FF87}" sqref="G10" showErrorMessage="1" errorTitle="An invalid feedback was entered" error="Please choose feedback from drop down only.">
      <formula1>"STK Top,STK Bottom,STKx2,DTK Top,DTK Bottom,DTKx2,None"</formula1>
    </dataValidation>
    <dataValidation type="list" xr:uid="{8AACEDE0-C2AD-451B-8CDB-2C34FBBCAEC5}" sqref="H10" showErrorMessage="1" errorTitle="An invalid feedback was entered" error="Please choose feedback from drop down only.">
      <formula1>"STK Top,STK Bottom,STKx2,DTK Top,DTK Bottom,DTKx2,None"</formula1>
    </dataValidation>
    <dataValidation type="list" xr:uid="{CEE6CB20-F33B-4F6F-A9C8-8D64A70E0A86}" sqref="I10" showErrorMessage="1" errorTitle="An invalid feedback was entered" error="Please choose feedback from drop down only.">
      <formula1>"STK Top,STK Bottom,STKx2,DTK Top,DTK Bottom,DTKx2,None"</formula1>
    </dataValidation>
    <dataValidation type="list" xr:uid="{7AD4C309-5493-4858-8488-624D5D1872EC}" sqref="J10" showErrorMessage="1" errorTitle="An invalid feedback was entered" error="Please choose feedback from drop down only.">
      <formula1>"STK Top,STK Bottom,STKx2,DTK Top,DTK Bottom,DTKx2,None"</formula1>
    </dataValidation>
    <dataValidation type="list" xr:uid="{D94C5205-DEEB-4C7E-A8A5-3529ED7DFC51}" sqref="K10" showErrorMessage="1" errorTitle="An invalid feedback was entered" error="Please choose feedback from drop down only.">
      <formula1>"STK Top,STK Bottom,STKx2,DTK Top,DTK Bottom,DTKx2,None"</formula1>
    </dataValidation>
    <dataValidation type="list" xr:uid="{C0C62E1F-C382-493E-8C14-CB5AD5528246}" sqref="L10" showErrorMessage="1" errorTitle="An invalid feedback was entered" error="Please choose feedback from drop down only.">
      <formula1>"STK Top,STK Bottom,STKx2,DTK Top,DTK Bottom,DTKx2,None"</formula1>
    </dataValidation>
    <dataValidation type="list" xr:uid="{8B2B4E22-D100-4609-A602-4923CA78C959}" sqref="M10" showErrorMessage="1" errorTitle="An invalid feedback was entered" error="Please choose feedback from drop down only.">
      <formula1>"STK Top,STK Bottom,STKx2,DTK Top,DTK Bottom,DTKx2,None"</formula1>
    </dataValidation>
    <dataValidation type="list" xr:uid="{80E288D5-B27A-436B-BD25-F0944DA259D3}" sqref="N10" showErrorMessage="1" errorTitle="An invalid feedback was entered" error="Please choose feedback from drop down only.">
      <formula1>"STK Top,STK Bottom,STKx2,DTK Top,DTK Bottom,DTKx2,None"</formula1>
    </dataValidation>
    <dataValidation type="list" xr:uid="{CCAEC1CC-4F73-4E94-BCF2-9BF8CCC8664D}" sqref="O10" showErrorMessage="1" errorTitle="An invalid feedback was entered" error="Please choose feedback from drop down only.">
      <formula1>"STK Top,STK Bottom,STKx2,DTK Top,DTK Bottom,DTKx2,None"</formula1>
    </dataValidation>
    <dataValidation type="list" xr:uid="{F4AE1753-67B8-4F7F-AC67-DE4490B234C2}" sqref="P10" showErrorMessage="1" errorTitle="An invalid feedback was entered" error="Please choose feedback from drop down only.">
      <formula1>"STK Top,STK Bottom,STKx2,DTK Top,DTK Bottom,DTKx2,None"</formula1>
    </dataValidation>
    <dataValidation type="list" xr:uid="{6265096A-ECFC-427D-9A49-00D66AD72737}" sqref="Q10" showErrorMessage="1" errorTitle="An invalid feedback was entered" error="Please choose feedback from drop down only.">
      <formula1>"STK Top,STK Bottom,STKx2,DTK Top,DTK Bottom,DTKx2,None"</formula1>
    </dataValidation>
    <dataValidation type="list" xr:uid="{64F50149-0FED-40C8-B0C8-32D02974C430}" sqref="C23" showErrorMessage="1" errorTitle="An invalid feedback was entered" error="Please choose feedback from drop down only.">
      <formula1>"Yetel,Bulsatcom,A1,Yetel&amp;A1,N/A"</formula1>
    </dataValidation>
    <dataValidation type="list" xr:uid="{046B139E-C8A6-4BB8-91DC-2C04DE5BF424}" sqref="D23" showErrorMessage="1" errorTitle="An invalid feedback was entered" error="Please choose feedback from drop down only.">
      <formula1>"Yetel,Bulsatcom,A1,Yetel&amp;A1,N/A"</formula1>
    </dataValidation>
    <dataValidation type="list" xr:uid="{970C1244-7F62-4FAA-A0FE-3D22F2EA7C0E}" sqref="E23" showErrorMessage="1" errorTitle="An invalid feedback was entered" error="Please choose feedback from drop down only.">
      <formula1>"Yetel,Bulsatcom,A1,Yetel&amp;A1,N/A"</formula1>
    </dataValidation>
    <dataValidation type="list" xr:uid="{0172948B-FEDD-455B-AC36-1CDC72BD79EC}" sqref="F23" showErrorMessage="1" errorTitle="An invalid feedback was entered" error="Please choose feedback from drop down only.">
      <formula1>"Yetel,Bulsatcom,A1,Yetel&amp;A1,N/A"</formula1>
    </dataValidation>
    <dataValidation type="list" xr:uid="{39982869-FA43-4640-882D-68BE027BA518}" sqref="G23" showErrorMessage="1" errorTitle="An invalid feedback was entered" error="Please choose feedback from drop down only.">
      <formula1>"Yetel,Bulsatcom,A1,Yetel&amp;A1,N/A"</formula1>
    </dataValidation>
    <dataValidation type="list" xr:uid="{C71E7B51-69B2-4383-A055-A29446C398A8}" sqref="H23" showErrorMessage="1" errorTitle="An invalid feedback was entered" error="Please choose feedback from drop down only.">
      <formula1>"Yetel,Bulsatcom,A1,Yetel&amp;A1,N/A"</formula1>
    </dataValidation>
    <dataValidation type="list" xr:uid="{73E22F8C-7A0E-4C6B-A773-0EE5A280A9F4}" sqref="I23" showErrorMessage="1" errorTitle="An invalid feedback was entered" error="Please choose feedback from drop down only.">
      <formula1>"Yetel,Bulsatcom,A1,Yetel&amp;A1,N/A"</formula1>
    </dataValidation>
    <dataValidation type="list" xr:uid="{7ADA232E-B1F3-437E-9020-D976A2A0BE69}" sqref="J23" showErrorMessage="1" errorTitle="An invalid feedback was entered" error="Please choose feedback from drop down only.">
      <formula1>"Yetel,Bulsatcom,A1,Yetel&amp;A1,N/A"</formula1>
    </dataValidation>
    <dataValidation type="list" xr:uid="{50BE4055-71BF-4ACF-88DD-D09BF0C916BA}" sqref="K23" showErrorMessage="1" errorTitle="An invalid feedback was entered" error="Please choose feedback from drop down only.">
      <formula1>"Yetel,Bulsatcom,A1,Yetel&amp;A1,N/A"</formula1>
    </dataValidation>
    <dataValidation type="list" xr:uid="{34146DCD-038F-4198-A3FE-8444E9A76139}" sqref="L23" showErrorMessage="1" errorTitle="An invalid feedback was entered" error="Please choose feedback from drop down only.">
      <formula1>"Yetel,Bulsatcom,A1,Yetel&amp;A1,N/A"</formula1>
    </dataValidation>
    <dataValidation type="list" xr:uid="{27CC9080-EFCB-4F4C-AA0C-5EB666220F43}" sqref="M23" showErrorMessage="1" errorTitle="An invalid feedback was entered" error="Please choose feedback from drop down only.">
      <formula1>"Yetel,Bulsatcom,A1,Yetel&amp;A1,N/A"</formula1>
    </dataValidation>
    <dataValidation type="list" xr:uid="{0CC81394-22CD-40A6-A926-61CA05617AB3}" sqref="N23" showErrorMessage="1" errorTitle="An invalid feedback was entered" error="Please choose feedback from drop down only.">
      <formula1>"Yetel,Bulsatcom,A1,Yetel&amp;A1,N/A"</formula1>
    </dataValidation>
    <dataValidation type="list" xr:uid="{FCCD72E7-9751-436D-B2EE-A35DBAAF8695}" sqref="O23" showErrorMessage="1" errorTitle="An invalid feedback was entered" error="Please choose feedback from drop down only.">
      <formula1>"Yetel,Bulsatcom,A1,Yetel&amp;A1,N/A"</formula1>
    </dataValidation>
    <dataValidation type="list" xr:uid="{2B0899A9-840A-400D-BAA5-BA9FFCAD795E}" sqref="P23" showErrorMessage="1" errorTitle="An invalid feedback was entered" error="Please choose feedback from drop down only.">
      <formula1>"Yetel,Bulsatcom,A1,Yetel&amp;A1,N/A"</formula1>
    </dataValidation>
    <dataValidation type="list" xr:uid="{B71E24B8-AEC0-47F5-85A0-13E520B6C816}" sqref="Q23" showErrorMessage="1" errorTitle="An invalid feedback was entered" error="Please choose feedback from drop down only.">
      <formula1>"Yetel,Bulsatcom,A1,Yetel&amp;A1,N/A"</formula1>
    </dataValidation>
    <dataValidation type="list" xr:uid="{2421FE3F-C5C4-4333-A44E-64674D5F1509}" sqref="C31" showErrorMessage="1" errorTitle="An invalid feedback was entered" error="Please choose feedback from drop down only.">
      <formula1>"1/2,5/4,7/8,RRU TOP JUMPER,N/A"</formula1>
    </dataValidation>
    <dataValidation type="list" xr:uid="{494360E1-1CD0-4F33-BAEE-82817437467A}" sqref="D31" showErrorMessage="1" errorTitle="An invalid feedback was entered" error="Please choose feedback from drop down only.">
      <formula1>"1/2,5/4,7/8,RRU TOP JUMPER,N/A"</formula1>
    </dataValidation>
    <dataValidation type="list" xr:uid="{6382EEC8-D6C2-478B-88D4-F9D144C1B21F}" sqref="E31" showErrorMessage="1" errorTitle="An invalid feedback was entered" error="Please choose feedback from drop down only.">
      <formula1>"1/2,5/4,7/8,RRU TOP JUMPER,N/A"</formula1>
    </dataValidation>
    <dataValidation type="list" xr:uid="{80FD29AA-4C09-4F00-850A-5E9B98EE821F}" sqref="F31" showErrorMessage="1" errorTitle="An invalid feedback was entered" error="Please choose feedback from drop down only.">
      <formula1>"1/2,5/4,7/8,RRU TOP JUMPER,N/A"</formula1>
    </dataValidation>
    <dataValidation type="list" xr:uid="{16DD7CBB-597D-457C-82D4-08F9CA81B932}" sqref="G31" showErrorMessage="1" errorTitle="An invalid feedback was entered" error="Please choose feedback from drop down only.">
      <formula1>"1/2,5/4,7/8,RRU TOP JUMPER,N/A"</formula1>
    </dataValidation>
    <dataValidation type="list" xr:uid="{07BA69A1-DEF2-45DE-8D32-6E7540074B44}" sqref="H31" showErrorMessage="1" errorTitle="An invalid feedback was entered" error="Please choose feedback from drop down only.">
      <formula1>"1/2,5/4,7/8,RRU TOP JUMPER,N/A"</formula1>
    </dataValidation>
    <dataValidation type="list" xr:uid="{88DEBD4D-2CEF-4868-9417-C91A404B23A1}" sqref="I31" showErrorMessage="1" errorTitle="An invalid feedback was entered" error="Please choose feedback from drop down only.">
      <formula1>"1/2,5/4,7/8,RRU TOP JUMPER,N/A"</formula1>
    </dataValidation>
    <dataValidation type="list" xr:uid="{F83A8E8F-2882-4559-A345-ADE75497888A}" sqref="J31" showErrorMessage="1" errorTitle="An invalid feedback was entered" error="Please choose feedback from drop down only.">
      <formula1>"1/2,5/4,7/8,RRU TOP JUMPER,N/A"</formula1>
    </dataValidation>
    <dataValidation type="list" xr:uid="{921E0D7F-ABD5-4FD9-8F3D-74AE562F672F}" sqref="K31" showErrorMessage="1" errorTitle="An invalid feedback was entered" error="Please choose feedback from drop down only.">
      <formula1>"1/2,5/4,7/8,RRU TOP JUMPER,N/A"</formula1>
    </dataValidation>
    <dataValidation type="list" xr:uid="{10EB0C44-774C-4D4C-B62C-3161092249E2}" sqref="L31" showErrorMessage="1" errorTitle="An invalid feedback was entered" error="Please choose feedback from drop down only.">
      <formula1>"1/2,5/4,7/8,RRU TOP JUMPER,N/A"</formula1>
    </dataValidation>
    <dataValidation type="list" xr:uid="{51F7909F-C7A2-4C2A-9F7C-5B65847B1F0E}" sqref="M31" showErrorMessage="1" errorTitle="An invalid feedback was entered" error="Please choose feedback from drop down only.">
      <formula1>"1/2,5/4,7/8,RRU TOP JUMPER,N/A"</formula1>
    </dataValidation>
    <dataValidation type="list" xr:uid="{E07DEE4A-403F-4C3F-8F4B-BA6814FE8C27}" sqref="N31" showErrorMessage="1" errorTitle="An invalid feedback was entered" error="Please choose feedback from drop down only.">
      <formula1>"1/2,5/4,7/8,RRU TOP JUMPER,N/A"</formula1>
    </dataValidation>
    <dataValidation type="list" xr:uid="{917D4F33-91C6-427A-9CF0-AB3D422C1B68}" sqref="O31" showErrorMessage="1" errorTitle="An invalid feedback was entered" error="Please choose feedback from drop down only.">
      <formula1>"1/2,5/4,7/8,RRU TOP JUMPER,N/A"</formula1>
    </dataValidation>
    <dataValidation type="list" xr:uid="{E9B47BF5-5954-4AA8-9515-65655C79F9C5}" sqref="P31" showErrorMessage="1" errorTitle="An invalid feedback was entered" error="Please choose feedback from drop down only.">
      <formula1>"1/2,5/4,7/8,RRU TOP JUMPER,N/A"</formula1>
    </dataValidation>
    <dataValidation type="list" xr:uid="{A094A322-A4E7-4D33-AB05-76051D5FEBFC}" sqref="Q31" showErrorMessage="1" errorTitle="An invalid feedback was entered" error="Please choose feedback from drop down only.">
      <formula1>"1/2,5/4,7/8,RRU TOP JUMPER,N/A"</formula1>
    </dataValidation>
    <dataValidation type="list" xr:uid="{B90DEA1C-CCBA-4E9A-B6E7-34E0D6BAB312}" sqref="C4" showErrorMessage="1" errorTitle="An invalid feedback was entered" error="Please choose feedback from drop down only.">
      <formula1>"1,2,3,4,5,6,N/A"</formula1>
    </dataValidation>
    <dataValidation type="list" xr:uid="{BB10AB61-3DEF-4B2B-9428-64699CDA84F1}" sqref="D4" showErrorMessage="1" errorTitle="An invalid feedback was entered" error="Please choose feedback from drop down only.">
      <formula1>"1,2,3,4,5,6,N/A"</formula1>
    </dataValidation>
    <dataValidation type="list" xr:uid="{951ADC40-443B-4741-A4DB-C3A0BA9A07C6}" sqref="E4" showErrorMessage="1" errorTitle="An invalid feedback was entered" error="Please choose feedback from drop down only.">
      <formula1>"1,2,3,4,5,6,N/A"</formula1>
    </dataValidation>
    <dataValidation type="list" xr:uid="{A990D5E3-CA11-405A-9FE7-979AF678B9A5}" sqref="F4" showErrorMessage="1" errorTitle="An invalid feedback was entered" error="Please choose feedback from drop down only.">
      <formula1>"1,2,3,4,5,6,N/A"</formula1>
    </dataValidation>
    <dataValidation type="list" xr:uid="{86A2643B-9FE4-4AA4-B026-7540367A4FBE}" sqref="G4" showErrorMessage="1" errorTitle="An invalid feedback was entered" error="Please choose feedback from drop down only.">
      <formula1>"1,2,3,4,5,6,N/A"</formula1>
    </dataValidation>
    <dataValidation type="list" xr:uid="{4D210A8B-7EC1-4D39-92F9-E6976AA114EA}" sqref="H4" showErrorMessage="1" errorTitle="An invalid feedback was entered" error="Please choose feedback from drop down only.">
      <formula1>"1,2,3,4,5,6,N/A"</formula1>
    </dataValidation>
    <dataValidation type="list" xr:uid="{9CE726A6-F9DA-4049-A072-35BF46893A53}" sqref="I4" showErrorMessage="1" errorTitle="An invalid feedback was entered" error="Please choose feedback from drop down only.">
      <formula1>"1,2,3,4,5,6,N/A"</formula1>
    </dataValidation>
    <dataValidation type="list" xr:uid="{33DD8C66-431F-4B02-B6BB-DCCA7F7D3FE4}" sqref="J4" showErrorMessage="1" errorTitle="An invalid feedback was entered" error="Please choose feedback from drop down only.">
      <formula1>"1,2,3,4,5,6,N/A"</formula1>
    </dataValidation>
    <dataValidation type="list" xr:uid="{663EBF93-2F4E-4EFF-B3D6-C7DF74094EF8}" sqref="K4" showErrorMessage="1" errorTitle="An invalid feedback was entered" error="Please choose feedback from drop down only.">
      <formula1>"1,2,3,4,5,6,N/A"</formula1>
    </dataValidation>
    <dataValidation type="list" xr:uid="{CE04FF83-0BE2-4571-8C13-8D8B46FC773F}" sqref="L4" showErrorMessage="1" errorTitle="An invalid feedback was entered" error="Please choose feedback from drop down only.">
      <formula1>"1,2,3,4,5,6,N/A"</formula1>
    </dataValidation>
    <dataValidation type="list" xr:uid="{E18AB09A-584B-4441-9892-0D1DDDA6FCED}" sqref="M4" showErrorMessage="1" errorTitle="An invalid feedback was entered" error="Please choose feedback from drop down only.">
      <formula1>"1,2,3,4,5,6,N/A"</formula1>
    </dataValidation>
    <dataValidation type="list" xr:uid="{13FA2DB6-472B-409D-A37D-BE4785F61BA1}" sqref="N4" showErrorMessage="1" errorTitle="An invalid feedback was entered" error="Please choose feedback from drop down only.">
      <formula1>"1,2,3,4,5,6,N/A"</formula1>
    </dataValidation>
    <dataValidation type="list" xr:uid="{1DE00236-D62C-4227-AC89-E9F7E16CECFF}" sqref="O4" showErrorMessage="1" errorTitle="An invalid feedback was entered" error="Please choose feedback from drop down only.">
      <formula1>"1,2,3,4,5,6,N/A"</formula1>
    </dataValidation>
    <dataValidation type="list" xr:uid="{1AD1C5A6-ADBA-4BD1-9ADB-0788ED372059}" sqref="P4" showErrorMessage="1" errorTitle="An invalid feedback was entered" error="Please choose feedback from drop down only.">
      <formula1>"1,2,3,4,5,6,N/A"</formula1>
    </dataValidation>
    <dataValidation type="list" xr:uid="{04FA49D4-6D3B-48AA-9FA7-E2F16C465791}" sqref="Q4" showErrorMessage="1" errorTitle="An invalid feedback was entered" error="Please choose feedback from drop down only.">
      <formula1>"1,2,3,4,5,6,N/A"</formula1>
    </dataValidation>
    <dataValidation type="list" xr:uid="{84496BF9-68AC-4E19-B140-84C7510F1FA0}" sqref="C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C0AC0D17-79DF-4E8C-BC28-9638DC1C56B4}" sqref="D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3816B075-FEBF-4314-B84C-4E838B2D8A34}" sqref="E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B92B61B6-3F53-40F4-94E4-1E428E68288C}" sqref="F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E513CCCD-4460-4700-BF1B-7BAE21DC0903}" sqref="G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A6DB93DB-12FD-4163-AF4B-069CE7DF426B}" sqref="H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CB93C7B3-F247-4D1D-882E-9DB4F8D7164C}" sqref="I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34AAA79E-FBA8-422C-8F30-EAB88D6D87AE}" sqref="J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0FD0B8AA-5AAB-43A3-A710-745586F7F076}" sqref="K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95CB0389-24EA-4361-ABBC-68EDEC91E874}" sqref="L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7EA017FA-5301-4FAC-B847-1D6AF4426A2B}" sqref="M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39F0C7EC-3BBC-4A84-BE77-4D968C84E68B}" sqref="N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B22BD0B7-0388-4AE6-AEFC-31E1963E9C37}" sqref="O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E99819DC-62C5-4ADB-B5F3-B4E49E5D115F}" sqref="P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EB7A87EA-1901-425C-8A5F-E6BEE76C3D29}" sqref="Q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9C9201EE-D108-48F6-BAE6-1899ECA44D2B}" sqref="C28" showErrorMessage="1" errorTitle="An invalid feedback was entered" error="Please choose feedback from drop down only.">
      <formula1>"Yes,No,FlexRET"</formula1>
    </dataValidation>
    <dataValidation type="list" xr:uid="{4939D336-7D86-4A1D-BF0A-9685E97386EE}" sqref="D28" showErrorMessage="1" errorTitle="An invalid feedback was entered" error="Please choose feedback from drop down only.">
      <formula1>"Yes,No,FlexRET"</formula1>
    </dataValidation>
    <dataValidation type="list" xr:uid="{ECEDF7C2-6926-498F-8691-73946B7B9CBF}" sqref="E28" showErrorMessage="1" errorTitle="An invalid feedback was entered" error="Please choose feedback from drop down only.">
      <formula1>"Yes,No,FlexRET"</formula1>
    </dataValidation>
    <dataValidation type="list" xr:uid="{74687345-DA22-4384-BA7B-406E99A36CB6}" sqref="F28" showErrorMessage="1" errorTitle="An invalid feedback was entered" error="Please choose feedback from drop down only.">
      <formula1>"Yes,No,FlexRET"</formula1>
    </dataValidation>
    <dataValidation type="list" xr:uid="{49AE797A-99EC-41F1-8243-4F2D39664C0C}" sqref="G28" showErrorMessage="1" errorTitle="An invalid feedback was entered" error="Please choose feedback from drop down only.">
      <formula1>"Yes,No,FlexRET"</formula1>
    </dataValidation>
    <dataValidation type="list" xr:uid="{6F597867-EF95-42FD-97B6-77EFAEA2EB5F}" sqref="H28" showErrorMessage="1" errorTitle="An invalid feedback was entered" error="Please choose feedback from drop down only.">
      <formula1>"Yes,No,FlexRET"</formula1>
    </dataValidation>
    <dataValidation type="list" xr:uid="{11C79BDF-E87D-4723-B60C-018DC03FE64E}" sqref="I28" showErrorMessage="1" errorTitle="An invalid feedback was entered" error="Please choose feedback from drop down only.">
      <formula1>"Yes,No,FlexRET"</formula1>
    </dataValidation>
    <dataValidation type="list" xr:uid="{3A661FAD-1E3C-4CA3-8054-9FC00BA5881A}" sqref="J28" showErrorMessage="1" errorTitle="An invalid feedback was entered" error="Please choose feedback from drop down only.">
      <formula1>"Yes,No,FlexRET"</formula1>
    </dataValidation>
    <dataValidation type="list" xr:uid="{D5F7101D-EB16-4389-BE17-8DD93516006A}" sqref="K28" showErrorMessage="1" errorTitle="An invalid feedback was entered" error="Please choose feedback from drop down only.">
      <formula1>"Yes,No,FlexRET"</formula1>
    </dataValidation>
    <dataValidation type="list" xr:uid="{63289DD6-77F4-46AE-921B-DF5D483030B3}" sqref="L28" showErrorMessage="1" errorTitle="An invalid feedback was entered" error="Please choose feedback from drop down only.">
      <formula1>"Yes,No,FlexRET"</formula1>
    </dataValidation>
    <dataValidation type="list" xr:uid="{F00B4030-CA6E-48D1-82F1-591B83BDFA8C}" sqref="M28" showErrorMessage="1" errorTitle="An invalid feedback was entered" error="Please choose feedback from drop down only.">
      <formula1>"Yes,No,FlexRET"</formula1>
    </dataValidation>
    <dataValidation type="list" xr:uid="{2A0883F1-C1A7-4B1E-B3BA-DFC12ABEB7BF}" sqref="N28" showErrorMessage="1" errorTitle="An invalid feedback was entered" error="Please choose feedback from drop down only.">
      <formula1>"Yes,No,FlexRET"</formula1>
    </dataValidation>
    <dataValidation type="list" xr:uid="{2E6D19E5-8E15-492C-96C6-0497F76DE26C}" sqref="O28" showErrorMessage="1" errorTitle="An invalid feedback was entered" error="Please choose feedback from drop down only.">
      <formula1>"Yes,No,FlexRET"</formula1>
    </dataValidation>
    <dataValidation type="list" xr:uid="{DCCC5ED5-5C27-4EFC-A17F-5CD19233933B}" sqref="P28" showErrorMessage="1" errorTitle="An invalid feedback was entered" error="Please choose feedback from drop down only.">
      <formula1>"Yes,No,FlexRET"</formula1>
    </dataValidation>
    <dataValidation type="list" xr:uid="{A6670DA3-BD17-4A65-9266-6CF111848EBD}" sqref="Q28" showErrorMessage="1" errorTitle="An invalid feedback was entered" error="Please choose feedback from drop down only.">
      <formula1>"Yes,No,FlexRET"</formula1>
    </dataValidation>
    <dataValidation type="list" xr:uid="{1DBA9AC3-307C-4F77-8A6B-3F96F2AF9A86}" sqref="C29" showErrorMessage="1" errorTitle="An invalid feedback was entered" error="Please choose feedback from drop down only.">
      <formula1>"Yes,No,FlexRET"</formula1>
    </dataValidation>
    <dataValidation type="list" xr:uid="{92068BD2-C07E-485B-8A6A-6A765C18ECE6}" sqref="D29" showErrorMessage="1" errorTitle="An invalid feedback was entered" error="Please choose feedback from drop down only.">
      <formula1>"Yes,No,FlexRET"</formula1>
    </dataValidation>
    <dataValidation type="list" xr:uid="{D612555F-DFE6-4545-934A-CF38C24F2135}" sqref="E29" showErrorMessage="1" errorTitle="An invalid feedback was entered" error="Please choose feedback from drop down only.">
      <formula1>"Yes,No,FlexRET"</formula1>
    </dataValidation>
    <dataValidation type="list" xr:uid="{3A100CFD-51EF-4B29-8BD8-4DFF83A59F4D}" sqref="F29" showErrorMessage="1" errorTitle="An invalid feedback was entered" error="Please choose feedback from drop down only.">
      <formula1>"Yes,No,FlexRET"</formula1>
    </dataValidation>
    <dataValidation type="list" xr:uid="{1E07CB1A-52BB-4392-B39B-236263DBC7BD}" sqref="G29" showErrorMessage="1" errorTitle="An invalid feedback was entered" error="Please choose feedback from drop down only.">
      <formula1>"Yes,No,FlexRET"</formula1>
    </dataValidation>
    <dataValidation type="list" xr:uid="{B0136BB5-4201-4024-A76A-4B42BB56E5ED}" sqref="H29" showErrorMessage="1" errorTitle="An invalid feedback was entered" error="Please choose feedback from drop down only.">
      <formula1>"Yes,No,FlexRET"</formula1>
    </dataValidation>
    <dataValidation type="list" xr:uid="{8BFD31A7-06EA-4275-B0EB-E7C654E4861F}" sqref="I29" showErrorMessage="1" errorTitle="An invalid feedback was entered" error="Please choose feedback from drop down only.">
      <formula1>"Yes,No,FlexRET"</formula1>
    </dataValidation>
    <dataValidation type="list" xr:uid="{04E04AD9-1944-4E1D-B14B-DF5B85A5AB81}" sqref="J29" showErrorMessage="1" errorTitle="An invalid feedback was entered" error="Please choose feedback from drop down only.">
      <formula1>"Yes,No,FlexRET"</formula1>
    </dataValidation>
    <dataValidation type="list" xr:uid="{6B026637-B9C3-4A34-90B3-88E2B5C54DB2}" sqref="K29" showErrorMessage="1" errorTitle="An invalid feedback was entered" error="Please choose feedback from drop down only.">
      <formula1>"Yes,No,FlexRET"</formula1>
    </dataValidation>
    <dataValidation type="list" xr:uid="{F557EBA3-ADCD-4ABD-BAC1-55C5FB4C8428}" sqref="L29" showErrorMessage="1" errorTitle="An invalid feedback was entered" error="Please choose feedback from drop down only.">
      <formula1>"Yes,No,FlexRET"</formula1>
    </dataValidation>
    <dataValidation type="list" xr:uid="{38E628DE-5348-4F98-9ACE-4183A15CE568}" sqref="M29" showErrorMessage="1" errorTitle="An invalid feedback was entered" error="Please choose feedback from drop down only.">
      <formula1>"Yes,No,FlexRET"</formula1>
    </dataValidation>
    <dataValidation type="list" xr:uid="{AFD5C987-CF04-4F09-9AF3-959130B886EE}" sqref="N29" showErrorMessage="1" errorTitle="An invalid feedback was entered" error="Please choose feedback from drop down only.">
      <formula1>"Yes,No,FlexRET"</formula1>
    </dataValidation>
    <dataValidation type="list" xr:uid="{2908C5F1-F694-46C7-9EBF-2DD16CE074FB}" sqref="O29" showErrorMessage="1" errorTitle="An invalid feedback was entered" error="Please choose feedback from drop down only.">
      <formula1>"Yes,No,FlexRET"</formula1>
    </dataValidation>
    <dataValidation type="list" xr:uid="{F7B35CB4-B82B-4150-9B5B-358E40FDC549}" sqref="P29" showErrorMessage="1" errorTitle="An invalid feedback was entered" error="Please choose feedback from drop down only.">
      <formula1>"Yes,No,FlexRET"</formula1>
    </dataValidation>
    <dataValidation type="list" xr:uid="{D266E89D-23C0-48F1-8BE3-359411FB8FD9}" sqref="Q29" showErrorMessage="1" errorTitle="An invalid feedback was entered" error="Please choose feedback from drop down only.">
      <formula1>"Yes,No,FlexRET"</formula1>
    </dataValidation>
    <dataValidation type="list" xr:uid="{BEBE2AB3-EAE6-48BE-BF95-49F10733434D}" sqref="C25" showErrorMessage="1" errorTitle="An invalid feedback was entered" error="Please choose feedback from drop down only.">
      <formula1>"G,U,L,NR,GU,UL,GL,GUL,LNR,ULNR,None"</formula1>
    </dataValidation>
    <dataValidation type="list" xr:uid="{61357CEC-BA54-43CF-A5BC-CF7D49053ADD}" sqref="D25" showErrorMessage="1" errorTitle="An invalid feedback was entered" error="Please choose feedback from drop down only.">
      <formula1>"G,U,L,NR,GU,UL,GL,GUL,LNR,ULNR,None"</formula1>
    </dataValidation>
    <dataValidation type="list" xr:uid="{301ECDD3-475B-4B42-A13F-BF0441EA38A5}" sqref="E25" showErrorMessage="1" errorTitle="An invalid feedback was entered" error="Please choose feedback from drop down only.">
      <formula1>"G,U,L,NR,GU,UL,GL,GUL,LNR,ULNR,None"</formula1>
    </dataValidation>
    <dataValidation type="list" xr:uid="{E10292F6-2CCC-490B-9550-B3989C8A9DAC}" sqref="F25" showErrorMessage="1" errorTitle="An invalid feedback was entered" error="Please choose feedback from drop down only.">
      <formula1>"G,U,L,NR,GU,UL,GL,GUL,LNR,ULNR,None"</formula1>
    </dataValidation>
    <dataValidation type="list" xr:uid="{1DFF215C-C6EF-437C-8BF4-AA49E978D466}" sqref="G25" showErrorMessage="1" errorTitle="An invalid feedback was entered" error="Please choose feedback from drop down only.">
      <formula1>"G,U,L,NR,GU,UL,GL,GUL,LNR,ULNR,None"</formula1>
    </dataValidation>
    <dataValidation type="list" xr:uid="{CB8CFC16-B7E6-4CB2-9375-0992C5C55F98}" sqref="H25" showErrorMessage="1" errorTitle="An invalid feedback was entered" error="Please choose feedback from drop down only.">
      <formula1>"G,U,L,NR,GU,UL,GL,GUL,LNR,ULNR,None"</formula1>
    </dataValidation>
    <dataValidation type="list" xr:uid="{55A5989A-2D0E-477A-8F6C-6B959E998A97}" sqref="I25" showErrorMessage="1" errorTitle="An invalid feedback was entered" error="Please choose feedback from drop down only.">
      <formula1>"G,U,L,NR,GU,UL,GL,GUL,LNR,ULNR,None"</formula1>
    </dataValidation>
    <dataValidation type="list" xr:uid="{797CF84A-B6B6-4EFF-A83A-E1CBC2036F74}" sqref="J25" showErrorMessage="1" errorTitle="An invalid feedback was entered" error="Please choose feedback from drop down only.">
      <formula1>"G,U,L,NR,GU,UL,GL,GUL,LNR,ULNR,None"</formula1>
    </dataValidation>
    <dataValidation type="list" xr:uid="{75E4F9C0-351C-47B7-BFE3-D733148BDB4B}" sqref="K25" showErrorMessage="1" errorTitle="An invalid feedback was entered" error="Please choose feedback from drop down only.">
      <formula1>"G,U,L,NR,GU,UL,GL,GUL,LNR,ULNR,None"</formula1>
    </dataValidation>
    <dataValidation type="list" xr:uid="{0001B6CB-7E71-41E4-B551-63BE85D2C277}" sqref="L25" showErrorMessage="1" errorTitle="An invalid feedback was entered" error="Please choose feedback from drop down only.">
      <formula1>"G,U,L,NR,GU,UL,GL,GUL,LNR,ULNR,None"</formula1>
    </dataValidation>
    <dataValidation type="list" xr:uid="{ED7FB007-13E4-4814-9516-6545C98BDA7F}" sqref="M25" showErrorMessage="1" errorTitle="An invalid feedback was entered" error="Please choose feedback from drop down only.">
      <formula1>"G,U,L,NR,GU,UL,GL,GUL,LNR,ULNR,None"</formula1>
    </dataValidation>
    <dataValidation type="list" xr:uid="{A3B6FEEB-6CC4-4D85-A595-8615EF3317CA}" sqref="N25" showErrorMessage="1" errorTitle="An invalid feedback was entered" error="Please choose feedback from drop down only.">
      <formula1>"G,U,L,NR,GU,UL,GL,GUL,LNR,ULNR,None"</formula1>
    </dataValidation>
    <dataValidation type="list" xr:uid="{63B1FB55-7C55-4E1C-A384-8CC12803C2CD}" sqref="O25" showErrorMessage="1" errorTitle="An invalid feedback was entered" error="Please choose feedback from drop down only.">
      <formula1>"G,U,L,NR,GU,UL,GL,GUL,LNR,ULNR,None"</formula1>
    </dataValidation>
    <dataValidation type="list" xr:uid="{5947A5F9-F7E4-4EE6-9BCF-2130A3350041}" sqref="P25" showErrorMessage="1" errorTitle="An invalid feedback was entered" error="Please choose feedback from drop down only.">
      <formula1>"G,U,L,NR,GU,UL,GL,GUL,LNR,ULNR,None"</formula1>
    </dataValidation>
    <dataValidation type="list" xr:uid="{33568F68-4CDA-4EF7-9B15-409A043DA433}" sqref="Q25" showErrorMessage="1" errorTitle="An invalid feedback was entered" error="Please choose feedback from drop down only.">
      <formula1>"G,U,L,NR,GU,UL,GL,GUL,LNR,ULNR,None"</formula1>
    </dataValidation>
    <dataValidation type="list" xr:uid="{298B0DC2-CED3-470F-999E-26F7B57CDB75}" sqref="C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D593A0B3-E7BF-4FA0-8036-7CB64E618D17}" sqref="D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6ED6C7FC-831E-4FE4-9553-99A82CC6106C}" sqref="E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BA0476C3-B07C-42BA-B305-AF16E5AD5855}" sqref="F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0BE5302D-1663-4148-BA41-91D70850CB29}" sqref="G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63394CE5-A380-45C2-886D-E4B983F16EF6}" sqref="H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18344034-2294-4F7D-8BC4-8C9C6780299E}" sqref="I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95678A08-C6C5-4838-AD6A-63F71BC8FDE2}" sqref="J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370576D2-490D-4A44-8F4F-2FFF94ACED9B}" sqref="K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7D80FEB2-8327-4840-8F0D-8FD837AA4208}" sqref="L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B8F70E15-769B-44B3-B639-4A2A18553853}" sqref="M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D6B55126-F05B-4D09-8570-D1CD0BF181C7}" sqref="N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5C6536DD-334A-49F9-A8DD-F3FB9A5A417D}" sqref="O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C3DD24A4-86ED-40F2-863A-593F1AE03CBB}" sqref="P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2BE3D46A-F6AD-4067-9BF0-EC6B716FCE89}" sqref="Q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</dataValidations>
  <pageMargins left="0.7" right="0.7" top="0.75" bottom="0.75" header="0.3" footer="0.3"/>
  <pageSetup orientation="portrait"/>
  <headerFooter/>
  <extLst>
    <ext xmlns:x14="http://schemas.microsoft.com/office/spreadsheetml/2009/9/main" uri="{CCE6A557-97BC-4b89-ADB6-D9C93CAAB3DF}">
      <x14:dataValidations xmlns:xm="http://schemas.microsoft.com/office/excel/2006/main" count="60">
        <x14:dataValidation type="list" xr:uid="{C6606A47-F57E-493F-889B-6C621032E1E5}" error="Please choose feedback from drop down only." errorTitle="An invalid feedback was entered" showErrorMessage="1">
          <x14:formula1>
            <xm:f>Antennas!A:A</xm:f>
          </x14:formula1>
          <xm:sqref>C8</xm:sqref>
        </x14:dataValidation>
        <x14:dataValidation type="list" xr:uid="{F3C4EDB4-E4A8-48D4-A961-ADE4908DD9F1}" error="Please choose feedback from drop down only." errorTitle="An invalid feedback was entered" showErrorMessage="1">
          <x14:formula1>
            <xm:f>Antennas!A:A</xm:f>
          </x14:formula1>
          <xm:sqref>D8</xm:sqref>
        </x14:dataValidation>
        <x14:dataValidation type="list" xr:uid="{89CCED50-58D7-41E8-8B59-47CFCDA905D3}" error="Please choose feedback from drop down only." errorTitle="An invalid feedback was entered" showErrorMessage="1">
          <x14:formula1>
            <xm:f>Antennas!A:A</xm:f>
          </x14:formula1>
          <xm:sqref>E8</xm:sqref>
        </x14:dataValidation>
        <x14:dataValidation type="list" xr:uid="{1BADC051-6DF8-4D78-A741-D82F1CF0FE6E}" error="Please choose feedback from drop down only." errorTitle="An invalid feedback was entered" showErrorMessage="1">
          <x14:formula1>
            <xm:f>Antennas!A:A</xm:f>
          </x14:formula1>
          <xm:sqref>F8</xm:sqref>
        </x14:dataValidation>
        <x14:dataValidation type="list" xr:uid="{1AA27879-53CA-4125-BB03-E8721EEA4DAD}" error="Please choose feedback from drop down only." errorTitle="An invalid feedback was entered" showErrorMessage="1">
          <x14:formula1>
            <xm:f>Antennas!A:A</xm:f>
          </x14:formula1>
          <xm:sqref>G8</xm:sqref>
        </x14:dataValidation>
        <x14:dataValidation type="list" xr:uid="{7BDFD213-86E1-483A-9BAB-120CAA41B084}" error="Please choose feedback from drop down only." errorTitle="An invalid feedback was entered" showErrorMessage="1">
          <x14:formula1>
            <xm:f>Antennas!A:A</xm:f>
          </x14:formula1>
          <xm:sqref>H8</xm:sqref>
        </x14:dataValidation>
        <x14:dataValidation type="list" xr:uid="{309EEF8D-AC05-4E6D-8811-8EBA2141B8DA}" error="Please choose feedback from drop down only." errorTitle="An invalid feedback was entered" showErrorMessage="1">
          <x14:formula1>
            <xm:f>Antennas!A:A</xm:f>
          </x14:formula1>
          <xm:sqref>I8</xm:sqref>
        </x14:dataValidation>
        <x14:dataValidation type="list" xr:uid="{A0CCD2DC-61DA-49F3-A685-9CED36A636FC}" error="Please choose feedback from drop down only." errorTitle="An invalid feedback was entered" showErrorMessage="1">
          <x14:formula1>
            <xm:f>Antennas!A:A</xm:f>
          </x14:formula1>
          <xm:sqref>J8</xm:sqref>
        </x14:dataValidation>
        <x14:dataValidation type="list" xr:uid="{2A0B1F37-B454-4493-AED8-A2F91D0FCFD7}" error="Please choose feedback from drop down only." errorTitle="An invalid feedback was entered" showErrorMessage="1">
          <x14:formula1>
            <xm:f>Antennas!A:A</xm:f>
          </x14:formula1>
          <xm:sqref>K8</xm:sqref>
        </x14:dataValidation>
        <x14:dataValidation type="list" xr:uid="{DDF29A9D-48DA-4583-AC81-DF44691CE4E6}" error="Please choose feedback from drop down only." errorTitle="An invalid feedback was entered" showErrorMessage="1">
          <x14:formula1>
            <xm:f>Antennas!A:A</xm:f>
          </x14:formula1>
          <xm:sqref>L8</xm:sqref>
        </x14:dataValidation>
        <x14:dataValidation type="list" xr:uid="{5859B70B-CC5E-4EBC-BF1D-72DC41A7A248}" error="Please choose feedback from drop down only." errorTitle="An invalid feedback was entered" showErrorMessage="1">
          <x14:formula1>
            <xm:f>Antennas!A:A</xm:f>
          </x14:formula1>
          <xm:sqref>M8</xm:sqref>
        </x14:dataValidation>
        <x14:dataValidation type="list" xr:uid="{627BE526-37E9-4216-AF6A-BC73583F9504}" error="Please choose feedback from drop down only." errorTitle="An invalid feedback was entered" showErrorMessage="1">
          <x14:formula1>
            <xm:f>Antennas!A:A</xm:f>
          </x14:formula1>
          <xm:sqref>N8</xm:sqref>
        </x14:dataValidation>
        <x14:dataValidation type="list" xr:uid="{0A27B9AE-BEBB-4EB6-87CB-07E89053DACE}" error="Please choose feedback from drop down only." errorTitle="An invalid feedback was entered" showErrorMessage="1">
          <x14:formula1>
            <xm:f>Antennas!A:A</xm:f>
          </x14:formula1>
          <xm:sqref>O8</xm:sqref>
        </x14:dataValidation>
        <x14:dataValidation type="list" xr:uid="{2E202A60-4A3D-4683-9BC1-F4B7212DE471}" error="Please choose feedback from drop down only." errorTitle="An invalid feedback was entered" showErrorMessage="1">
          <x14:formula1>
            <xm:f>Antennas!A:A</xm:f>
          </x14:formula1>
          <xm:sqref>P8</xm:sqref>
        </x14:dataValidation>
        <x14:dataValidation type="list" xr:uid="{15C33E16-F8CC-4F64-BB4E-7283E004C724}" error="Please choose feedback from drop down only." errorTitle="An invalid feedback was entered" showErrorMessage="1">
          <x14:formula1>
            <xm:f>Antennas!A:A</xm:f>
          </x14:formula1>
          <xm:sqref>Q8</xm:sqref>
        </x14:dataValidation>
        <x14:dataValidation type="list" xr:uid="{A21D2BE5-5AFA-470D-9A39-FDFB6E0C64F7}" error="Please choose feedback from drop down only." errorTitle="An invalid feedback was entered" showErrorMessage="1">
          <x14:formula1>
            <xm:f>Combiners!A:A</xm:f>
          </x14:formula1>
          <xm:sqref>C39</xm:sqref>
        </x14:dataValidation>
        <x14:dataValidation type="list" xr:uid="{96D30EE9-61A8-4C3D-B59C-16408B2DE277}" error="Please choose feedback from drop down only." errorTitle="An invalid feedback was entered" showErrorMessage="1">
          <x14:formula1>
            <xm:f>Combiners!A:A</xm:f>
          </x14:formula1>
          <xm:sqref>D39</xm:sqref>
        </x14:dataValidation>
        <x14:dataValidation type="list" xr:uid="{0611ED42-C261-432C-9DA8-9E5AB96E95F3}" error="Please choose feedback from drop down only." errorTitle="An invalid feedback was entered" showErrorMessage="1">
          <x14:formula1>
            <xm:f>Combiners!A:A</xm:f>
          </x14:formula1>
          <xm:sqref>E39</xm:sqref>
        </x14:dataValidation>
        <x14:dataValidation type="list" xr:uid="{15352495-5D56-468D-B497-8536C8B9F0BF}" error="Please choose feedback from drop down only." errorTitle="An invalid feedback was entered" showErrorMessage="1">
          <x14:formula1>
            <xm:f>Combiners!A:A</xm:f>
          </x14:formula1>
          <xm:sqref>F39</xm:sqref>
        </x14:dataValidation>
        <x14:dataValidation type="list" xr:uid="{DF54A039-EF87-4295-B41F-C114134B1B52}" error="Please choose feedback from drop down only." errorTitle="An invalid feedback was entered" showErrorMessage="1">
          <x14:formula1>
            <xm:f>Combiners!A:A</xm:f>
          </x14:formula1>
          <xm:sqref>G39</xm:sqref>
        </x14:dataValidation>
        <x14:dataValidation type="list" xr:uid="{C2EF8ED9-B80A-4C4A-B94A-8AC5C406E16D}" error="Please choose feedback from drop down only." errorTitle="An invalid feedback was entered" showErrorMessage="1">
          <x14:formula1>
            <xm:f>Combiners!A:A</xm:f>
          </x14:formula1>
          <xm:sqref>H39</xm:sqref>
        </x14:dataValidation>
        <x14:dataValidation type="list" xr:uid="{C37A67E1-F493-44DF-944E-EF1B857DFE33}" error="Please choose feedback from drop down only." errorTitle="An invalid feedback was entered" showErrorMessage="1">
          <x14:formula1>
            <xm:f>Combiners!A:A</xm:f>
          </x14:formula1>
          <xm:sqref>I39</xm:sqref>
        </x14:dataValidation>
        <x14:dataValidation type="list" xr:uid="{B399507A-194F-49F5-9181-B0A1F00395EA}" error="Please choose feedback from drop down only." errorTitle="An invalid feedback was entered" showErrorMessage="1">
          <x14:formula1>
            <xm:f>Combiners!A:A</xm:f>
          </x14:formula1>
          <xm:sqref>J39</xm:sqref>
        </x14:dataValidation>
        <x14:dataValidation type="list" xr:uid="{7E38E369-E5EA-46BC-9C6E-B7C38006DB39}" error="Please choose feedback from drop down only." errorTitle="An invalid feedback was entered" showErrorMessage="1">
          <x14:formula1>
            <xm:f>Combiners!A:A</xm:f>
          </x14:formula1>
          <xm:sqref>K39</xm:sqref>
        </x14:dataValidation>
        <x14:dataValidation type="list" xr:uid="{2D2AF44D-BAFD-4FA8-A161-2E11B15B1B74}" error="Please choose feedback from drop down only." errorTitle="An invalid feedback was entered" showErrorMessage="1">
          <x14:formula1>
            <xm:f>Combiners!A:A</xm:f>
          </x14:formula1>
          <xm:sqref>L39</xm:sqref>
        </x14:dataValidation>
        <x14:dataValidation type="list" xr:uid="{BE78A3D1-E372-4A9E-9363-081E781EF6DC}" error="Please choose feedback from drop down only." errorTitle="An invalid feedback was entered" showErrorMessage="1">
          <x14:formula1>
            <xm:f>Combiners!A:A</xm:f>
          </x14:formula1>
          <xm:sqref>M39</xm:sqref>
        </x14:dataValidation>
        <x14:dataValidation type="list" xr:uid="{0BAFBB0B-2B82-45BD-8125-37D652E75215}" error="Please choose feedback from drop down only." errorTitle="An invalid feedback was entered" showErrorMessage="1">
          <x14:formula1>
            <xm:f>Combiners!A:A</xm:f>
          </x14:formula1>
          <xm:sqref>N39</xm:sqref>
        </x14:dataValidation>
        <x14:dataValidation type="list" xr:uid="{9B94EB3E-E21D-4B7F-BF53-693AE941ACCC}" error="Please choose feedback from drop down only." errorTitle="An invalid feedback was entered" showErrorMessage="1">
          <x14:formula1>
            <xm:f>Combiners!A:A</xm:f>
          </x14:formula1>
          <xm:sqref>O39</xm:sqref>
        </x14:dataValidation>
        <x14:dataValidation type="list" xr:uid="{7CC0F7C0-953F-4BB0-A267-EB4A0DE58021}" error="Please choose feedback from drop down only." errorTitle="An invalid feedback was entered" showErrorMessage="1">
          <x14:formula1>
            <xm:f>Combiners!A:A</xm:f>
          </x14:formula1>
          <xm:sqref>P39</xm:sqref>
        </x14:dataValidation>
        <x14:dataValidation type="list" xr:uid="{66003D62-ABF9-4F53-8480-62B14813E69E}" error="Please choose feedback from drop down only." errorTitle="An invalid feedback was entered" showErrorMessage="1">
          <x14:formula1>
            <xm:f>Combiners!A:A</xm:f>
          </x14:formula1>
          <xm:sqref>Q39</xm:sqref>
        </x14:dataValidation>
        <x14:dataValidation type="list" xr:uid="{559D4F84-8FF9-44D7-A468-B065942324A6}" error="Please choose feedback from drop down only." errorTitle="An invalid feedback was entered" showErrorMessage="0">
          <x14:formula1>
            <xm:f>RRUs!A:A</xm:f>
          </x14:formula1>
          <xm:sqref>C35</xm:sqref>
        </x14:dataValidation>
        <x14:dataValidation type="list" xr:uid="{CCADE7B8-4645-428F-9587-1D99DA4D9EB7}" error="Please choose feedback from drop down only." errorTitle="An invalid feedback was entered" showErrorMessage="0">
          <x14:formula1>
            <xm:f>RRUs!A:A</xm:f>
          </x14:formula1>
          <xm:sqref>D35</xm:sqref>
        </x14:dataValidation>
        <x14:dataValidation type="list" xr:uid="{6CB8688A-73A1-47E0-B4A0-8526BD773EE9}" error="Please choose feedback from drop down only." errorTitle="An invalid feedback was entered" showErrorMessage="0">
          <x14:formula1>
            <xm:f>RRUs!A:A</xm:f>
          </x14:formula1>
          <xm:sqref>E35</xm:sqref>
        </x14:dataValidation>
        <x14:dataValidation type="list" xr:uid="{98BA208A-4192-4D06-873F-7F991885026E}" error="Please choose feedback from drop down only." errorTitle="An invalid feedback was entered" showErrorMessage="0">
          <x14:formula1>
            <xm:f>RRUs!A:A</xm:f>
          </x14:formula1>
          <xm:sqref>F35</xm:sqref>
        </x14:dataValidation>
        <x14:dataValidation type="list" xr:uid="{609CD51D-BC95-4067-B386-637FC20D6BC5}" error="Please choose feedback from drop down only." errorTitle="An invalid feedback was entered" showErrorMessage="0">
          <x14:formula1>
            <xm:f>RRUs!A:A</xm:f>
          </x14:formula1>
          <xm:sqref>G35</xm:sqref>
        </x14:dataValidation>
        <x14:dataValidation type="list" xr:uid="{6CBC9D9B-D872-45C9-BEB4-2739883554F9}" error="Please choose feedback from drop down only." errorTitle="An invalid feedback was entered" showErrorMessage="0">
          <x14:formula1>
            <xm:f>RRUs!A:A</xm:f>
          </x14:formula1>
          <xm:sqref>H35</xm:sqref>
        </x14:dataValidation>
        <x14:dataValidation type="list" xr:uid="{07B369C5-F523-4546-B041-36CD9DEA6BA4}" error="Please choose feedback from drop down only." errorTitle="An invalid feedback was entered" showErrorMessage="0">
          <x14:formula1>
            <xm:f>RRUs!A:A</xm:f>
          </x14:formula1>
          <xm:sqref>I35</xm:sqref>
        </x14:dataValidation>
        <x14:dataValidation type="list" xr:uid="{0559D6B2-8E0D-4071-98D8-F8EEDC080402}" error="Please choose feedback from drop down only." errorTitle="An invalid feedback was entered" showErrorMessage="0">
          <x14:formula1>
            <xm:f>RRUs!A:A</xm:f>
          </x14:formula1>
          <xm:sqref>J35</xm:sqref>
        </x14:dataValidation>
        <x14:dataValidation type="list" xr:uid="{0E4685D6-435E-42D9-BAB2-D1E08C82652D}" error="Please choose feedback from drop down only." errorTitle="An invalid feedback was entered" showErrorMessage="0">
          <x14:formula1>
            <xm:f>RRUs!A:A</xm:f>
          </x14:formula1>
          <xm:sqref>K35</xm:sqref>
        </x14:dataValidation>
        <x14:dataValidation type="list" xr:uid="{441EFE44-24D2-42C3-9604-90D0C651BEED}" error="Please choose feedback from drop down only." errorTitle="An invalid feedback was entered" showErrorMessage="0">
          <x14:formula1>
            <xm:f>RRUs!A:A</xm:f>
          </x14:formula1>
          <xm:sqref>L35</xm:sqref>
        </x14:dataValidation>
        <x14:dataValidation type="list" xr:uid="{A4D02CFD-FB36-46F8-A908-8C65ED4E2321}" error="Please choose feedback from drop down only." errorTitle="An invalid feedback was entered" showErrorMessage="0">
          <x14:formula1>
            <xm:f>RRUs!A:A</xm:f>
          </x14:formula1>
          <xm:sqref>M35</xm:sqref>
        </x14:dataValidation>
        <x14:dataValidation type="list" xr:uid="{0E54B663-6A3A-433F-B0D2-069370664317}" error="Please choose feedback from drop down only." errorTitle="An invalid feedback was entered" showErrorMessage="0">
          <x14:formula1>
            <xm:f>RRUs!A:A</xm:f>
          </x14:formula1>
          <xm:sqref>N35</xm:sqref>
        </x14:dataValidation>
        <x14:dataValidation type="list" xr:uid="{70E60C0F-C3D7-4490-9E70-AA8378F0EFA4}" error="Please choose feedback from drop down only." errorTitle="An invalid feedback was entered" showErrorMessage="0">
          <x14:formula1>
            <xm:f>RRUs!A:A</xm:f>
          </x14:formula1>
          <xm:sqref>O35</xm:sqref>
        </x14:dataValidation>
        <x14:dataValidation type="list" xr:uid="{AB148E44-3CCB-4B19-BF13-0A2E6129DD39}" error="Please choose feedback from drop down only." errorTitle="An invalid feedback was entered" showErrorMessage="0">
          <x14:formula1>
            <xm:f>RRUs!A:A</xm:f>
          </x14:formula1>
          <xm:sqref>P35</xm:sqref>
        </x14:dataValidation>
        <x14:dataValidation type="list" xr:uid="{CD93D61E-6524-44D0-9423-09BF5F6CB7F9}" error="Please choose feedback from drop down only." errorTitle="An invalid feedback was entered" showErrorMessage="0">
          <x14:formula1>
            <xm:f>RRUs!A:A</xm:f>
          </x14:formula1>
          <xm:sqref>Q35</xm:sqref>
        </x14:dataValidation>
        <x14:dataValidation type="list" xr:uid="{98F28CE8-32D1-406B-A65F-2FA4BC29DCAA}" error="Please choose feedback from drop down only." errorTitle="An invalid feedback was entered" showErrorMessage="1">
          <x14:formula1>
            <xm:f>Combiners!A:A</xm:f>
          </x14:formula1>
          <xm:sqref>C41</xm:sqref>
        </x14:dataValidation>
        <x14:dataValidation type="list" xr:uid="{0E82ED40-9448-4AC9-B9B1-7BBA329B842C}" error="Please choose feedback from drop down only." errorTitle="An invalid feedback was entered" showErrorMessage="1">
          <x14:formula1>
            <xm:f>Combiners!A:A</xm:f>
          </x14:formula1>
          <xm:sqref>D41</xm:sqref>
        </x14:dataValidation>
        <x14:dataValidation type="list" xr:uid="{706BF14A-CE0C-4723-AA53-4E29B267E151}" error="Please choose feedback from drop down only." errorTitle="An invalid feedback was entered" showErrorMessage="1">
          <x14:formula1>
            <xm:f>Combiners!A:A</xm:f>
          </x14:formula1>
          <xm:sqref>E41</xm:sqref>
        </x14:dataValidation>
        <x14:dataValidation type="list" xr:uid="{2020F89A-3F9D-4696-B061-3DB4836E5021}" error="Please choose feedback from drop down only." errorTitle="An invalid feedback was entered" showErrorMessage="1">
          <x14:formula1>
            <xm:f>Combiners!A:A</xm:f>
          </x14:formula1>
          <xm:sqref>F41</xm:sqref>
        </x14:dataValidation>
        <x14:dataValidation type="list" xr:uid="{F80C6DAC-0B80-4DAD-BECE-FF2137D45E3E}" error="Please choose feedback from drop down only." errorTitle="An invalid feedback was entered" showErrorMessage="1">
          <x14:formula1>
            <xm:f>Combiners!A:A</xm:f>
          </x14:formula1>
          <xm:sqref>G41</xm:sqref>
        </x14:dataValidation>
        <x14:dataValidation type="list" xr:uid="{7BFEF0E5-E5CF-415E-8735-468E81475E87}" error="Please choose feedback from drop down only." errorTitle="An invalid feedback was entered" showErrorMessage="1">
          <x14:formula1>
            <xm:f>Combiners!A:A</xm:f>
          </x14:formula1>
          <xm:sqref>H41</xm:sqref>
        </x14:dataValidation>
        <x14:dataValidation type="list" xr:uid="{34A70BCD-07EB-4ACF-90F4-497692529CDC}" error="Please choose feedback from drop down only." errorTitle="An invalid feedback was entered" showErrorMessage="1">
          <x14:formula1>
            <xm:f>Combiners!A:A</xm:f>
          </x14:formula1>
          <xm:sqref>I41</xm:sqref>
        </x14:dataValidation>
        <x14:dataValidation type="list" xr:uid="{7EA0A394-F52B-4B62-99BD-A59BA52033E7}" error="Please choose feedback from drop down only." errorTitle="An invalid feedback was entered" showErrorMessage="1">
          <x14:formula1>
            <xm:f>Combiners!A:A</xm:f>
          </x14:formula1>
          <xm:sqref>J41</xm:sqref>
        </x14:dataValidation>
        <x14:dataValidation type="list" xr:uid="{1F29A7A7-4A27-4941-8C3A-001C51250616}" error="Please choose feedback from drop down only." errorTitle="An invalid feedback was entered" showErrorMessage="1">
          <x14:formula1>
            <xm:f>Combiners!A:A</xm:f>
          </x14:formula1>
          <xm:sqref>K41</xm:sqref>
        </x14:dataValidation>
        <x14:dataValidation type="list" xr:uid="{85FA392B-874C-448D-874A-D2042EB15405}" error="Please choose feedback from drop down only." errorTitle="An invalid feedback was entered" showErrorMessage="1">
          <x14:formula1>
            <xm:f>Combiners!A:A</xm:f>
          </x14:formula1>
          <xm:sqref>L41</xm:sqref>
        </x14:dataValidation>
        <x14:dataValidation type="list" xr:uid="{D56CA0CC-F811-454F-B121-2BE6BAFE2A02}" error="Please choose feedback from drop down only." errorTitle="An invalid feedback was entered" showErrorMessage="1">
          <x14:formula1>
            <xm:f>Combiners!A:A</xm:f>
          </x14:formula1>
          <xm:sqref>M41</xm:sqref>
        </x14:dataValidation>
        <x14:dataValidation type="list" xr:uid="{29B065C4-6F78-491B-9C90-7954F7AED4F5}" error="Please choose feedback from drop down only." errorTitle="An invalid feedback was entered" showErrorMessage="1">
          <x14:formula1>
            <xm:f>Combiners!A:A</xm:f>
          </x14:formula1>
          <xm:sqref>N41</xm:sqref>
        </x14:dataValidation>
        <x14:dataValidation type="list" xr:uid="{DFBFA845-1A9A-4FE6-90B6-E0901E0EB4FA}" error="Please choose feedback from drop down only." errorTitle="An invalid feedback was entered" showErrorMessage="1">
          <x14:formula1>
            <xm:f>Combiners!A:A</xm:f>
          </x14:formula1>
          <xm:sqref>O41</xm:sqref>
        </x14:dataValidation>
        <x14:dataValidation type="list" xr:uid="{0EA73D57-C020-4AC8-9EA0-AC4435F31F03}" error="Please choose feedback from drop down only." errorTitle="An invalid feedback was entered" showErrorMessage="1">
          <x14:formula1>
            <xm:f>Combiners!A:A</xm:f>
          </x14:formula1>
          <xm:sqref>P41</xm:sqref>
        </x14:dataValidation>
        <x14:dataValidation type="list" xr:uid="{130DE942-8B5F-4E9C-9690-3FEA3A5D3BC8}" error="Please choose feedback from drop down only." errorTitle="An invalid feedback was entered" showErrorMessage="1">
          <x14:formula1>
            <xm:f>Combiners!A:A</xm:f>
          </x14:formula1>
          <xm:sqref>Q41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9"/>
  <dimension ref="A1:U45"/>
  <sheetViews>
    <sheetView zoomScale="90" zoomScaleNormal="90" workbookViewId="0">
      <selection activeCell="C8" sqref="C8:H8"/>
    </sheetView>
  </sheetViews>
  <sheetFormatPr defaultColWidth="9.1328125" defaultRowHeight="12.75"/>
  <cols>
    <col min="1" max="1" bestFit="1" width="10.265625" customWidth="1" style="6"/>
    <col min="2" max="2" bestFit="1" width="40.1328125" customWidth="1" style="7"/>
    <col min="3" max="7" width="9.1328125" customWidth="1" style="21"/>
    <col min="8" max="8" bestFit="1" width="9.3984375" customWidth="1" style="21"/>
    <col min="9" max="16384" width="9.1328125" customWidth="1" style="21"/>
  </cols>
  <sheetData>
    <row r="1" ht="25.15" customHeight="1">
      <c r="A1" s="197"/>
      <c r="B1" s="198"/>
      <c r="C1" s="258" t="s">
        <v>110</v>
      </c>
      <c r="D1" s="258"/>
      <c r="E1" s="258"/>
      <c r="F1" s="258"/>
      <c r="G1" s="258"/>
      <c r="H1" s="258"/>
      <c r="I1" s="258"/>
      <c r="J1" s="258"/>
      <c r="K1" s="258"/>
      <c r="L1" s="258"/>
      <c r="M1" s="258"/>
      <c r="N1" s="258"/>
      <c r="O1" s="258"/>
      <c r="P1" s="258"/>
    </row>
    <row r="2" ht="18">
      <c r="A2" s="33"/>
      <c r="B2" s="14" t="s">
        <v>1</v>
      </c>
      <c r="C2" s="217">
        <v>1</v>
      </c>
      <c r="D2" s="251"/>
      <c r="E2" s="251"/>
      <c r="F2" s="251"/>
      <c r="G2" s="251"/>
      <c r="H2" s="219"/>
      <c r="I2" s="252">
        <v>2</v>
      </c>
      <c r="J2" s="253"/>
      <c r="K2" s="253"/>
      <c r="L2" s="254"/>
      <c r="M2" s="252">
        <v>3</v>
      </c>
      <c r="N2" s="253"/>
      <c r="O2" s="255"/>
      <c r="P2" s="72">
        <v>4</v>
      </c>
    </row>
    <row r="3" ht="17.25">
      <c r="A3" s="241"/>
      <c r="B3" s="12" t="s">
        <v>2</v>
      </c>
      <c r="C3" s="211"/>
      <c r="D3" s="212"/>
      <c r="E3" s="212"/>
      <c r="F3" s="212"/>
      <c r="G3" s="212"/>
      <c r="H3" s="212"/>
      <c r="I3" s="212"/>
      <c r="J3" s="212"/>
      <c r="K3" s="212"/>
      <c r="L3" s="212"/>
      <c r="M3" s="212"/>
      <c r="N3" s="212"/>
      <c r="O3" s="212"/>
      <c r="P3" s="213"/>
    </row>
    <row r="4" ht="25.15" s="22" customFormat="1">
      <c r="A4" s="241"/>
      <c r="B4" s="9" t="s">
        <v>3</v>
      </c>
      <c r="C4" s="270"/>
      <c r="D4" s="271"/>
      <c r="E4" s="271"/>
      <c r="F4" s="271"/>
      <c r="G4" s="271"/>
      <c r="H4" s="271"/>
      <c r="I4" s="271"/>
      <c r="J4" s="271"/>
      <c r="K4" s="271"/>
      <c r="L4" s="271"/>
      <c r="M4" s="271"/>
      <c r="N4" s="271"/>
      <c r="O4" s="271"/>
      <c r="P4" s="272"/>
    </row>
    <row r="5" ht="24.75">
      <c r="A5" s="241"/>
      <c r="B5" s="13" t="s">
        <v>4</v>
      </c>
      <c r="C5" s="263"/>
      <c r="D5" s="264"/>
      <c r="E5" s="264"/>
      <c r="F5" s="264"/>
      <c r="G5" s="264"/>
      <c r="H5" s="264"/>
      <c r="I5" s="264"/>
      <c r="J5" s="264"/>
      <c r="K5" s="264"/>
      <c r="L5" s="264"/>
      <c r="M5" s="264"/>
      <c r="N5" s="264"/>
      <c r="O5" s="264"/>
      <c r="P5" s="265"/>
    </row>
    <row r="6" ht="25.15" s="22" customFormat="1">
      <c r="A6" s="241"/>
      <c r="B6" s="32" t="s">
        <v>5</v>
      </c>
      <c r="C6" s="248"/>
      <c r="D6" s="249"/>
      <c r="E6" s="249"/>
      <c r="F6" s="249"/>
      <c r="G6" s="249"/>
      <c r="H6" s="249"/>
      <c r="I6" s="249"/>
      <c r="J6" s="249"/>
      <c r="K6" s="249"/>
      <c r="L6" s="249"/>
      <c r="M6" s="249"/>
      <c r="N6" s="249"/>
      <c r="O6" s="249"/>
      <c r="P6" s="250"/>
    </row>
    <row r="7" ht="17.25">
      <c r="A7" s="241"/>
      <c r="B7" s="8" t="s">
        <v>6</v>
      </c>
      <c r="C7" s="226"/>
      <c r="D7" s="227"/>
      <c r="E7" s="227"/>
      <c r="F7" s="227"/>
      <c r="G7" s="227"/>
      <c r="H7" s="228"/>
      <c r="I7" s="227"/>
      <c r="J7" s="227"/>
      <c r="K7" s="227"/>
      <c r="L7" s="228"/>
      <c r="M7" s="227"/>
      <c r="N7" s="227"/>
      <c r="O7" s="228"/>
      <c r="P7" s="94"/>
    </row>
    <row r="8" ht="17.65" s="22" customFormat="1">
      <c r="A8" s="241"/>
      <c r="B8" s="9" t="s">
        <v>7</v>
      </c>
      <c r="C8" s="229"/>
      <c r="D8" s="230"/>
      <c r="E8" s="230"/>
      <c r="F8" s="230"/>
      <c r="G8" s="230"/>
      <c r="H8" s="231"/>
      <c r="I8" s="229"/>
      <c r="J8" s="230"/>
      <c r="K8" s="230"/>
      <c r="L8" s="231"/>
      <c r="M8" s="229"/>
      <c r="N8" s="230"/>
      <c r="O8" s="231"/>
      <c r="P8" s="95"/>
    </row>
    <row r="9" ht="17.25">
      <c r="A9" s="241"/>
      <c r="B9" s="8" t="s">
        <v>8</v>
      </c>
      <c r="C9" s="211"/>
      <c r="D9" s="212"/>
      <c r="E9" s="212"/>
      <c r="F9" s="212"/>
      <c r="G9" s="212"/>
      <c r="H9" s="213"/>
      <c r="I9" s="212"/>
      <c r="J9" s="212"/>
      <c r="K9" s="212"/>
      <c r="L9" s="213"/>
      <c r="M9" s="212"/>
      <c r="N9" s="212"/>
      <c r="O9" s="213"/>
      <c r="P9" s="94"/>
    </row>
    <row r="10" ht="17.65" s="22" customFormat="1">
      <c r="A10" s="241"/>
      <c r="B10" s="10" t="s">
        <v>9</v>
      </c>
      <c r="C10" s="229"/>
      <c r="D10" s="230"/>
      <c r="E10" s="230"/>
      <c r="F10" s="230"/>
      <c r="G10" s="230"/>
      <c r="H10" s="231"/>
      <c r="I10" s="229"/>
      <c r="J10" s="230"/>
      <c r="K10" s="230"/>
      <c r="L10" s="231"/>
      <c r="M10" s="229"/>
      <c r="N10" s="230"/>
      <c r="O10" s="231"/>
      <c r="P10" s="95"/>
    </row>
    <row r="11" ht="17.25">
      <c r="A11" s="241"/>
      <c r="B11" s="8" t="s">
        <v>10</v>
      </c>
      <c r="C11" s="211"/>
      <c r="D11" s="212"/>
      <c r="E11" s="212"/>
      <c r="F11" s="212"/>
      <c r="G11" s="212"/>
      <c r="H11" s="213"/>
      <c r="I11" s="212"/>
      <c r="J11" s="212"/>
      <c r="K11" s="212"/>
      <c r="L11" s="213"/>
      <c r="M11" s="212"/>
      <c r="N11" s="212"/>
      <c r="O11" s="213"/>
      <c r="P11" s="94"/>
    </row>
    <row r="12" ht="17.65" s="22" customFormat="1">
      <c r="A12" s="241"/>
      <c r="B12" s="10" t="s">
        <v>11</v>
      </c>
      <c r="C12" s="214"/>
      <c r="D12" s="215"/>
      <c r="E12" s="215"/>
      <c r="F12" s="215"/>
      <c r="G12" s="215"/>
      <c r="H12" s="216"/>
      <c r="I12" s="214"/>
      <c r="J12" s="215"/>
      <c r="K12" s="215"/>
      <c r="L12" s="216"/>
      <c r="M12" s="214"/>
      <c r="N12" s="215"/>
      <c r="O12" s="216"/>
      <c r="P12" s="95"/>
    </row>
    <row r="13" ht="17.25">
      <c r="A13" s="241"/>
      <c r="B13" s="8" t="s">
        <v>12</v>
      </c>
      <c r="C13" s="211"/>
      <c r="D13" s="212"/>
      <c r="E13" s="212"/>
      <c r="F13" s="212"/>
      <c r="G13" s="212"/>
      <c r="H13" s="213"/>
      <c r="I13" s="212"/>
      <c r="J13" s="212"/>
      <c r="K13" s="212"/>
      <c r="L13" s="213"/>
      <c r="M13" s="212"/>
      <c r="N13" s="212"/>
      <c r="O13" s="213"/>
      <c r="P13" s="94"/>
    </row>
    <row r="14" ht="17.65" s="22" customFormat="1">
      <c r="A14" s="241"/>
      <c r="B14" s="10" t="s">
        <v>13</v>
      </c>
      <c r="C14" s="208"/>
      <c r="D14" s="209"/>
      <c r="E14" s="209"/>
      <c r="F14" s="209"/>
      <c r="G14" s="209"/>
      <c r="H14" s="210"/>
      <c r="I14" s="208"/>
      <c r="J14" s="209"/>
      <c r="K14" s="209"/>
      <c r="L14" s="210"/>
      <c r="M14" s="208"/>
      <c r="N14" s="209"/>
      <c r="O14" s="210"/>
      <c r="P14" s="96"/>
    </row>
    <row r="15" ht="17.25">
      <c r="A15" s="241"/>
      <c r="B15" s="8" t="s">
        <v>14</v>
      </c>
      <c r="C15" s="211"/>
      <c r="D15" s="212"/>
      <c r="E15" s="212"/>
      <c r="F15" s="212"/>
      <c r="G15" s="212"/>
      <c r="H15" s="213"/>
      <c r="I15" s="212"/>
      <c r="J15" s="212"/>
      <c r="K15" s="212"/>
      <c r="L15" s="213"/>
      <c r="M15" s="212"/>
      <c r="N15" s="212"/>
      <c r="O15" s="213"/>
      <c r="P15" s="97"/>
    </row>
    <row r="16" ht="17.25" s="22" customFormat="1">
      <c r="A16" s="241"/>
      <c r="B16" s="68" t="s">
        <v>15</v>
      </c>
      <c r="C16" s="199"/>
      <c r="D16" s="200"/>
      <c r="E16" s="200"/>
      <c r="F16" s="200"/>
      <c r="G16" s="200"/>
      <c r="H16" s="201"/>
      <c r="I16" s="202"/>
      <c r="J16" s="203"/>
      <c r="K16" s="203"/>
      <c r="L16" s="204"/>
      <c r="M16" s="202"/>
      <c r="N16" s="203"/>
      <c r="O16" s="204"/>
      <c r="P16" s="98"/>
    </row>
    <row r="17" ht="17.25">
      <c r="A17" s="256"/>
      <c r="B17" s="70" t="s">
        <v>16</v>
      </c>
      <c r="C17" s="63" t="s">
        <v>17</v>
      </c>
      <c r="D17" s="64" t="s">
        <v>18</v>
      </c>
      <c r="E17" s="64" t="s">
        <v>19</v>
      </c>
      <c r="F17" s="64" t="s">
        <v>20</v>
      </c>
      <c r="G17" s="64" t="s">
        <v>21</v>
      </c>
      <c r="H17" s="65" t="s">
        <v>22</v>
      </c>
      <c r="I17" s="63" t="s">
        <v>17</v>
      </c>
      <c r="J17" s="64" t="s">
        <v>18</v>
      </c>
      <c r="K17" s="64" t="s">
        <v>19</v>
      </c>
      <c r="L17" s="65" t="s">
        <v>20</v>
      </c>
      <c r="M17" s="63" t="s">
        <v>17</v>
      </c>
      <c r="N17" s="64" t="s">
        <v>18</v>
      </c>
      <c r="O17" s="65" t="s">
        <v>19</v>
      </c>
      <c r="P17" s="76" t="s">
        <v>17</v>
      </c>
    </row>
    <row r="18" ht="17.25">
      <c r="A18" s="256"/>
      <c r="B18" s="70" t="s">
        <v>23</v>
      </c>
      <c r="C18" s="63"/>
      <c r="D18" s="64"/>
      <c r="E18" s="64"/>
      <c r="F18" s="64"/>
      <c r="G18" s="64"/>
      <c r="H18" s="65"/>
      <c r="I18" s="63"/>
      <c r="J18" s="64"/>
      <c r="K18" s="64"/>
      <c r="L18" s="65"/>
      <c r="M18" s="63"/>
      <c r="N18" s="64"/>
      <c r="O18" s="65"/>
      <c r="P18" s="77"/>
    </row>
    <row r="19" ht="17.25">
      <c r="A19" s="256"/>
      <c r="B19" s="71" t="s">
        <v>24</v>
      </c>
      <c r="C19" s="105">
        <f>VLOOKUP(C8,AntennasPortName!A:H,2,FALSE)</f>
      </c>
      <c r="D19" s="105">
        <f>VLOOKUP(C8,AntennasPortName!A:H,3,FALSE)</f>
      </c>
      <c r="E19" s="105">
        <f>VLOOKUP(C8,AntennasPortName!A:H,4,FALSE)</f>
      </c>
      <c r="F19" s="105">
        <f>VLOOKUP(C8,AntennasPortName!A:H,5,FALSE)</f>
      </c>
      <c r="G19" s="105">
        <f>VLOOKUP(C8,AntennasPortName!A:H,6,FALSE)</f>
      </c>
      <c r="H19" s="105">
        <f>VLOOKUP(C8,AntennasPortName!A:H,7,FALSE)</f>
      </c>
      <c r="I19" s="105">
        <f>VLOOKUP(I8,AntennasPortName!A:H,2,FALSE)</f>
      </c>
      <c r="J19" s="105">
        <f>VLOOKUP(I8,AntennasPortName!A:H,3,FALSE)</f>
      </c>
      <c r="K19" s="105">
        <f>VLOOKUP(I8,AntennasPortName!A:H,4,FALSE)</f>
      </c>
      <c r="L19" s="105">
        <f>VLOOKUP(I8,AntennasPortName!A:H,5,FALSE)</f>
      </c>
      <c r="M19" s="105">
        <f>VLOOKUP(M8,AntennasPortName!A:H,2,FALSE)</f>
      </c>
      <c r="N19" s="105">
        <f>VLOOKUP(M8,AntennasPortName!A:H,3,FALSE)</f>
      </c>
      <c r="O19" s="105">
        <f>VLOOKUP(M8,AntennasPortName!A:H,4,FALSE)</f>
      </c>
      <c r="P19" s="105">
        <f>VLOOKUP(P8,AntennasPortName!A:H,2,FALSE)</f>
      </c>
      <c r="Q19" s="106"/>
    </row>
    <row r="20" ht="17.25">
      <c r="A20" s="241"/>
      <c r="B20" s="69" t="s">
        <v>25</v>
      </c>
      <c r="C20" s="61"/>
      <c r="D20" s="62"/>
      <c r="E20" s="62"/>
      <c r="F20" s="62"/>
      <c r="G20" s="62"/>
      <c r="H20" s="62"/>
      <c r="I20" s="61"/>
      <c r="J20" s="62"/>
      <c r="K20" s="62"/>
      <c r="L20" s="66"/>
      <c r="M20" s="67"/>
      <c r="N20" s="62"/>
      <c r="O20" s="66"/>
      <c r="P20" s="66"/>
    </row>
    <row r="21" ht="17.65">
      <c r="A21" s="241"/>
      <c r="B21" s="18" t="s">
        <v>26</v>
      </c>
      <c r="C21" s="42">
        <f>VLOOKUP(C8,Antennas!A:H,2,FALSE)</f>
      </c>
      <c r="D21" s="43">
        <f>VLOOKUP(C8,Antennas!A:H,3,FALSE)</f>
      </c>
      <c r="E21" s="43">
        <f>VLOOKUP(C8,Antennas!A:H,4,FALSE)</f>
      </c>
      <c r="F21" s="43">
        <f>VLOOKUP(C8,Antennas!A:H,5,FALSE)</f>
      </c>
      <c r="G21" s="43">
        <f>VLOOKUP(C8,Antennas!A:H,6,FALSE)</f>
      </c>
      <c r="H21" s="43">
        <f>VLOOKUP(C8,Antennas!A:H,7,FALSE)</f>
      </c>
      <c r="I21" s="43">
        <f>VLOOKUP(I8,Antennas!A:H,2,FALSE)</f>
      </c>
      <c r="J21" s="43">
        <f>VLOOKUP(I8,Antennas!A:H,3,FALSE)</f>
      </c>
      <c r="K21" s="43">
        <f>VLOOKUP(I8,Antennas!A:H,4,FALSE)</f>
      </c>
      <c r="L21" s="44">
        <f>VLOOKUP(I8,Antennas!A:H,5,FALSE)</f>
      </c>
      <c r="M21" s="45">
        <f>VLOOKUP(M8,Antennas!A:H,2,FALSE)</f>
      </c>
      <c r="N21" s="43">
        <f>VLOOKUP(M8,Antennas!A:H,3,FALSE)</f>
      </c>
      <c r="O21" s="42">
        <f>VLOOKUP(M8,Antennas!A:H,4,FALSE)</f>
      </c>
      <c r="P21" s="42">
        <f>VLOOKUP(P8,Antennas!A:H,2,FALSE)</f>
      </c>
      <c r="R21" s="17"/>
    </row>
    <row r="22" ht="17.65" s="22" customFormat="1">
      <c r="A22" s="241"/>
      <c r="B22" s="28" t="s">
        <v>27</v>
      </c>
      <c r="C22" s="46"/>
      <c r="D22" s="47"/>
      <c r="E22" s="47"/>
      <c r="F22" s="47"/>
      <c r="G22" s="47"/>
      <c r="H22" s="47"/>
      <c r="I22" s="47"/>
      <c r="J22" s="47"/>
      <c r="K22" s="47"/>
      <c r="L22" s="48"/>
      <c r="M22" s="49"/>
      <c r="N22" s="47"/>
      <c r="O22" s="50"/>
      <c r="P22" s="50"/>
    </row>
    <row r="23" ht="17.65" s="22" customFormat="1">
      <c r="A23" s="241"/>
      <c r="B23" s="28" t="s">
        <v>28</v>
      </c>
      <c r="C23" s="46"/>
      <c r="D23" s="46"/>
      <c r="E23" s="46"/>
      <c r="F23" s="46"/>
      <c r="G23" s="46"/>
      <c r="H23" s="46"/>
      <c r="I23" s="46"/>
      <c r="J23" s="46"/>
      <c r="K23" s="46"/>
      <c r="L23" s="46"/>
      <c r="M23" s="46"/>
      <c r="N23" s="46"/>
      <c r="O23" s="46"/>
      <c r="P23" s="46"/>
    </row>
    <row r="24" ht="17.25">
      <c r="A24" s="241"/>
      <c r="B24" s="11" t="s">
        <v>29</v>
      </c>
      <c r="C24" s="25"/>
      <c r="D24" s="25"/>
      <c r="E24" s="25"/>
      <c r="F24" s="25"/>
      <c r="G24" s="25"/>
      <c r="H24" s="25"/>
      <c r="I24" s="25"/>
      <c r="J24" s="25"/>
      <c r="K24" s="25"/>
      <c r="L24" s="25"/>
      <c r="M24" s="25"/>
      <c r="N24" s="25"/>
      <c r="O24" s="25"/>
      <c r="P24" s="25"/>
    </row>
    <row r="25" ht="17.65" s="22" customFormat="1">
      <c r="A25" s="241"/>
      <c r="B25" s="29" t="s">
        <v>30</v>
      </c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78"/>
    </row>
    <row r="26" ht="17.25">
      <c r="A26" s="241"/>
      <c r="B26" s="27" t="s">
        <v>31</v>
      </c>
      <c r="C26" s="24"/>
      <c r="D26" s="24"/>
      <c r="E26" s="24"/>
      <c r="F26" s="24"/>
      <c r="G26" s="24"/>
      <c r="H26" s="24"/>
      <c r="I26" s="24"/>
      <c r="J26" s="24"/>
      <c r="K26" s="24"/>
      <c r="L26" s="24"/>
      <c r="M26" s="24"/>
      <c r="N26" s="24"/>
      <c r="O26" s="24"/>
      <c r="P26" s="24"/>
    </row>
    <row r="27" ht="17.65" s="22" customFormat="1">
      <c r="A27" s="241"/>
      <c r="B27" s="30" t="s">
        <v>32</v>
      </c>
      <c r="C27" s="52"/>
      <c r="D27" s="52"/>
      <c r="E27" s="52"/>
      <c r="F27" s="52"/>
      <c r="G27" s="52"/>
      <c r="H27" s="52"/>
      <c r="I27" s="52"/>
      <c r="J27" s="52"/>
      <c r="K27" s="52"/>
      <c r="L27" s="52"/>
      <c r="M27" s="52"/>
      <c r="N27" s="52"/>
      <c r="O27" s="52"/>
      <c r="P27" s="52"/>
    </row>
    <row r="28" ht="17.25">
      <c r="A28" s="241"/>
      <c r="B28" s="11" t="s">
        <v>33</v>
      </c>
      <c r="C28" s="24"/>
      <c r="D28" s="24"/>
      <c r="E28" s="24"/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</row>
    <row r="29" ht="17.65" s="22" customFormat="1">
      <c r="A29" s="241"/>
      <c r="B29" s="31" t="s">
        <v>34</v>
      </c>
      <c r="C29" s="51"/>
      <c r="D29" s="51"/>
      <c r="E29" s="51"/>
      <c r="F29" s="51"/>
      <c r="G29" s="51"/>
      <c r="H29" s="51"/>
      <c r="I29" s="51"/>
      <c r="J29" s="51"/>
      <c r="K29" s="51"/>
      <c r="L29" s="51"/>
      <c r="M29" s="51"/>
      <c r="N29" s="51"/>
      <c r="O29" s="51"/>
      <c r="P29" s="78"/>
    </row>
    <row r="30" ht="17.25">
      <c r="A30" s="241"/>
      <c r="B30" s="27" t="s">
        <v>35</v>
      </c>
      <c r="C30" s="24"/>
      <c r="D30" s="24"/>
      <c r="E30" s="24"/>
      <c r="F30" s="24"/>
      <c r="G30" s="24"/>
      <c r="H30" s="24"/>
      <c r="I30" s="24"/>
      <c r="J30" s="24"/>
      <c r="K30" s="24"/>
      <c r="L30" s="24"/>
      <c r="M30" s="24"/>
      <c r="N30" s="24"/>
      <c r="O30" s="24"/>
      <c r="P30" s="24"/>
    </row>
    <row r="31" ht="17.65" s="22" customFormat="1">
      <c r="A31" s="241"/>
      <c r="B31" s="30" t="s">
        <v>36</v>
      </c>
      <c r="C31" s="53"/>
      <c r="D31" s="53"/>
      <c r="E31" s="53"/>
      <c r="F31" s="53"/>
      <c r="G31" s="53"/>
      <c r="H31" s="53"/>
      <c r="I31" s="53"/>
      <c r="J31" s="53"/>
      <c r="K31" s="53"/>
      <c r="L31" s="53"/>
      <c r="M31" s="53"/>
      <c r="N31" s="53"/>
      <c r="O31" s="53"/>
      <c r="P31" s="79"/>
    </row>
    <row r="32" ht="17.25">
      <c r="A32" s="241"/>
      <c r="B32" s="11" t="s">
        <v>37</v>
      </c>
      <c r="C32" s="25"/>
      <c r="D32" s="25"/>
      <c r="E32" s="25"/>
      <c r="F32" s="25"/>
      <c r="G32" s="25"/>
      <c r="H32" s="25"/>
      <c r="I32" s="25"/>
      <c r="J32" s="25"/>
      <c r="K32" s="25"/>
      <c r="L32" s="25"/>
      <c r="M32" s="25"/>
      <c r="N32" s="25"/>
      <c r="O32" s="25"/>
      <c r="P32" s="25"/>
    </row>
    <row r="33" ht="17.65" s="22" customFormat="1">
      <c r="A33" s="241"/>
      <c r="B33" s="30" t="s">
        <v>38</v>
      </c>
      <c r="C33" s="51"/>
      <c r="D33" s="51"/>
      <c r="E33" s="51"/>
      <c r="F33" s="51"/>
      <c r="G33" s="51"/>
      <c r="H33" s="51"/>
      <c r="I33" s="51"/>
      <c r="J33" s="51"/>
      <c r="K33" s="51"/>
      <c r="L33" s="51"/>
      <c r="M33" s="51"/>
      <c r="N33" s="51"/>
      <c r="O33" s="51"/>
      <c r="P33" s="78"/>
    </row>
    <row r="34" ht="17.25">
      <c r="A34" s="241"/>
      <c r="B34" s="27" t="s">
        <v>39</v>
      </c>
      <c r="C34" s="24"/>
      <c r="D34" s="24"/>
      <c r="E34" s="24"/>
      <c r="F34" s="24"/>
      <c r="G34" s="24"/>
      <c r="H34" s="24"/>
      <c r="I34" s="24"/>
      <c r="J34" s="24"/>
      <c r="K34" s="24"/>
      <c r="L34" s="24"/>
      <c r="M34" s="24"/>
      <c r="N34" s="24"/>
      <c r="O34" s="24"/>
      <c r="P34" s="24"/>
      <c r="U34" s="22"/>
    </row>
    <row r="35" ht="17.65" s="22" customFormat="1">
      <c r="A35" s="241"/>
      <c r="B35" s="28" t="s">
        <v>40</v>
      </c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78"/>
      <c r="U35" s="21"/>
    </row>
    <row r="36" ht="17.25">
      <c r="A36" s="241"/>
      <c r="B36" s="11" t="s">
        <v>41</v>
      </c>
      <c r="C36" s="25"/>
      <c r="D36" s="25"/>
      <c r="E36" s="25"/>
      <c r="F36" s="25"/>
      <c r="G36" s="25"/>
      <c r="H36" s="25"/>
      <c r="I36" s="25"/>
      <c r="J36" s="25"/>
      <c r="K36" s="25"/>
      <c r="L36" s="25"/>
      <c r="M36" s="25"/>
      <c r="N36" s="25"/>
      <c r="O36" s="25"/>
      <c r="P36" s="25"/>
    </row>
    <row r="37" ht="17.65" s="22" customFormat="1">
      <c r="A37" s="241"/>
      <c r="B37" s="28" t="s">
        <v>42</v>
      </c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78"/>
    </row>
    <row r="38" ht="17.25">
      <c r="A38" s="241"/>
      <c r="B38" s="11" t="s">
        <v>43</v>
      </c>
      <c r="C38" s="25"/>
      <c r="D38" s="25"/>
      <c r="E38" s="25"/>
      <c r="F38" s="25"/>
      <c r="G38" s="25"/>
      <c r="H38" s="25"/>
      <c r="I38" s="25"/>
      <c r="J38" s="25"/>
      <c r="K38" s="25"/>
      <c r="L38" s="25"/>
      <c r="M38" s="25"/>
      <c r="N38" s="25"/>
      <c r="O38" s="25"/>
      <c r="P38" s="25"/>
    </row>
    <row r="39" ht="17.65" s="22" customFormat="1">
      <c r="A39" s="241"/>
      <c r="B39" s="28" t="s">
        <v>44</v>
      </c>
      <c r="C39" s="51"/>
      <c r="D39" s="51"/>
      <c r="E39" s="51"/>
      <c r="F39" s="51"/>
      <c r="G39" s="51"/>
      <c r="H39" s="51"/>
      <c r="I39" s="51"/>
      <c r="J39" s="51"/>
      <c r="K39" s="51"/>
      <c r="L39" s="51"/>
      <c r="M39" s="51"/>
      <c r="N39" s="51"/>
      <c r="O39" s="51"/>
      <c r="P39" s="78"/>
    </row>
    <row r="40" ht="17.25">
      <c r="A40" s="241"/>
      <c r="B40" s="11" t="s">
        <v>45</v>
      </c>
      <c r="C40" s="26"/>
      <c r="D40" s="26"/>
      <c r="E40" s="26"/>
      <c r="F40" s="26"/>
      <c r="G40" s="26"/>
      <c r="H40" s="26"/>
      <c r="I40" s="26"/>
      <c r="J40" s="26"/>
      <c r="K40" s="26"/>
      <c r="L40" s="26"/>
      <c r="M40" s="26"/>
      <c r="N40" s="26"/>
      <c r="O40" s="26"/>
      <c r="P40" s="26"/>
    </row>
    <row r="41" ht="17.65" s="22" customFormat="1">
      <c r="A41" s="241"/>
      <c r="B41" s="29" t="s">
        <v>46</v>
      </c>
      <c r="C41" s="51"/>
      <c r="D41" s="51"/>
      <c r="E41" s="51"/>
      <c r="F41" s="51"/>
      <c r="G41" s="51"/>
      <c r="H41" s="51"/>
      <c r="I41" s="51"/>
      <c r="J41" s="51"/>
      <c r="K41" s="51"/>
      <c r="L41" s="51"/>
      <c r="M41" s="51"/>
      <c r="N41" s="51"/>
      <c r="O41" s="51"/>
      <c r="P41" s="78"/>
    </row>
    <row r="42" ht="12.75" customHeight="1">
      <c r="A42" s="223" t="s">
        <v>47</v>
      </c>
      <c r="B42" s="232"/>
      <c r="C42" s="233"/>
      <c r="D42" s="233"/>
      <c r="E42" s="233"/>
      <c r="F42" s="233"/>
      <c r="G42" s="233"/>
      <c r="H42" s="233"/>
      <c r="I42" s="233"/>
      <c r="J42" s="233"/>
      <c r="K42" s="233"/>
      <c r="L42" s="233"/>
      <c r="M42" s="233"/>
      <c r="N42" s="233"/>
      <c r="O42" s="233"/>
      <c r="P42" s="234"/>
      <c r="Q42" s="22"/>
      <c r="R42" s="22"/>
      <c r="S42" s="22"/>
    </row>
    <row r="43" ht="13.15" customHeight="1">
      <c r="A43" s="224"/>
      <c r="B43" s="235"/>
      <c r="C43" s="236"/>
      <c r="D43" s="236"/>
      <c r="E43" s="236"/>
      <c r="F43" s="236"/>
      <c r="G43" s="236"/>
      <c r="H43" s="236"/>
      <c r="I43" s="236"/>
      <c r="J43" s="236"/>
      <c r="K43" s="236"/>
      <c r="L43" s="236"/>
      <c r="M43" s="236"/>
      <c r="N43" s="236"/>
      <c r="O43" s="236"/>
      <c r="P43" s="237"/>
      <c r="Q43" s="22"/>
      <c r="R43" s="22"/>
      <c r="S43" s="22"/>
    </row>
    <row r="44" ht="13.15" customHeight="1">
      <c r="A44" s="224"/>
      <c r="B44" s="235"/>
      <c r="C44" s="236"/>
      <c r="D44" s="236"/>
      <c r="E44" s="236"/>
      <c r="F44" s="236"/>
      <c r="G44" s="236"/>
      <c r="H44" s="236"/>
      <c r="I44" s="236"/>
      <c r="J44" s="236"/>
      <c r="K44" s="236"/>
      <c r="L44" s="236"/>
      <c r="M44" s="236"/>
      <c r="N44" s="236"/>
      <c r="O44" s="236"/>
      <c r="P44" s="237"/>
      <c r="Q44" s="22"/>
      <c r="R44" s="22"/>
      <c r="S44" s="22"/>
    </row>
    <row r="45" ht="13.9" customHeight="1">
      <c r="A45" s="225"/>
      <c r="B45" s="238"/>
      <c r="C45" s="239"/>
      <c r="D45" s="239"/>
      <c r="E45" s="239"/>
      <c r="F45" s="239"/>
      <c r="G45" s="239"/>
      <c r="H45" s="239"/>
      <c r="I45" s="239"/>
      <c r="J45" s="239"/>
      <c r="K45" s="239"/>
      <c r="L45" s="239"/>
      <c r="M45" s="239"/>
      <c r="N45" s="239"/>
      <c r="O45" s="239"/>
      <c r="P45" s="240"/>
      <c r="Q45" s="22"/>
      <c r="R45" s="22"/>
      <c r="S45" s="22"/>
    </row>
  </sheetData>
  <mergeCells>
    <mergeCell ref="C3:P3"/>
    <mergeCell ref="C4:P4"/>
    <mergeCell ref="C5:P5"/>
    <mergeCell ref="C6:P6"/>
    <mergeCell ref="B42:P45"/>
    <mergeCell ref="M15:O15"/>
    <mergeCell ref="M16:O16"/>
    <mergeCell ref="M13:O13"/>
    <mergeCell ref="M14:O14"/>
    <mergeCell ref="M11:O11"/>
    <mergeCell ref="M12:O12"/>
    <mergeCell ref="C9:H9"/>
    <mergeCell ref="I9:L9"/>
    <mergeCell ref="M9:O9"/>
    <mergeCell ref="C10:H10"/>
    <mergeCell ref="I10:L10"/>
    <mergeCell ref="A34:A35"/>
    <mergeCell ref="A36:A41"/>
    <mergeCell ref="A42:A45"/>
    <mergeCell ref="C15:H15"/>
    <mergeCell ref="I15:L15"/>
    <mergeCell ref="C16:H16"/>
    <mergeCell ref="I16:L16"/>
    <mergeCell ref="A3:A33"/>
    <mergeCell ref="C13:H13"/>
    <mergeCell ref="I13:L13"/>
    <mergeCell ref="C14:H14"/>
    <mergeCell ref="I14:L14"/>
    <mergeCell ref="C11:H11"/>
    <mergeCell ref="I11:L11"/>
    <mergeCell ref="C12:H12"/>
    <mergeCell ref="I12:L12"/>
    <mergeCell ref="M10:O10"/>
    <mergeCell ref="C7:H7"/>
    <mergeCell ref="I7:L7"/>
    <mergeCell ref="M7:O7"/>
    <mergeCell ref="C8:H8"/>
    <mergeCell ref="I8:L8"/>
    <mergeCell ref="M8:O8"/>
    <mergeCell ref="A1:B1"/>
    <mergeCell ref="C2:H2"/>
    <mergeCell ref="I2:L2"/>
    <mergeCell ref="M2:O2"/>
    <mergeCell ref="C1:P1"/>
  </mergeCells>
  <conditionalFormatting sqref="C22:E22 C4 H22:O22">
    <cfRule type="cellIs" dxfId="0" priority="47" operator="greaterThan">
      <formula>0</formula>
    </cfRule>
  </conditionalFormatting>
  <conditionalFormatting sqref="C21:E21 H21:O21">
    <cfRule type="expression" dxfId="1" priority="46">
      <formula>ISERROR(C21)</formula>
    </cfRule>
  </conditionalFormatting>
  <conditionalFormatting sqref="C21:E21 H21:O21">
    <cfRule type="cellIs" dxfId="1" priority="45" operator="equal">
      <formula>0</formula>
    </cfRule>
  </conditionalFormatting>
  <conditionalFormatting sqref="C21:E21 H21:O21">
    <cfRule type="cellIs" dxfId="3" priority="44" operator="greaterThan">
      <formula>0</formula>
    </cfRule>
  </conditionalFormatting>
  <conditionalFormatting sqref="C27:O27 D29:O29 D33:O33">
    <cfRule type="cellIs" dxfId="0" priority="43" operator="notEqual">
      <formula>VALUE(C26)</formula>
    </cfRule>
  </conditionalFormatting>
  <conditionalFormatting sqref="C8:O8 C10:O10 C12:O12 C14:O14 C16:O16 C27:O27 D29:O29 D31:O31 D33:O33 D35:O35 D37:O37 D25:O25 D39:O39 D41:O41">
    <cfRule type="expression" dxfId="10" priority="39">
      <formula>ISBLANK(C8)</formula>
    </cfRule>
  </conditionalFormatting>
  <conditionalFormatting sqref="C29">
    <cfRule type="cellIs" dxfId="0" priority="41" operator="notEqual">
      <formula>VALUE(C28)</formula>
    </cfRule>
  </conditionalFormatting>
  <conditionalFormatting sqref="C29">
    <cfRule type="expression" dxfId="10" priority="40">
      <formula>ISBLANK(C29)</formula>
    </cfRule>
  </conditionalFormatting>
  <conditionalFormatting sqref="C8:O8 C10:O10 C12:O12 C14:O14 C16:O16 C31:O31 D35:O35 D37:O37 D25:O25 D39:O39 D41:O41">
    <cfRule type="cellIs" dxfId="0" priority="42" operator="notEqual">
      <formula>C7</formula>
    </cfRule>
  </conditionalFormatting>
  <conditionalFormatting sqref="C31">
    <cfRule type="expression" dxfId="10" priority="38">
      <formula>ISBLANK(C31)</formula>
    </cfRule>
  </conditionalFormatting>
  <conditionalFormatting sqref="C33">
    <cfRule type="cellIs" dxfId="0" priority="37" operator="notEqual">
      <formula>VALUE(C32)</formula>
    </cfRule>
  </conditionalFormatting>
  <conditionalFormatting sqref="C33">
    <cfRule type="expression" dxfId="10" priority="36">
      <formula>ISBLANK(C33)</formula>
    </cfRule>
  </conditionalFormatting>
  <conditionalFormatting sqref="C35">
    <cfRule type="cellIs" dxfId="0" priority="35" operator="notEqual">
      <formula>C34</formula>
    </cfRule>
  </conditionalFormatting>
  <conditionalFormatting sqref="C35">
    <cfRule type="expression" dxfId="10" priority="34">
      <formula>ISBLANK(C35)</formula>
    </cfRule>
  </conditionalFormatting>
  <conditionalFormatting sqref="C37">
    <cfRule type="cellIs" dxfId="0" priority="33" operator="notEqual">
      <formula>C36</formula>
    </cfRule>
  </conditionalFormatting>
  <conditionalFormatting sqref="C37">
    <cfRule type="expression" dxfId="10" priority="32">
      <formula>ISBLANK(C37)</formula>
    </cfRule>
  </conditionalFormatting>
  <conditionalFormatting sqref="C6">
    <cfRule type="expression" dxfId="10" priority="30">
      <formula>ISBLANK(C6)</formula>
    </cfRule>
    <cfRule type="cellIs" dxfId="0" priority="31" operator="notEqual">
      <formula>C5</formula>
    </cfRule>
  </conditionalFormatting>
  <conditionalFormatting sqref="C25">
    <cfRule type="cellIs" dxfId="0" priority="29" operator="notEqual">
      <formula>C24</formula>
    </cfRule>
  </conditionalFormatting>
  <conditionalFormatting sqref="C25">
    <cfRule type="expression" dxfId="10" priority="28">
      <formula>ISBLANK(C25)</formula>
    </cfRule>
  </conditionalFormatting>
  <conditionalFormatting sqref="C39">
    <cfRule type="cellIs" dxfId="0" priority="27" operator="notEqual">
      <formula>C38</formula>
    </cfRule>
  </conditionalFormatting>
  <conditionalFormatting sqref="C39">
    <cfRule type="expression" dxfId="10" priority="26">
      <formula>ISBLANK(C39)</formula>
    </cfRule>
  </conditionalFormatting>
  <conditionalFormatting sqref="C41">
    <cfRule type="cellIs" dxfId="0" priority="25" operator="notEqual">
      <formula>C40</formula>
    </cfRule>
  </conditionalFormatting>
  <conditionalFormatting sqref="C41">
    <cfRule type="expression" dxfId="10" priority="24">
      <formula>ISBLANK(C41)</formula>
    </cfRule>
  </conditionalFormatting>
  <conditionalFormatting sqref="C24:O41">
    <cfRule type="expression" dxfId="1" priority="23" stopIfTrue="1">
      <formula>OR(C$22="Free",C$22="Telenor",C$22="Mtel",C$22="Telenor&amp;Mtel")</formula>
    </cfRule>
  </conditionalFormatting>
  <conditionalFormatting sqref="F22:G22">
    <cfRule type="cellIs" dxfId="0" priority="22" operator="greaterThan">
      <formula>0</formula>
    </cfRule>
  </conditionalFormatting>
  <conditionalFormatting sqref="F21:G21">
    <cfRule type="expression" dxfId="1" priority="21">
      <formula>ISERROR(F21)</formula>
    </cfRule>
  </conditionalFormatting>
  <conditionalFormatting sqref="F21:G21">
    <cfRule type="cellIs" dxfId="1" priority="20" operator="equal">
      <formula>0</formula>
    </cfRule>
  </conditionalFormatting>
  <conditionalFormatting sqref="F21:G21">
    <cfRule type="cellIs" dxfId="3" priority="19" operator="greaterThan">
      <formula>0</formula>
    </cfRule>
  </conditionalFormatting>
  <conditionalFormatting sqref="P22">
    <cfRule type="cellIs" dxfId="0" priority="18" operator="greaterThan">
      <formula>0</formula>
    </cfRule>
  </conditionalFormatting>
  <conditionalFormatting sqref="P27 P29 P33">
    <cfRule type="cellIs" dxfId="0" priority="14" operator="notEqual">
      <formula>VALUE(P26)</formula>
    </cfRule>
  </conditionalFormatting>
  <conditionalFormatting sqref="P8 P10 P12 P14 P16 P27 P29 P31 P33 P35 P37 P25 P39 P41">
    <cfRule type="expression" dxfId="10" priority="12">
      <formula>ISBLANK(P8)</formula>
    </cfRule>
  </conditionalFormatting>
  <conditionalFormatting sqref="P8 P10 P12 P14 P16 P31 P35 P37 P25 P39 P41">
    <cfRule type="cellIs" dxfId="0" priority="13" operator="notEqual">
      <formula>P7</formula>
    </cfRule>
  </conditionalFormatting>
  <conditionalFormatting sqref="P24:P41">
    <cfRule type="expression" dxfId="1" priority="11" stopIfTrue="1">
      <formula>OR(P$22="Free",P$22="Telenor",P$22="Mtel",P$22="Telenor&amp;Mtel")</formula>
    </cfRule>
  </conditionalFormatting>
  <conditionalFormatting sqref="C19">
    <cfRule type="expression" dxfId="1" priority="7">
      <formula>ISERROR(C19)</formula>
    </cfRule>
    <cfRule type="cellIs" dxfId="1" priority="8" operator="equal">
      <formula>0</formula>
    </cfRule>
  </conditionalFormatting>
  <conditionalFormatting sqref="D19:P19">
    <cfRule type="expression" dxfId="1" priority="5">
      <formula>ISERROR(D19)</formula>
    </cfRule>
    <cfRule type="cellIs" dxfId="1" priority="6" operator="equal">
      <formula>0</formula>
    </cfRule>
  </conditionalFormatting>
  <conditionalFormatting sqref="P21">
    <cfRule type="expression" dxfId="1" priority="4">
      <formula>ISERROR(P21)</formula>
    </cfRule>
  </conditionalFormatting>
  <conditionalFormatting sqref="P21">
    <cfRule type="cellIs" dxfId="1" priority="3" operator="equal">
      <formula>0</formula>
    </cfRule>
  </conditionalFormatting>
  <conditionalFormatting sqref="P21">
    <cfRule type="cellIs" dxfId="3" priority="2" operator="greaterThan">
      <formula>0</formula>
    </cfRule>
  </conditionalFormatting>
  <conditionalFormatting sqref="C23:P23">
    <cfRule type="cellIs" dxfId="0" priority="1" operator="greaterThan">
      <formula>0</formula>
    </cfRule>
  </conditionalFormatting>
  <dataValidations count="165">
    <dataValidation type="list" xr:uid="{6491C323-FAC5-4159-8053-93ACC6496DE9}" sqref="C2" showErrorMessage="1" errorTitle="An invalid feedback was entered" error="Please choose feedback from drop down only.">
      <formula1>"1,2,3"</formula1>
    </dataValidation>
    <dataValidation type="list" xr:uid="{BFE89AE9-BF3A-462C-A2F1-F82CE626A0E0}" sqref="D2" showErrorMessage="1" errorTitle="An invalid feedback was entered" error="Please choose feedback from drop down only.">
      <formula1>"1,2,3"</formula1>
    </dataValidation>
    <dataValidation type="list" xr:uid="{C9431A26-B386-42AD-A8A1-8D05EDA406C9}" sqref="E2" showErrorMessage="1" errorTitle="An invalid feedback was entered" error="Please choose feedback from drop down only.">
      <formula1>"1,2,3"</formula1>
    </dataValidation>
    <dataValidation type="list" xr:uid="{94437FB8-B7F0-4EB3-B048-2AF8128CA243}" sqref="F2" showErrorMessage="1" errorTitle="An invalid feedback was entered" error="Please choose feedback from drop down only.">
      <formula1>"1,2,3"</formula1>
    </dataValidation>
    <dataValidation type="list" xr:uid="{6E4C75CD-23CA-456A-80E0-43698C161B79}" sqref="G2" showErrorMessage="1" errorTitle="An invalid feedback was entered" error="Please choose feedback from drop down only.">
      <formula1>"1,2,3"</formula1>
    </dataValidation>
    <dataValidation type="list" xr:uid="{1EC146D0-BE44-4A40-99CF-8166A59CC64D}" sqref="H2" showErrorMessage="1" errorTitle="An invalid feedback was entered" error="Please choose feedback from drop down only.">
      <formula1>"1,2,3"</formula1>
    </dataValidation>
    <dataValidation type="list" xr:uid="{AFCCE92B-E68A-4B33-A52F-49581BB634B5}" sqref="I2" showErrorMessage="1" errorTitle="An invalid feedback was entered" error="Please choose feedback from drop down only.">
      <formula1>"1,2,3"</formula1>
    </dataValidation>
    <dataValidation type="list" xr:uid="{A41C3E38-D0DF-4DDC-B6E9-7D7903E6321C}" sqref="J2" showErrorMessage="1" errorTitle="An invalid feedback was entered" error="Please choose feedback from drop down only.">
      <formula1>"1,2,3"</formula1>
    </dataValidation>
    <dataValidation type="list" xr:uid="{223CE977-A89D-415C-99DE-CE7C85F22836}" sqref="K2" showErrorMessage="1" errorTitle="An invalid feedback was entered" error="Please choose feedback from drop down only.">
      <formula1>"1,2,3"</formula1>
    </dataValidation>
    <dataValidation type="list" xr:uid="{ACF619FF-2991-4AFC-9437-FE57C79D29C2}" sqref="L2" showErrorMessage="1" errorTitle="An invalid feedback was entered" error="Please choose feedback from drop down only.">
      <formula1>"1,2,3"</formula1>
    </dataValidation>
    <dataValidation type="list" xr:uid="{F4B30991-9F7C-4A75-BDF1-0581DD9AA1C3}" sqref="M2" showErrorMessage="1" errorTitle="An invalid feedback was entered" error="Please choose feedback from drop down only.">
      <formula1>"1,2,3"</formula1>
    </dataValidation>
    <dataValidation type="list" xr:uid="{9A4038CF-5560-4638-BCDA-6DB1E3F39EE6}" sqref="N2" showErrorMessage="1" errorTitle="An invalid feedback was entered" error="Please choose feedback from drop down only.">
      <formula1>"1,2,3"</formula1>
    </dataValidation>
    <dataValidation type="list" xr:uid="{B55F3CB6-ED13-4D34-95AE-2EE8B5CC9DD4}" sqref="O2" showErrorMessage="1" errorTitle="An invalid feedback was entered" error="Please choose feedback from drop down only.">
      <formula1>"1,2,3"</formula1>
    </dataValidation>
    <dataValidation type="list" xr:uid="{7EE59FCA-8AE7-45F7-AAD6-9DB88AAF1527}" sqref="P2" showErrorMessage="1" errorTitle="An invalid feedback was entered" error="Please choose feedback from drop down only.">
      <formula1>"1,2,3"</formula1>
    </dataValidation>
    <dataValidation type="list" xr:uid="{31376A8C-5667-41F0-BFB3-2DCC3B384CC2}" sqref="Q2" showErrorMessage="1" errorTitle="An invalid feedback was entered" error="Please choose feedback from drop down only.">
      <formula1>"1,2,3"</formula1>
    </dataValidation>
    <dataValidation type="list" xr:uid="{70075C31-A8A3-4A3D-B82D-CCB36E5A6D7E}" sqref="C17" showErrorMessage="1" errorTitle="An invalid feedback was entered" error="Please choose feedback from drop down only.">
      <formula1>"1-2,3-4,5-6,7-8,9-10,N/A"</formula1>
    </dataValidation>
    <dataValidation type="list" xr:uid="{859259F1-F4C9-4728-BABD-85559355666B}" sqref="D17" showErrorMessage="1" errorTitle="An invalid feedback was entered" error="Please choose feedback from drop down only.">
      <formula1>"1-2,3-4,5-6,7-8,9-10,N/A"</formula1>
    </dataValidation>
    <dataValidation type="list" xr:uid="{6DD27384-6B40-4AE1-B874-9371A489E0D5}" sqref="E17" showErrorMessage="1" errorTitle="An invalid feedback was entered" error="Please choose feedback from drop down only.">
      <formula1>"1-2,3-4,5-6,7-8,9-10,N/A"</formula1>
    </dataValidation>
    <dataValidation type="list" xr:uid="{6DC98638-743C-411E-B02A-3ADF6B6D769E}" sqref="F17" showErrorMessage="1" errorTitle="An invalid feedback was entered" error="Please choose feedback from drop down only.">
      <formula1>"1-2,3-4,5-6,7-8,9-10,N/A"</formula1>
    </dataValidation>
    <dataValidation type="list" xr:uid="{CAD9EF6A-6AF3-4475-A644-9900570F3C1F}" sqref="G17" showErrorMessage="1" errorTitle="An invalid feedback was entered" error="Please choose feedback from drop down only.">
      <formula1>"1-2,3-4,5-6,7-8,9-10,N/A"</formula1>
    </dataValidation>
    <dataValidation type="list" xr:uid="{6EDDD253-337D-4900-9028-F6F57658B4CB}" sqref="H17" showErrorMessage="1" errorTitle="An invalid feedback was entered" error="Please choose feedback from drop down only.">
      <formula1>"1-2,3-4,5-6,7-8,9-10,N/A"</formula1>
    </dataValidation>
    <dataValidation type="list" xr:uid="{3A0037C1-1819-4C5D-9EE9-FF39E32C828C}" sqref="I17" showErrorMessage="1" errorTitle="An invalid feedback was entered" error="Please choose feedback from drop down only.">
      <formula1>"1-2,3-4,5-6,7-8,9-10,N/A"</formula1>
    </dataValidation>
    <dataValidation type="list" xr:uid="{E6E84791-02F8-43B5-BC8B-B7175A608326}" sqref="J17" showErrorMessage="1" errorTitle="An invalid feedback was entered" error="Please choose feedback from drop down only.">
      <formula1>"1-2,3-4,5-6,7-8,9-10,N/A"</formula1>
    </dataValidation>
    <dataValidation type="list" xr:uid="{FFC33E8B-00A3-4D85-AD35-A7ACA18C84D0}" sqref="K17" showErrorMessage="1" errorTitle="An invalid feedback was entered" error="Please choose feedback from drop down only.">
      <formula1>"1-2,3-4,5-6,7-8,9-10,N/A"</formula1>
    </dataValidation>
    <dataValidation type="list" xr:uid="{27452FFA-D4EF-4855-B278-786AA703D29A}" sqref="L17" showErrorMessage="1" errorTitle="An invalid feedback was entered" error="Please choose feedback from drop down only.">
      <formula1>"1-2,3-4,5-6,7-8,9-10,N/A"</formula1>
    </dataValidation>
    <dataValidation type="list" xr:uid="{949861EE-30C9-425F-8DCE-8BB2169E9201}" sqref="M17" showErrorMessage="1" errorTitle="An invalid feedback was entered" error="Please choose feedback from drop down only.">
      <formula1>"1-2,3-4,5-6,7-8,9-10,N/A"</formula1>
    </dataValidation>
    <dataValidation type="list" xr:uid="{9316716E-D7C2-4065-BAAC-D4BD7FA97535}" sqref="N17" showErrorMessage="1" errorTitle="An invalid feedback was entered" error="Please choose feedback from drop down only.">
      <formula1>"1-2,3-4,5-6,7-8,9-10,N/A"</formula1>
    </dataValidation>
    <dataValidation type="list" xr:uid="{BD194C6A-3861-4F2B-9CDB-23CDD14E95CB}" sqref="O17" showErrorMessage="1" errorTitle="An invalid feedback was entered" error="Please choose feedback from drop down only.">
      <formula1>"1-2,3-4,5-6,7-8,9-10,N/A"</formula1>
    </dataValidation>
    <dataValidation type="list" xr:uid="{507B3C1E-8957-4655-A644-BB5F270C8198}" sqref="P17" showErrorMessage="1" errorTitle="An invalid feedback was entered" error="Please choose feedback from drop down only.">
      <formula1>"1-2,3-4,5-6,7-8,9-10,N/A"</formula1>
    </dataValidation>
    <dataValidation type="list" xr:uid="{578438C4-3935-4C72-BA77-A6B122768679}" sqref="Q17" showErrorMessage="1" errorTitle="An invalid feedback was entered" error="Please choose feedback from drop down only.">
      <formula1>"1-2,3-4,5-6,7-8,9-10,N/A"</formula1>
    </dataValidation>
    <dataValidation type="list" xr:uid="{D75E4D64-D324-48AE-B24D-5CB0953D88EC}" sqref="C10" showErrorMessage="1" errorTitle="An invalid feedback was entered" error="Please choose feedback from drop down only.">
      <formula1>"STK Top,STK Bottom,STKx2,DTK Top,DTK Bottom,DTKx2,None"</formula1>
    </dataValidation>
    <dataValidation type="list" xr:uid="{91BBFC24-6F8A-439F-9D08-DA9CD20E10A5}" sqref="D10" showErrorMessage="1" errorTitle="An invalid feedback was entered" error="Please choose feedback from drop down only.">
      <formula1>"STK Top,STK Bottom,STKx2,DTK Top,DTK Bottom,DTKx2,None"</formula1>
    </dataValidation>
    <dataValidation type="list" xr:uid="{95FF75E3-0FFE-424E-B80B-2354A9B23100}" sqref="E10" showErrorMessage="1" errorTitle="An invalid feedback was entered" error="Please choose feedback from drop down only.">
      <formula1>"STK Top,STK Bottom,STKx2,DTK Top,DTK Bottom,DTKx2,None"</formula1>
    </dataValidation>
    <dataValidation type="list" xr:uid="{07C7F9BE-CC35-4F23-BA67-F429D90485EF}" sqref="F10" showErrorMessage="1" errorTitle="An invalid feedback was entered" error="Please choose feedback from drop down only.">
      <formula1>"STK Top,STK Bottom,STKx2,DTK Top,DTK Bottom,DTKx2,None"</formula1>
    </dataValidation>
    <dataValidation type="list" xr:uid="{B91534BE-5B79-460E-BCBF-1E27D393351C}" sqref="G10" showErrorMessage="1" errorTitle="An invalid feedback was entered" error="Please choose feedback from drop down only.">
      <formula1>"STK Top,STK Bottom,STKx2,DTK Top,DTK Bottom,DTKx2,None"</formula1>
    </dataValidation>
    <dataValidation type="list" xr:uid="{10335BED-2309-4EC5-9504-09D65859773E}" sqref="H10" showErrorMessage="1" errorTitle="An invalid feedback was entered" error="Please choose feedback from drop down only.">
      <formula1>"STK Top,STK Bottom,STKx2,DTK Top,DTK Bottom,DTKx2,None"</formula1>
    </dataValidation>
    <dataValidation type="list" xr:uid="{EA727C6E-ECC7-4869-9030-6CB4B57F9E22}" sqref="I10" showErrorMessage="1" errorTitle="An invalid feedback was entered" error="Please choose feedback from drop down only.">
      <formula1>"STK Top,STK Bottom,STKx2,DTK Top,DTK Bottom,DTKx2,None"</formula1>
    </dataValidation>
    <dataValidation type="list" xr:uid="{5D82CCA7-4C0B-43E7-B575-FCC3DC82DDE4}" sqref="J10" showErrorMessage="1" errorTitle="An invalid feedback was entered" error="Please choose feedback from drop down only.">
      <formula1>"STK Top,STK Bottom,STKx2,DTK Top,DTK Bottom,DTKx2,None"</formula1>
    </dataValidation>
    <dataValidation type="list" xr:uid="{183A08BE-0C2C-43BF-89FB-D1D4698DC0FD}" sqref="K10" showErrorMessage="1" errorTitle="An invalid feedback was entered" error="Please choose feedback from drop down only.">
      <formula1>"STK Top,STK Bottom,STKx2,DTK Top,DTK Bottom,DTKx2,None"</formula1>
    </dataValidation>
    <dataValidation type="list" xr:uid="{6B9C9F52-1100-4AC6-8A6E-3B0B2B3D9027}" sqref="L10" showErrorMessage="1" errorTitle="An invalid feedback was entered" error="Please choose feedback from drop down only.">
      <formula1>"STK Top,STK Bottom,STKx2,DTK Top,DTK Bottom,DTKx2,None"</formula1>
    </dataValidation>
    <dataValidation type="list" xr:uid="{0C4B8162-7827-4D4A-A493-98596F79F68A}" sqref="M10" showErrorMessage="1" errorTitle="An invalid feedback was entered" error="Please choose feedback from drop down only.">
      <formula1>"STK Top,STK Bottom,STKx2,DTK Top,DTK Bottom,DTKx2,None"</formula1>
    </dataValidation>
    <dataValidation type="list" xr:uid="{434EB6CA-5686-4D0B-91F6-E8DEDE9E224F}" sqref="N10" showErrorMessage="1" errorTitle="An invalid feedback was entered" error="Please choose feedback from drop down only.">
      <formula1>"STK Top,STK Bottom,STKx2,DTK Top,DTK Bottom,DTKx2,None"</formula1>
    </dataValidation>
    <dataValidation type="list" xr:uid="{53BC79D1-AF8D-46A3-A302-EA91964A83E8}" sqref="O10" showErrorMessage="1" errorTitle="An invalid feedback was entered" error="Please choose feedback from drop down only.">
      <formula1>"STK Top,STK Bottom,STKx2,DTK Top,DTK Bottom,DTKx2,None"</formula1>
    </dataValidation>
    <dataValidation type="list" xr:uid="{292C1248-F417-414F-A184-858706444B5C}" sqref="P10" showErrorMessage="1" errorTitle="An invalid feedback was entered" error="Please choose feedback from drop down only.">
      <formula1>"STK Top,STK Bottom,STKx2,DTK Top,DTK Bottom,DTKx2,None"</formula1>
    </dataValidation>
    <dataValidation type="list" xr:uid="{634447AE-1C88-41D9-9B25-8E422DE5B506}" sqref="Q10" showErrorMessage="1" errorTitle="An invalid feedback was entered" error="Please choose feedback from drop down only.">
      <formula1>"STK Top,STK Bottom,STKx2,DTK Top,DTK Bottom,DTKx2,None"</formula1>
    </dataValidation>
    <dataValidation type="list" xr:uid="{38B94BA0-21C4-45E3-B095-E1E6A341B4DE}" sqref="C23" showErrorMessage="1" errorTitle="An invalid feedback was entered" error="Please choose feedback from drop down only.">
      <formula1>"Yetel,Bulsatcom,A1,Yetel&amp;A1,N/A"</formula1>
    </dataValidation>
    <dataValidation type="list" xr:uid="{B9F597AA-39F2-4145-8269-DC0C64BD0B38}" sqref="D23" showErrorMessage="1" errorTitle="An invalid feedback was entered" error="Please choose feedback from drop down only.">
      <formula1>"Yetel,Bulsatcom,A1,Yetel&amp;A1,N/A"</formula1>
    </dataValidation>
    <dataValidation type="list" xr:uid="{23F5C084-8311-484F-A4C3-756B7A9F9BD0}" sqref="E23" showErrorMessage="1" errorTitle="An invalid feedback was entered" error="Please choose feedback from drop down only.">
      <formula1>"Yetel,Bulsatcom,A1,Yetel&amp;A1,N/A"</formula1>
    </dataValidation>
    <dataValidation type="list" xr:uid="{CCA2F3A7-7338-4654-8C88-C354F9674F69}" sqref="F23" showErrorMessage="1" errorTitle="An invalid feedback was entered" error="Please choose feedback from drop down only.">
      <formula1>"Yetel,Bulsatcom,A1,Yetel&amp;A1,N/A"</formula1>
    </dataValidation>
    <dataValidation type="list" xr:uid="{CE8BBDBB-E496-4326-ACF9-C4E17B3B4085}" sqref="G23" showErrorMessage="1" errorTitle="An invalid feedback was entered" error="Please choose feedback from drop down only.">
      <formula1>"Yetel,Bulsatcom,A1,Yetel&amp;A1,N/A"</formula1>
    </dataValidation>
    <dataValidation type="list" xr:uid="{9B9B4A0C-1289-49A9-B049-4EF34B55CB70}" sqref="H23" showErrorMessage="1" errorTitle="An invalid feedback was entered" error="Please choose feedback from drop down only.">
      <formula1>"Yetel,Bulsatcom,A1,Yetel&amp;A1,N/A"</formula1>
    </dataValidation>
    <dataValidation type="list" xr:uid="{1DD9948F-83B2-4FFA-BF71-3EF72CC733FD}" sqref="I23" showErrorMessage="1" errorTitle="An invalid feedback was entered" error="Please choose feedback from drop down only.">
      <formula1>"Yetel,Bulsatcom,A1,Yetel&amp;A1,N/A"</formula1>
    </dataValidation>
    <dataValidation type="list" xr:uid="{B2EBB854-C6D3-4BB8-A576-6E95B7192CE0}" sqref="J23" showErrorMessage="1" errorTitle="An invalid feedback was entered" error="Please choose feedback from drop down only.">
      <formula1>"Yetel,Bulsatcom,A1,Yetel&amp;A1,N/A"</formula1>
    </dataValidation>
    <dataValidation type="list" xr:uid="{9935E79B-7B5D-41FA-8E0E-1C38A6DF0D8A}" sqref="K23" showErrorMessage="1" errorTitle="An invalid feedback was entered" error="Please choose feedback from drop down only.">
      <formula1>"Yetel,Bulsatcom,A1,Yetel&amp;A1,N/A"</formula1>
    </dataValidation>
    <dataValidation type="list" xr:uid="{4D3425C1-D9C6-4D82-93D6-DFEA6B77B5FF}" sqref="L23" showErrorMessage="1" errorTitle="An invalid feedback was entered" error="Please choose feedback from drop down only.">
      <formula1>"Yetel,Bulsatcom,A1,Yetel&amp;A1,N/A"</formula1>
    </dataValidation>
    <dataValidation type="list" xr:uid="{7AD5642E-7B12-4BA9-981B-478C7FA571D1}" sqref="M23" showErrorMessage="1" errorTitle="An invalid feedback was entered" error="Please choose feedback from drop down only.">
      <formula1>"Yetel,Bulsatcom,A1,Yetel&amp;A1,N/A"</formula1>
    </dataValidation>
    <dataValidation type="list" xr:uid="{42A7DBA5-3607-4890-A851-65775461C3D7}" sqref="N23" showErrorMessage="1" errorTitle="An invalid feedback was entered" error="Please choose feedback from drop down only.">
      <formula1>"Yetel,Bulsatcom,A1,Yetel&amp;A1,N/A"</formula1>
    </dataValidation>
    <dataValidation type="list" xr:uid="{DFC923C1-1B09-46FD-9C62-4025AC31B21B}" sqref="O23" showErrorMessage="1" errorTitle="An invalid feedback was entered" error="Please choose feedback from drop down only.">
      <formula1>"Yetel,Bulsatcom,A1,Yetel&amp;A1,N/A"</formula1>
    </dataValidation>
    <dataValidation type="list" xr:uid="{FEAB0FB7-1BE5-4A71-AFF1-F1E9F43E8196}" sqref="P23" showErrorMessage="1" errorTitle="An invalid feedback was entered" error="Please choose feedback from drop down only.">
      <formula1>"Yetel,Bulsatcom,A1,Yetel&amp;A1,N/A"</formula1>
    </dataValidation>
    <dataValidation type="list" xr:uid="{1698A21F-8A24-4EDD-9A02-584CB2C854A5}" sqref="Q23" showErrorMessage="1" errorTitle="An invalid feedback was entered" error="Please choose feedback from drop down only.">
      <formula1>"Yetel,Bulsatcom,A1,Yetel&amp;A1,N/A"</formula1>
    </dataValidation>
    <dataValidation type="list" xr:uid="{F1EBB720-8019-493C-94D0-F7CD2B12A667}" sqref="C31" showErrorMessage="1" errorTitle="An invalid feedback was entered" error="Please choose feedback from drop down only.">
      <formula1>"1/2,5/4,7/8,RRU TOP JUMPER,N/A"</formula1>
    </dataValidation>
    <dataValidation type="list" xr:uid="{3C854FCD-2913-41F3-BF4B-4CFFE82DA6C3}" sqref="D31" showErrorMessage="1" errorTitle="An invalid feedback was entered" error="Please choose feedback from drop down only.">
      <formula1>"1/2,5/4,7/8,RRU TOP JUMPER,N/A"</formula1>
    </dataValidation>
    <dataValidation type="list" xr:uid="{3C0D8686-01C2-48BA-BB19-E9E62D0A90E5}" sqref="E31" showErrorMessage="1" errorTitle="An invalid feedback was entered" error="Please choose feedback from drop down only.">
      <formula1>"1/2,5/4,7/8,RRU TOP JUMPER,N/A"</formula1>
    </dataValidation>
    <dataValidation type="list" xr:uid="{4A173D12-5B60-41EC-80FB-0D24A3D0F5BD}" sqref="F31" showErrorMessage="1" errorTitle="An invalid feedback was entered" error="Please choose feedback from drop down only.">
      <formula1>"1/2,5/4,7/8,RRU TOP JUMPER,N/A"</formula1>
    </dataValidation>
    <dataValidation type="list" xr:uid="{ABD367AF-4CF8-4BA8-8BAF-30A298EAC1A0}" sqref="G31" showErrorMessage="1" errorTitle="An invalid feedback was entered" error="Please choose feedback from drop down only.">
      <formula1>"1/2,5/4,7/8,RRU TOP JUMPER,N/A"</formula1>
    </dataValidation>
    <dataValidation type="list" xr:uid="{ADA8507C-539C-46A6-B24C-74C49F7C3031}" sqref="H31" showErrorMessage="1" errorTitle="An invalid feedback was entered" error="Please choose feedback from drop down only.">
      <formula1>"1/2,5/4,7/8,RRU TOP JUMPER,N/A"</formula1>
    </dataValidation>
    <dataValidation type="list" xr:uid="{23435C61-D337-48B4-A4A7-0838E2E397FE}" sqref="I31" showErrorMessage="1" errorTitle="An invalid feedback was entered" error="Please choose feedback from drop down only.">
      <formula1>"1/2,5/4,7/8,RRU TOP JUMPER,N/A"</formula1>
    </dataValidation>
    <dataValidation type="list" xr:uid="{03EB9B69-21A8-4797-BE5E-C1575238F45A}" sqref="J31" showErrorMessage="1" errorTitle="An invalid feedback was entered" error="Please choose feedback from drop down only.">
      <formula1>"1/2,5/4,7/8,RRU TOP JUMPER,N/A"</formula1>
    </dataValidation>
    <dataValidation type="list" xr:uid="{6EAE8F46-F70F-4E54-B5B7-B214C0D02F09}" sqref="K31" showErrorMessage="1" errorTitle="An invalid feedback was entered" error="Please choose feedback from drop down only.">
      <formula1>"1/2,5/4,7/8,RRU TOP JUMPER,N/A"</formula1>
    </dataValidation>
    <dataValidation type="list" xr:uid="{B5A6F5C9-D8A6-4378-BDBF-F8AD959FB5E2}" sqref="L31" showErrorMessage="1" errorTitle="An invalid feedback was entered" error="Please choose feedback from drop down only.">
      <formula1>"1/2,5/4,7/8,RRU TOP JUMPER,N/A"</formula1>
    </dataValidation>
    <dataValidation type="list" xr:uid="{C3648EC3-743B-43D0-BE46-41B57EF6F353}" sqref="M31" showErrorMessage="1" errorTitle="An invalid feedback was entered" error="Please choose feedback from drop down only.">
      <formula1>"1/2,5/4,7/8,RRU TOP JUMPER,N/A"</formula1>
    </dataValidation>
    <dataValidation type="list" xr:uid="{B362DA7E-9C1D-4CF0-B381-37C629DD62F2}" sqref="N31" showErrorMessage="1" errorTitle="An invalid feedback was entered" error="Please choose feedback from drop down only.">
      <formula1>"1/2,5/4,7/8,RRU TOP JUMPER,N/A"</formula1>
    </dataValidation>
    <dataValidation type="list" xr:uid="{435C8DB2-0960-4B08-B455-00543169B2A6}" sqref="O31" showErrorMessage="1" errorTitle="An invalid feedback was entered" error="Please choose feedback from drop down only.">
      <formula1>"1/2,5/4,7/8,RRU TOP JUMPER,N/A"</formula1>
    </dataValidation>
    <dataValidation type="list" xr:uid="{AD256183-7635-41F9-8623-F67E25D4F2CE}" sqref="P31" showErrorMessage="1" errorTitle="An invalid feedback was entered" error="Please choose feedback from drop down only.">
      <formula1>"1/2,5/4,7/8,RRU TOP JUMPER,N/A"</formula1>
    </dataValidation>
    <dataValidation type="list" xr:uid="{C4AECC8E-E50F-4194-A7CF-907A54CA5390}" sqref="Q31" showErrorMessage="1" errorTitle="An invalid feedback was entered" error="Please choose feedback from drop down only.">
      <formula1>"1/2,5/4,7/8,RRU TOP JUMPER,N/A"</formula1>
    </dataValidation>
    <dataValidation type="list" xr:uid="{ECCC1EC5-C398-49AE-97A1-AE65B64EB367}" sqref="C4" showErrorMessage="1" errorTitle="An invalid feedback was entered" error="Please choose feedback from drop down only.">
      <formula1>"1,2,3,4,5,6,N/A"</formula1>
    </dataValidation>
    <dataValidation type="list" xr:uid="{ACEB54EA-070A-48AC-8C22-99A3B76F3D60}" sqref="D4" showErrorMessage="1" errorTitle="An invalid feedback was entered" error="Please choose feedback from drop down only.">
      <formula1>"1,2,3,4,5,6,N/A"</formula1>
    </dataValidation>
    <dataValidation type="list" xr:uid="{B522525E-2736-4BBE-A139-9353EA4FF661}" sqref="E4" showErrorMessage="1" errorTitle="An invalid feedback was entered" error="Please choose feedback from drop down only.">
      <formula1>"1,2,3,4,5,6,N/A"</formula1>
    </dataValidation>
    <dataValidation type="list" xr:uid="{0CDC8D8C-1E15-482F-851E-1E70064B1AFB}" sqref="F4" showErrorMessage="1" errorTitle="An invalid feedback was entered" error="Please choose feedback from drop down only.">
      <formula1>"1,2,3,4,5,6,N/A"</formula1>
    </dataValidation>
    <dataValidation type="list" xr:uid="{EE32309D-6FBB-434D-98CD-79E8B757A887}" sqref="G4" showErrorMessage="1" errorTitle="An invalid feedback was entered" error="Please choose feedback from drop down only.">
      <formula1>"1,2,3,4,5,6,N/A"</formula1>
    </dataValidation>
    <dataValidation type="list" xr:uid="{FD2768C9-33A5-4C21-91B3-6BA9741177A4}" sqref="H4" showErrorMessage="1" errorTitle="An invalid feedback was entered" error="Please choose feedback from drop down only.">
      <formula1>"1,2,3,4,5,6,N/A"</formula1>
    </dataValidation>
    <dataValidation type="list" xr:uid="{BF154D15-51F4-4EA4-83B8-048077DB102B}" sqref="I4" showErrorMessage="1" errorTitle="An invalid feedback was entered" error="Please choose feedback from drop down only.">
      <formula1>"1,2,3,4,5,6,N/A"</formula1>
    </dataValidation>
    <dataValidation type="list" xr:uid="{0799E463-6E5F-44CB-95DE-0D82E5B20DA4}" sqref="J4" showErrorMessage="1" errorTitle="An invalid feedback was entered" error="Please choose feedback from drop down only.">
      <formula1>"1,2,3,4,5,6,N/A"</formula1>
    </dataValidation>
    <dataValidation type="list" xr:uid="{0B64A5AB-50AC-4242-B8E8-362853A02497}" sqref="K4" showErrorMessage="1" errorTitle="An invalid feedback was entered" error="Please choose feedback from drop down only.">
      <formula1>"1,2,3,4,5,6,N/A"</formula1>
    </dataValidation>
    <dataValidation type="list" xr:uid="{389F6BB7-9695-4A72-B886-3334FF34D225}" sqref="L4" showErrorMessage="1" errorTitle="An invalid feedback was entered" error="Please choose feedback from drop down only.">
      <formula1>"1,2,3,4,5,6,N/A"</formula1>
    </dataValidation>
    <dataValidation type="list" xr:uid="{25806E4F-BEAF-48F8-8567-88AAB72D9FF4}" sqref="M4" showErrorMessage="1" errorTitle="An invalid feedback was entered" error="Please choose feedback from drop down only.">
      <formula1>"1,2,3,4,5,6,N/A"</formula1>
    </dataValidation>
    <dataValidation type="list" xr:uid="{496DE080-6871-469F-BFD5-EF13297B73CE}" sqref="N4" showErrorMessage="1" errorTitle="An invalid feedback was entered" error="Please choose feedback from drop down only.">
      <formula1>"1,2,3,4,5,6,N/A"</formula1>
    </dataValidation>
    <dataValidation type="list" xr:uid="{C0624159-7F43-4CD0-A6B6-C40A3CCD2596}" sqref="O4" showErrorMessage="1" errorTitle="An invalid feedback was entered" error="Please choose feedback from drop down only.">
      <formula1>"1,2,3,4,5,6,N/A"</formula1>
    </dataValidation>
    <dataValidation type="list" xr:uid="{0A6340F6-CE2A-4532-B0E9-68AF0D1A8EC4}" sqref="P4" showErrorMessage="1" errorTitle="An invalid feedback was entered" error="Please choose feedback from drop down only.">
      <formula1>"1,2,3,4,5,6,N/A"</formula1>
    </dataValidation>
    <dataValidation type="list" xr:uid="{69595A59-F204-4641-AAEA-746CE1996204}" sqref="Q4" showErrorMessage="1" errorTitle="An invalid feedback was entered" error="Please choose feedback from drop down only.">
      <formula1>"1,2,3,4,5,6,N/A"</formula1>
    </dataValidation>
    <dataValidation type="list" xr:uid="{0F9C7652-FB56-4565-AFA6-68BD8633A4B0}" sqref="C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3151EDE3-7773-425A-8337-068FFA3D6246}" sqref="D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973D9C29-BAD7-487E-9C7F-E473CF5C051B}" sqref="E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107D57F0-0AD0-457C-92F8-7260D23A67ED}" sqref="F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7E5721F0-2518-4B38-A5CF-3270131C84CB}" sqref="G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02BD0A43-17E9-4150-A2C6-2658C68DCCED}" sqref="H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C55379B8-5F2E-41F2-8C31-06D56CFFD942}" sqref="I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D5E3C110-CD77-469D-81EE-858708764707}" sqref="J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5031C9EB-BE36-4970-B511-9B87AC958188}" sqref="K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AB6EB986-0A03-44F5-9102-9A077E49D575}" sqref="L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88C31F73-4281-4019-B412-020FC8D2768D}" sqref="M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82AF76C5-4808-4E94-95B5-27DEADFA5183}" sqref="N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7CCD144C-087B-484D-BEE3-E08742D6A613}" sqref="O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A29A043B-522F-483A-AAF4-CDCDD8600537}" sqref="P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DCA8E708-329A-4279-A522-AE3DEFB25670}" sqref="Q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01943918-47C0-4FB4-90E1-568156997AAC}" sqref="C28" showErrorMessage="1" errorTitle="An invalid feedback was entered" error="Please choose feedback from drop down only.">
      <formula1>"Yes,No,FlexRET"</formula1>
    </dataValidation>
    <dataValidation type="list" xr:uid="{CA2FC7E2-558C-40A7-9AB9-6F83EA8C119C}" sqref="D28" showErrorMessage="1" errorTitle="An invalid feedback was entered" error="Please choose feedback from drop down only.">
      <formula1>"Yes,No,FlexRET"</formula1>
    </dataValidation>
    <dataValidation type="list" xr:uid="{A85F8D52-2782-471A-AD53-32A87D81F5EB}" sqref="E28" showErrorMessage="1" errorTitle="An invalid feedback was entered" error="Please choose feedback from drop down only.">
      <formula1>"Yes,No,FlexRET"</formula1>
    </dataValidation>
    <dataValidation type="list" xr:uid="{DA9FA1F4-3F9A-4BE9-949D-6D1140B01F2D}" sqref="F28" showErrorMessage="1" errorTitle="An invalid feedback was entered" error="Please choose feedback from drop down only.">
      <formula1>"Yes,No,FlexRET"</formula1>
    </dataValidation>
    <dataValidation type="list" xr:uid="{CED318A2-4F8B-41BF-8276-F6A956A363B4}" sqref="G28" showErrorMessage="1" errorTitle="An invalid feedback was entered" error="Please choose feedback from drop down only.">
      <formula1>"Yes,No,FlexRET"</formula1>
    </dataValidation>
    <dataValidation type="list" xr:uid="{8D351409-A009-4BCC-88FD-E5189C986D16}" sqref="H28" showErrorMessage="1" errorTitle="An invalid feedback was entered" error="Please choose feedback from drop down only.">
      <formula1>"Yes,No,FlexRET"</formula1>
    </dataValidation>
    <dataValidation type="list" xr:uid="{73293CFA-2C7E-4F39-A18A-CE76B9B4EB85}" sqref="I28" showErrorMessage="1" errorTitle="An invalid feedback was entered" error="Please choose feedback from drop down only.">
      <formula1>"Yes,No,FlexRET"</formula1>
    </dataValidation>
    <dataValidation type="list" xr:uid="{47B0F0A0-07B5-4068-A612-2254211CA932}" sqref="J28" showErrorMessage="1" errorTitle="An invalid feedback was entered" error="Please choose feedback from drop down only.">
      <formula1>"Yes,No,FlexRET"</formula1>
    </dataValidation>
    <dataValidation type="list" xr:uid="{4575DE17-1AD3-4129-A8CC-63969F7E7842}" sqref="K28" showErrorMessage="1" errorTitle="An invalid feedback was entered" error="Please choose feedback from drop down only.">
      <formula1>"Yes,No,FlexRET"</formula1>
    </dataValidation>
    <dataValidation type="list" xr:uid="{ECC6C435-348B-4F8D-A2F0-AEC84055C340}" sqref="L28" showErrorMessage="1" errorTitle="An invalid feedback was entered" error="Please choose feedback from drop down only.">
      <formula1>"Yes,No,FlexRET"</formula1>
    </dataValidation>
    <dataValidation type="list" xr:uid="{4355623F-6FF2-4E20-90BC-545BE368411F}" sqref="M28" showErrorMessage="1" errorTitle="An invalid feedback was entered" error="Please choose feedback from drop down only.">
      <formula1>"Yes,No,FlexRET"</formula1>
    </dataValidation>
    <dataValidation type="list" xr:uid="{BB8D7197-63C1-4628-9216-1CE20949C02D}" sqref="N28" showErrorMessage="1" errorTitle="An invalid feedback was entered" error="Please choose feedback from drop down only.">
      <formula1>"Yes,No,FlexRET"</formula1>
    </dataValidation>
    <dataValidation type="list" xr:uid="{37E3332F-E993-4373-AC32-A84971623DF3}" sqref="O28" showErrorMessage="1" errorTitle="An invalid feedback was entered" error="Please choose feedback from drop down only.">
      <formula1>"Yes,No,FlexRET"</formula1>
    </dataValidation>
    <dataValidation type="list" xr:uid="{AA16CA61-907A-415A-9653-DE2F5243B431}" sqref="P28" showErrorMessage="1" errorTitle="An invalid feedback was entered" error="Please choose feedback from drop down only.">
      <formula1>"Yes,No,FlexRET"</formula1>
    </dataValidation>
    <dataValidation type="list" xr:uid="{6E421135-0897-4A4E-ADFE-0C575230B1CF}" sqref="Q28" showErrorMessage="1" errorTitle="An invalid feedback was entered" error="Please choose feedback from drop down only.">
      <formula1>"Yes,No,FlexRET"</formula1>
    </dataValidation>
    <dataValidation type="list" xr:uid="{DE86D457-C48D-4B38-819E-4C9A8C934F35}" sqref="C29" showErrorMessage="1" errorTitle="An invalid feedback was entered" error="Please choose feedback from drop down only.">
      <formula1>"Yes,No,FlexRET"</formula1>
    </dataValidation>
    <dataValidation type="list" xr:uid="{5DF9EA90-6A61-41E4-8145-D1262264D047}" sqref="D29" showErrorMessage="1" errorTitle="An invalid feedback was entered" error="Please choose feedback from drop down only.">
      <formula1>"Yes,No,FlexRET"</formula1>
    </dataValidation>
    <dataValidation type="list" xr:uid="{EF4D9638-CB50-443F-A171-E7198DD32C26}" sqref="E29" showErrorMessage="1" errorTitle="An invalid feedback was entered" error="Please choose feedback from drop down only.">
      <formula1>"Yes,No,FlexRET"</formula1>
    </dataValidation>
    <dataValidation type="list" xr:uid="{A85048B1-D0BC-47EB-A162-46070DF3A20D}" sqref="F29" showErrorMessage="1" errorTitle="An invalid feedback was entered" error="Please choose feedback from drop down only.">
      <formula1>"Yes,No,FlexRET"</formula1>
    </dataValidation>
    <dataValidation type="list" xr:uid="{8E84736B-80EF-4036-B0FB-ED0D1CB1A1FC}" sqref="G29" showErrorMessage="1" errorTitle="An invalid feedback was entered" error="Please choose feedback from drop down only.">
      <formula1>"Yes,No,FlexRET"</formula1>
    </dataValidation>
    <dataValidation type="list" xr:uid="{C6643684-3F23-4D58-8214-2A311EAB5B2E}" sqref="H29" showErrorMessage="1" errorTitle="An invalid feedback was entered" error="Please choose feedback from drop down only.">
      <formula1>"Yes,No,FlexRET"</formula1>
    </dataValidation>
    <dataValidation type="list" xr:uid="{1337ED5F-8672-4777-B511-45D0140E2A0D}" sqref="I29" showErrorMessage="1" errorTitle="An invalid feedback was entered" error="Please choose feedback from drop down only.">
      <formula1>"Yes,No,FlexRET"</formula1>
    </dataValidation>
    <dataValidation type="list" xr:uid="{4DDA85E5-8210-4757-85D6-D56DC8BEF87C}" sqref="J29" showErrorMessage="1" errorTitle="An invalid feedback was entered" error="Please choose feedback from drop down only.">
      <formula1>"Yes,No,FlexRET"</formula1>
    </dataValidation>
    <dataValidation type="list" xr:uid="{54064509-6669-4D32-8442-ED409DA45BC5}" sqref="K29" showErrorMessage="1" errorTitle="An invalid feedback was entered" error="Please choose feedback from drop down only.">
      <formula1>"Yes,No,FlexRET"</formula1>
    </dataValidation>
    <dataValidation type="list" xr:uid="{88E8841A-0E0D-452D-B7D9-020A3D502CE8}" sqref="L29" showErrorMessage="1" errorTitle="An invalid feedback was entered" error="Please choose feedback from drop down only.">
      <formula1>"Yes,No,FlexRET"</formula1>
    </dataValidation>
    <dataValidation type="list" xr:uid="{D5409D20-0B6F-4D38-8B9A-B29F49A214EC}" sqref="M29" showErrorMessage="1" errorTitle="An invalid feedback was entered" error="Please choose feedback from drop down only.">
      <formula1>"Yes,No,FlexRET"</formula1>
    </dataValidation>
    <dataValidation type="list" xr:uid="{61C37A2F-94B2-497A-8A28-03B81E8F97E4}" sqref="N29" showErrorMessage="1" errorTitle="An invalid feedback was entered" error="Please choose feedback from drop down only.">
      <formula1>"Yes,No,FlexRET"</formula1>
    </dataValidation>
    <dataValidation type="list" xr:uid="{7D01DE92-A231-4D0C-9AC0-846451A743A9}" sqref="O29" showErrorMessage="1" errorTitle="An invalid feedback was entered" error="Please choose feedback from drop down only.">
      <formula1>"Yes,No,FlexRET"</formula1>
    </dataValidation>
    <dataValidation type="list" xr:uid="{21E33BE9-66BC-401B-9B28-11377197CA21}" sqref="P29" showErrorMessage="1" errorTitle="An invalid feedback was entered" error="Please choose feedback from drop down only.">
      <formula1>"Yes,No,FlexRET"</formula1>
    </dataValidation>
    <dataValidation type="list" xr:uid="{CF9E2D50-6EE7-4854-9058-2C0F87A9A860}" sqref="Q29" showErrorMessage="1" errorTitle="An invalid feedback was entered" error="Please choose feedback from drop down only.">
      <formula1>"Yes,No,FlexRET"</formula1>
    </dataValidation>
    <dataValidation type="list" xr:uid="{6B98AD9E-E3BB-4B89-B5E8-631FA00AE764}" sqref="C25" showErrorMessage="1" errorTitle="An invalid feedback was entered" error="Please choose feedback from drop down only.">
      <formula1>"G,U,L,NR,GU,UL,GL,GUL,LNR,ULNR,None"</formula1>
    </dataValidation>
    <dataValidation type="list" xr:uid="{87BD31AF-1FF3-4273-88F2-5D2064B44FA4}" sqref="D25" showErrorMessage="1" errorTitle="An invalid feedback was entered" error="Please choose feedback from drop down only.">
      <formula1>"G,U,L,NR,GU,UL,GL,GUL,LNR,ULNR,None"</formula1>
    </dataValidation>
    <dataValidation type="list" xr:uid="{B0D3B998-0DFF-44B5-BB41-32A4EC7C9ED9}" sqref="E25" showErrorMessage="1" errorTitle="An invalid feedback was entered" error="Please choose feedback from drop down only.">
      <formula1>"G,U,L,NR,GU,UL,GL,GUL,LNR,ULNR,None"</formula1>
    </dataValidation>
    <dataValidation type="list" xr:uid="{E08D7243-1590-412B-A89B-38F2709C5058}" sqref="F25" showErrorMessage="1" errorTitle="An invalid feedback was entered" error="Please choose feedback from drop down only.">
      <formula1>"G,U,L,NR,GU,UL,GL,GUL,LNR,ULNR,None"</formula1>
    </dataValidation>
    <dataValidation type="list" xr:uid="{5E83DE7E-C31C-4272-B2B5-54439E8B8CA9}" sqref="G25" showErrorMessage="1" errorTitle="An invalid feedback was entered" error="Please choose feedback from drop down only.">
      <formula1>"G,U,L,NR,GU,UL,GL,GUL,LNR,ULNR,None"</formula1>
    </dataValidation>
    <dataValidation type="list" xr:uid="{6CD37BE8-AC3D-4440-92C4-D5B91C878BD9}" sqref="H25" showErrorMessage="1" errorTitle="An invalid feedback was entered" error="Please choose feedback from drop down only.">
      <formula1>"G,U,L,NR,GU,UL,GL,GUL,LNR,ULNR,None"</formula1>
    </dataValidation>
    <dataValidation type="list" xr:uid="{E2560A7D-A435-4B35-880B-831FEFFB9897}" sqref="I25" showErrorMessage="1" errorTitle="An invalid feedback was entered" error="Please choose feedback from drop down only.">
      <formula1>"G,U,L,NR,GU,UL,GL,GUL,LNR,ULNR,None"</formula1>
    </dataValidation>
    <dataValidation type="list" xr:uid="{B49CF04E-ACEF-47F3-999F-1AE28CF15955}" sqref="J25" showErrorMessage="1" errorTitle="An invalid feedback was entered" error="Please choose feedback from drop down only.">
      <formula1>"G,U,L,NR,GU,UL,GL,GUL,LNR,ULNR,None"</formula1>
    </dataValidation>
    <dataValidation type="list" xr:uid="{3F2C8996-991C-4BDD-9965-AB388E0F5C68}" sqref="K25" showErrorMessage="1" errorTitle="An invalid feedback was entered" error="Please choose feedback from drop down only.">
      <formula1>"G,U,L,NR,GU,UL,GL,GUL,LNR,ULNR,None"</formula1>
    </dataValidation>
    <dataValidation type="list" xr:uid="{7D75C922-2E42-4E53-BBAA-E7A5115AAE4A}" sqref="L25" showErrorMessage="1" errorTitle="An invalid feedback was entered" error="Please choose feedback from drop down only.">
      <formula1>"G,U,L,NR,GU,UL,GL,GUL,LNR,ULNR,None"</formula1>
    </dataValidation>
    <dataValidation type="list" xr:uid="{9F489015-3BF7-4DE2-AB3A-573FC6206F98}" sqref="M25" showErrorMessage="1" errorTitle="An invalid feedback was entered" error="Please choose feedback from drop down only.">
      <formula1>"G,U,L,NR,GU,UL,GL,GUL,LNR,ULNR,None"</formula1>
    </dataValidation>
    <dataValidation type="list" xr:uid="{07DE152F-F198-463A-AA52-860E83F120C6}" sqref="N25" showErrorMessage="1" errorTitle="An invalid feedback was entered" error="Please choose feedback from drop down only.">
      <formula1>"G,U,L,NR,GU,UL,GL,GUL,LNR,ULNR,None"</formula1>
    </dataValidation>
    <dataValidation type="list" xr:uid="{384CA781-6C32-425E-B2E9-931012FDDC90}" sqref="O25" showErrorMessage="1" errorTitle="An invalid feedback was entered" error="Please choose feedback from drop down only.">
      <formula1>"G,U,L,NR,GU,UL,GL,GUL,LNR,ULNR,None"</formula1>
    </dataValidation>
    <dataValidation type="list" xr:uid="{DA1B8F6C-0C56-4E95-9F26-8E5A995FD7A9}" sqref="P25" showErrorMessage="1" errorTitle="An invalid feedback was entered" error="Please choose feedback from drop down only.">
      <formula1>"G,U,L,NR,GU,UL,GL,GUL,LNR,ULNR,None"</formula1>
    </dataValidation>
    <dataValidation type="list" xr:uid="{A2EAD466-79C1-45D5-AAA8-8067C73917BC}" sqref="Q25" showErrorMessage="1" errorTitle="An invalid feedback was entered" error="Please choose feedback from drop down only.">
      <formula1>"G,U,L,NR,GU,UL,GL,GUL,LNR,ULNR,None"</formula1>
    </dataValidation>
    <dataValidation type="list" xr:uid="{312811DB-F0A4-4693-AC15-EE9E1B2B96FF}" sqref="C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F8A6ED86-79FE-4D35-8952-213BF5EA6EA0}" sqref="D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B6FB5D02-9D3E-43EF-AF88-5EC0CF516B0B}" sqref="E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D74C27BB-92F4-4703-AE80-3B0A55B91BE5}" sqref="F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E6E52245-2BBF-4C92-9084-63BB164F5C65}" sqref="G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EC18C4D5-CE32-4E06-A634-550D85E043BF}" sqref="H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B6B7A6F7-2D6B-41F4-B98A-9BE1FFCFB10C}" sqref="I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DEE57E9C-BF95-4534-8E1B-4D4275924659}" sqref="J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DC7A9245-F8CD-41F7-9BC5-C5848BBB819C}" sqref="K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4554AB28-AE5B-4D4C-8C2C-1C28CE50261A}" sqref="L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E827DA74-50A6-4F0F-9277-27509ECC7FAB}" sqref="M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0E777862-98B8-48DC-B8B9-FD12B9802F09}" sqref="N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1546E0B9-51AB-406D-BD5D-48D96945347B}" sqref="O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9C93280F-EAF6-47F7-9DFE-2C7133D7FD7F}" sqref="P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11110594-2002-4F68-B736-713C5E735BC6}" sqref="Q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</dataValidations>
  <pageMargins left="0.7" right="0.7" top="0.75" bottom="0.75" header="0.3" footer="0.3"/>
  <pageSetup orientation="portrait"/>
  <headerFooter/>
  <extLst>
    <ext xmlns:x14="http://schemas.microsoft.com/office/spreadsheetml/2009/9/main" uri="{CCE6A557-97BC-4b89-ADB6-D9C93CAAB3DF}">
      <x14:dataValidations xmlns:xm="http://schemas.microsoft.com/office/excel/2006/main" count="60">
        <x14:dataValidation type="list" xr:uid="{59ECFA69-0BEE-42F2-B023-E175E9D55A88}" error="Please choose feedback from drop down only." errorTitle="An invalid feedback was entered" showErrorMessage="1">
          <x14:formula1>
            <xm:f>Antennas!A:A</xm:f>
          </x14:formula1>
          <xm:sqref>C8</xm:sqref>
        </x14:dataValidation>
        <x14:dataValidation type="list" xr:uid="{789772B9-A5D3-4E7C-B5EA-3FD4D7942FD6}" error="Please choose feedback from drop down only." errorTitle="An invalid feedback was entered" showErrorMessage="1">
          <x14:formula1>
            <xm:f>Antennas!A:A</xm:f>
          </x14:formula1>
          <xm:sqref>D8</xm:sqref>
        </x14:dataValidation>
        <x14:dataValidation type="list" xr:uid="{9E86D6DF-20ED-47C1-AA78-219DA7EEABB3}" error="Please choose feedback from drop down only." errorTitle="An invalid feedback was entered" showErrorMessage="1">
          <x14:formula1>
            <xm:f>Antennas!A:A</xm:f>
          </x14:formula1>
          <xm:sqref>E8</xm:sqref>
        </x14:dataValidation>
        <x14:dataValidation type="list" xr:uid="{9B83FB14-226F-4B71-B686-D27EC6C87ED1}" error="Please choose feedback from drop down only." errorTitle="An invalid feedback was entered" showErrorMessage="1">
          <x14:formula1>
            <xm:f>Antennas!A:A</xm:f>
          </x14:formula1>
          <xm:sqref>F8</xm:sqref>
        </x14:dataValidation>
        <x14:dataValidation type="list" xr:uid="{65918A05-27FF-4AF8-8F78-EACDE55AB358}" error="Please choose feedback from drop down only." errorTitle="An invalid feedback was entered" showErrorMessage="1">
          <x14:formula1>
            <xm:f>Antennas!A:A</xm:f>
          </x14:formula1>
          <xm:sqref>G8</xm:sqref>
        </x14:dataValidation>
        <x14:dataValidation type="list" xr:uid="{4724403F-24D8-42B4-AF55-D6AEAFF4B938}" error="Please choose feedback from drop down only." errorTitle="An invalid feedback was entered" showErrorMessage="1">
          <x14:formula1>
            <xm:f>Antennas!A:A</xm:f>
          </x14:formula1>
          <xm:sqref>H8</xm:sqref>
        </x14:dataValidation>
        <x14:dataValidation type="list" xr:uid="{8A14C10F-A8A1-44C0-BE37-C2B72A422AAE}" error="Please choose feedback from drop down only." errorTitle="An invalid feedback was entered" showErrorMessage="1">
          <x14:formula1>
            <xm:f>Antennas!A:A</xm:f>
          </x14:formula1>
          <xm:sqref>I8</xm:sqref>
        </x14:dataValidation>
        <x14:dataValidation type="list" xr:uid="{6D2167FC-8182-4664-91B6-90C9A73BAA7D}" error="Please choose feedback from drop down only." errorTitle="An invalid feedback was entered" showErrorMessage="1">
          <x14:formula1>
            <xm:f>Antennas!A:A</xm:f>
          </x14:formula1>
          <xm:sqref>J8</xm:sqref>
        </x14:dataValidation>
        <x14:dataValidation type="list" xr:uid="{1759F675-33D0-4692-B105-8A429F0B7C16}" error="Please choose feedback from drop down only." errorTitle="An invalid feedback was entered" showErrorMessage="1">
          <x14:formula1>
            <xm:f>Antennas!A:A</xm:f>
          </x14:formula1>
          <xm:sqref>K8</xm:sqref>
        </x14:dataValidation>
        <x14:dataValidation type="list" xr:uid="{45C9DC4E-B06A-4D93-AD1C-93B601B996F1}" error="Please choose feedback from drop down only." errorTitle="An invalid feedback was entered" showErrorMessage="1">
          <x14:formula1>
            <xm:f>Antennas!A:A</xm:f>
          </x14:formula1>
          <xm:sqref>L8</xm:sqref>
        </x14:dataValidation>
        <x14:dataValidation type="list" xr:uid="{AA83F625-A98C-41F1-B8DB-F20D2299EE1C}" error="Please choose feedback from drop down only." errorTitle="An invalid feedback was entered" showErrorMessage="1">
          <x14:formula1>
            <xm:f>Antennas!A:A</xm:f>
          </x14:formula1>
          <xm:sqref>M8</xm:sqref>
        </x14:dataValidation>
        <x14:dataValidation type="list" xr:uid="{12853980-3FA1-4CA8-9C14-01B509F995EB}" error="Please choose feedback from drop down only." errorTitle="An invalid feedback was entered" showErrorMessage="1">
          <x14:formula1>
            <xm:f>Antennas!A:A</xm:f>
          </x14:formula1>
          <xm:sqref>N8</xm:sqref>
        </x14:dataValidation>
        <x14:dataValidation type="list" xr:uid="{DD3E72C7-D60C-4626-A568-DA7783B7AA88}" error="Please choose feedback from drop down only." errorTitle="An invalid feedback was entered" showErrorMessage="1">
          <x14:formula1>
            <xm:f>Antennas!A:A</xm:f>
          </x14:formula1>
          <xm:sqref>O8</xm:sqref>
        </x14:dataValidation>
        <x14:dataValidation type="list" xr:uid="{E87DA1EA-A703-4828-9063-3CA7096A2678}" error="Please choose feedback from drop down only." errorTitle="An invalid feedback was entered" showErrorMessage="1">
          <x14:formula1>
            <xm:f>Antennas!A:A</xm:f>
          </x14:formula1>
          <xm:sqref>P8</xm:sqref>
        </x14:dataValidation>
        <x14:dataValidation type="list" xr:uid="{B7813320-0BB6-4998-B8F8-A541072561B7}" error="Please choose feedback from drop down only." errorTitle="An invalid feedback was entered" showErrorMessage="1">
          <x14:formula1>
            <xm:f>Antennas!A:A</xm:f>
          </x14:formula1>
          <xm:sqref>Q8</xm:sqref>
        </x14:dataValidation>
        <x14:dataValidation type="list" xr:uid="{6DBE68E2-E6B6-4398-8F82-2B2BC6AFE4F8}" error="Please choose feedback from drop down only." errorTitle="An invalid feedback was entered" showErrorMessage="1">
          <x14:formula1>
            <xm:f>Combiners!A:A</xm:f>
          </x14:formula1>
          <xm:sqref>C39</xm:sqref>
        </x14:dataValidation>
        <x14:dataValidation type="list" xr:uid="{DA36E816-A633-4B57-B35C-5B0C734A7F41}" error="Please choose feedback from drop down only." errorTitle="An invalid feedback was entered" showErrorMessage="1">
          <x14:formula1>
            <xm:f>Combiners!A:A</xm:f>
          </x14:formula1>
          <xm:sqref>D39</xm:sqref>
        </x14:dataValidation>
        <x14:dataValidation type="list" xr:uid="{C703D537-A349-49E7-A1FB-70DD690C568E}" error="Please choose feedback from drop down only." errorTitle="An invalid feedback was entered" showErrorMessage="1">
          <x14:formula1>
            <xm:f>Combiners!A:A</xm:f>
          </x14:formula1>
          <xm:sqref>E39</xm:sqref>
        </x14:dataValidation>
        <x14:dataValidation type="list" xr:uid="{B740F096-5C2F-4AA6-8D36-13223FC4FC42}" error="Please choose feedback from drop down only." errorTitle="An invalid feedback was entered" showErrorMessage="1">
          <x14:formula1>
            <xm:f>Combiners!A:A</xm:f>
          </x14:formula1>
          <xm:sqref>F39</xm:sqref>
        </x14:dataValidation>
        <x14:dataValidation type="list" xr:uid="{57869738-821F-406A-A276-7EBE49F2E8C0}" error="Please choose feedback from drop down only." errorTitle="An invalid feedback was entered" showErrorMessage="1">
          <x14:formula1>
            <xm:f>Combiners!A:A</xm:f>
          </x14:formula1>
          <xm:sqref>G39</xm:sqref>
        </x14:dataValidation>
        <x14:dataValidation type="list" xr:uid="{E80AE05B-479D-4042-9438-5137B6C2AAC1}" error="Please choose feedback from drop down only." errorTitle="An invalid feedback was entered" showErrorMessage="1">
          <x14:formula1>
            <xm:f>Combiners!A:A</xm:f>
          </x14:formula1>
          <xm:sqref>H39</xm:sqref>
        </x14:dataValidation>
        <x14:dataValidation type="list" xr:uid="{EFF6CE2E-36DC-4964-A29C-B9E8B064CC57}" error="Please choose feedback from drop down only." errorTitle="An invalid feedback was entered" showErrorMessage="1">
          <x14:formula1>
            <xm:f>Combiners!A:A</xm:f>
          </x14:formula1>
          <xm:sqref>I39</xm:sqref>
        </x14:dataValidation>
        <x14:dataValidation type="list" xr:uid="{B74EEC6D-A37B-4EBA-AA18-9B6FDDF10192}" error="Please choose feedback from drop down only." errorTitle="An invalid feedback was entered" showErrorMessage="1">
          <x14:formula1>
            <xm:f>Combiners!A:A</xm:f>
          </x14:formula1>
          <xm:sqref>J39</xm:sqref>
        </x14:dataValidation>
        <x14:dataValidation type="list" xr:uid="{FC9DE805-DB87-44B6-927E-DAA18E621279}" error="Please choose feedback from drop down only." errorTitle="An invalid feedback was entered" showErrorMessage="1">
          <x14:formula1>
            <xm:f>Combiners!A:A</xm:f>
          </x14:formula1>
          <xm:sqref>K39</xm:sqref>
        </x14:dataValidation>
        <x14:dataValidation type="list" xr:uid="{7EA0F1E4-90B8-4000-970B-A356ED8FD61B}" error="Please choose feedback from drop down only." errorTitle="An invalid feedback was entered" showErrorMessage="1">
          <x14:formula1>
            <xm:f>Combiners!A:A</xm:f>
          </x14:formula1>
          <xm:sqref>L39</xm:sqref>
        </x14:dataValidation>
        <x14:dataValidation type="list" xr:uid="{D8A2EC79-0A0D-48E0-86DF-A472D4F38D6F}" error="Please choose feedback from drop down only." errorTitle="An invalid feedback was entered" showErrorMessage="1">
          <x14:formula1>
            <xm:f>Combiners!A:A</xm:f>
          </x14:formula1>
          <xm:sqref>M39</xm:sqref>
        </x14:dataValidation>
        <x14:dataValidation type="list" xr:uid="{645717A6-8342-4AE1-B9DC-A782F184D84A}" error="Please choose feedback from drop down only." errorTitle="An invalid feedback was entered" showErrorMessage="1">
          <x14:formula1>
            <xm:f>Combiners!A:A</xm:f>
          </x14:formula1>
          <xm:sqref>N39</xm:sqref>
        </x14:dataValidation>
        <x14:dataValidation type="list" xr:uid="{D1D4944B-1E68-427E-9FC0-C4A8ECE86422}" error="Please choose feedback from drop down only." errorTitle="An invalid feedback was entered" showErrorMessage="1">
          <x14:formula1>
            <xm:f>Combiners!A:A</xm:f>
          </x14:formula1>
          <xm:sqref>O39</xm:sqref>
        </x14:dataValidation>
        <x14:dataValidation type="list" xr:uid="{186FFF03-4191-47AE-A60F-DF496918DFDF}" error="Please choose feedback from drop down only." errorTitle="An invalid feedback was entered" showErrorMessage="1">
          <x14:formula1>
            <xm:f>Combiners!A:A</xm:f>
          </x14:formula1>
          <xm:sqref>P39</xm:sqref>
        </x14:dataValidation>
        <x14:dataValidation type="list" xr:uid="{77820370-73C7-441F-B54B-7AD5138DE556}" error="Please choose feedback from drop down only." errorTitle="An invalid feedback was entered" showErrorMessage="1">
          <x14:formula1>
            <xm:f>Combiners!A:A</xm:f>
          </x14:formula1>
          <xm:sqref>Q39</xm:sqref>
        </x14:dataValidation>
        <x14:dataValidation type="list" xr:uid="{BD9C873D-44D7-4E0F-8B9C-02CA265C0091}" error="Please choose feedback from drop down only." errorTitle="An invalid feedback was entered" showErrorMessage="0">
          <x14:formula1>
            <xm:f>RRUs!A:A</xm:f>
          </x14:formula1>
          <xm:sqref>C35</xm:sqref>
        </x14:dataValidation>
        <x14:dataValidation type="list" xr:uid="{C4737D22-2591-40A2-B93D-5F8403184A9F}" error="Please choose feedback from drop down only." errorTitle="An invalid feedback was entered" showErrorMessage="0">
          <x14:formula1>
            <xm:f>RRUs!A:A</xm:f>
          </x14:formula1>
          <xm:sqref>D35</xm:sqref>
        </x14:dataValidation>
        <x14:dataValidation type="list" xr:uid="{54FE895B-AF9A-49D0-8631-3CFD4C054093}" error="Please choose feedback from drop down only." errorTitle="An invalid feedback was entered" showErrorMessage="0">
          <x14:formula1>
            <xm:f>RRUs!A:A</xm:f>
          </x14:formula1>
          <xm:sqref>E35</xm:sqref>
        </x14:dataValidation>
        <x14:dataValidation type="list" xr:uid="{B063306B-9E85-4E16-A1C8-D1B5031D60A2}" error="Please choose feedback from drop down only." errorTitle="An invalid feedback was entered" showErrorMessage="0">
          <x14:formula1>
            <xm:f>RRUs!A:A</xm:f>
          </x14:formula1>
          <xm:sqref>F35</xm:sqref>
        </x14:dataValidation>
        <x14:dataValidation type="list" xr:uid="{DF3CFD97-2750-4A5E-809F-EC610F5FD458}" error="Please choose feedback from drop down only." errorTitle="An invalid feedback was entered" showErrorMessage="0">
          <x14:formula1>
            <xm:f>RRUs!A:A</xm:f>
          </x14:formula1>
          <xm:sqref>G35</xm:sqref>
        </x14:dataValidation>
        <x14:dataValidation type="list" xr:uid="{06B5B388-D035-4F55-8329-25AFA29655CA}" error="Please choose feedback from drop down only." errorTitle="An invalid feedback was entered" showErrorMessage="0">
          <x14:formula1>
            <xm:f>RRUs!A:A</xm:f>
          </x14:formula1>
          <xm:sqref>H35</xm:sqref>
        </x14:dataValidation>
        <x14:dataValidation type="list" xr:uid="{AD5C01DB-DCAB-4869-8F1E-40334F18B171}" error="Please choose feedback from drop down only." errorTitle="An invalid feedback was entered" showErrorMessage="0">
          <x14:formula1>
            <xm:f>RRUs!A:A</xm:f>
          </x14:formula1>
          <xm:sqref>I35</xm:sqref>
        </x14:dataValidation>
        <x14:dataValidation type="list" xr:uid="{CF5B90FD-9B94-4E39-A108-E48375EB7262}" error="Please choose feedback from drop down only." errorTitle="An invalid feedback was entered" showErrorMessage="0">
          <x14:formula1>
            <xm:f>RRUs!A:A</xm:f>
          </x14:formula1>
          <xm:sqref>J35</xm:sqref>
        </x14:dataValidation>
        <x14:dataValidation type="list" xr:uid="{0C83D4EE-0D3D-4187-BBA7-368EE660C479}" error="Please choose feedback from drop down only." errorTitle="An invalid feedback was entered" showErrorMessage="0">
          <x14:formula1>
            <xm:f>RRUs!A:A</xm:f>
          </x14:formula1>
          <xm:sqref>K35</xm:sqref>
        </x14:dataValidation>
        <x14:dataValidation type="list" xr:uid="{B1D989F0-C459-42C2-8009-BDF0C49C3151}" error="Please choose feedback from drop down only." errorTitle="An invalid feedback was entered" showErrorMessage="0">
          <x14:formula1>
            <xm:f>RRUs!A:A</xm:f>
          </x14:formula1>
          <xm:sqref>L35</xm:sqref>
        </x14:dataValidation>
        <x14:dataValidation type="list" xr:uid="{5E55DE29-32C0-4215-A3CB-2CF0DD83A753}" error="Please choose feedback from drop down only." errorTitle="An invalid feedback was entered" showErrorMessage="0">
          <x14:formula1>
            <xm:f>RRUs!A:A</xm:f>
          </x14:formula1>
          <xm:sqref>M35</xm:sqref>
        </x14:dataValidation>
        <x14:dataValidation type="list" xr:uid="{4C731871-B1DF-444A-A524-03FAA896D43E}" error="Please choose feedback from drop down only." errorTitle="An invalid feedback was entered" showErrorMessage="0">
          <x14:formula1>
            <xm:f>RRUs!A:A</xm:f>
          </x14:formula1>
          <xm:sqref>N35</xm:sqref>
        </x14:dataValidation>
        <x14:dataValidation type="list" xr:uid="{3A1FE2C9-FF0F-4334-99A2-789CEEFDDD55}" error="Please choose feedback from drop down only." errorTitle="An invalid feedback was entered" showErrorMessage="0">
          <x14:formula1>
            <xm:f>RRUs!A:A</xm:f>
          </x14:formula1>
          <xm:sqref>O35</xm:sqref>
        </x14:dataValidation>
        <x14:dataValidation type="list" xr:uid="{532C5871-BF4C-49FC-A694-A344865AF230}" error="Please choose feedback from drop down only." errorTitle="An invalid feedback was entered" showErrorMessage="0">
          <x14:formula1>
            <xm:f>RRUs!A:A</xm:f>
          </x14:formula1>
          <xm:sqref>P35</xm:sqref>
        </x14:dataValidation>
        <x14:dataValidation type="list" xr:uid="{B9EF72F3-202B-4080-AE41-E3CFD4EC1FC2}" error="Please choose feedback from drop down only." errorTitle="An invalid feedback was entered" showErrorMessage="0">
          <x14:formula1>
            <xm:f>RRUs!A:A</xm:f>
          </x14:formula1>
          <xm:sqref>Q35</xm:sqref>
        </x14:dataValidation>
        <x14:dataValidation type="list" xr:uid="{46CDF16B-C567-46E3-AE07-42C90ECEAD4F}" error="Please choose feedback from drop down only." errorTitle="An invalid feedback was entered" showErrorMessage="1">
          <x14:formula1>
            <xm:f>Combiners!A:A</xm:f>
          </x14:formula1>
          <xm:sqref>C41</xm:sqref>
        </x14:dataValidation>
        <x14:dataValidation type="list" xr:uid="{ABEB34A9-43A7-4EEB-9551-ED72DECD2E77}" error="Please choose feedback from drop down only." errorTitle="An invalid feedback was entered" showErrorMessage="1">
          <x14:formula1>
            <xm:f>Combiners!A:A</xm:f>
          </x14:formula1>
          <xm:sqref>D41</xm:sqref>
        </x14:dataValidation>
        <x14:dataValidation type="list" xr:uid="{175481A9-A835-4925-AA7B-CB705E3E89DC}" error="Please choose feedback from drop down only." errorTitle="An invalid feedback was entered" showErrorMessage="1">
          <x14:formula1>
            <xm:f>Combiners!A:A</xm:f>
          </x14:formula1>
          <xm:sqref>E41</xm:sqref>
        </x14:dataValidation>
        <x14:dataValidation type="list" xr:uid="{054143B4-BA98-4E2F-B4B9-17072EC842FE}" error="Please choose feedback from drop down only." errorTitle="An invalid feedback was entered" showErrorMessage="1">
          <x14:formula1>
            <xm:f>Combiners!A:A</xm:f>
          </x14:formula1>
          <xm:sqref>F41</xm:sqref>
        </x14:dataValidation>
        <x14:dataValidation type="list" xr:uid="{6E4CA734-47B7-4BAD-8CA1-3628F2B4A835}" error="Please choose feedback from drop down only." errorTitle="An invalid feedback was entered" showErrorMessage="1">
          <x14:formula1>
            <xm:f>Combiners!A:A</xm:f>
          </x14:formula1>
          <xm:sqref>G41</xm:sqref>
        </x14:dataValidation>
        <x14:dataValidation type="list" xr:uid="{8A068822-09C1-480F-A0C7-99D7003304DE}" error="Please choose feedback from drop down only." errorTitle="An invalid feedback was entered" showErrorMessage="1">
          <x14:formula1>
            <xm:f>Combiners!A:A</xm:f>
          </x14:formula1>
          <xm:sqref>H41</xm:sqref>
        </x14:dataValidation>
        <x14:dataValidation type="list" xr:uid="{21646DB3-79B4-4570-A055-8EB3AEFC8F0A}" error="Please choose feedback from drop down only." errorTitle="An invalid feedback was entered" showErrorMessage="1">
          <x14:formula1>
            <xm:f>Combiners!A:A</xm:f>
          </x14:formula1>
          <xm:sqref>I41</xm:sqref>
        </x14:dataValidation>
        <x14:dataValidation type="list" xr:uid="{0CA469E7-4EB1-4AE2-B0D2-C06DC3E9F290}" error="Please choose feedback from drop down only." errorTitle="An invalid feedback was entered" showErrorMessage="1">
          <x14:formula1>
            <xm:f>Combiners!A:A</xm:f>
          </x14:formula1>
          <xm:sqref>J41</xm:sqref>
        </x14:dataValidation>
        <x14:dataValidation type="list" xr:uid="{7870645E-8CDB-42EA-B0F3-46F8402ECE04}" error="Please choose feedback from drop down only." errorTitle="An invalid feedback was entered" showErrorMessage="1">
          <x14:formula1>
            <xm:f>Combiners!A:A</xm:f>
          </x14:formula1>
          <xm:sqref>K41</xm:sqref>
        </x14:dataValidation>
        <x14:dataValidation type="list" xr:uid="{95F0EACA-4A3F-4B7B-8636-A736638F8221}" error="Please choose feedback from drop down only." errorTitle="An invalid feedback was entered" showErrorMessage="1">
          <x14:formula1>
            <xm:f>Combiners!A:A</xm:f>
          </x14:formula1>
          <xm:sqref>L41</xm:sqref>
        </x14:dataValidation>
        <x14:dataValidation type="list" xr:uid="{4485BAE1-381A-4570-A2C2-38960C9057E9}" error="Please choose feedback from drop down only." errorTitle="An invalid feedback was entered" showErrorMessage="1">
          <x14:formula1>
            <xm:f>Combiners!A:A</xm:f>
          </x14:formula1>
          <xm:sqref>M41</xm:sqref>
        </x14:dataValidation>
        <x14:dataValidation type="list" xr:uid="{B33B1973-2527-4684-9426-9DFBCAB65613}" error="Please choose feedback from drop down only." errorTitle="An invalid feedback was entered" showErrorMessage="1">
          <x14:formula1>
            <xm:f>Combiners!A:A</xm:f>
          </x14:formula1>
          <xm:sqref>N41</xm:sqref>
        </x14:dataValidation>
        <x14:dataValidation type="list" xr:uid="{C069C332-B0E4-4E37-8065-8996AA37F2CD}" error="Please choose feedback from drop down only." errorTitle="An invalid feedback was entered" showErrorMessage="1">
          <x14:formula1>
            <xm:f>Combiners!A:A</xm:f>
          </x14:formula1>
          <xm:sqref>O41</xm:sqref>
        </x14:dataValidation>
        <x14:dataValidation type="list" xr:uid="{77551B68-A62A-4CAB-9D0C-BB1299957C1C}" error="Please choose feedback from drop down only." errorTitle="An invalid feedback was entered" showErrorMessage="1">
          <x14:formula1>
            <xm:f>Combiners!A:A</xm:f>
          </x14:formula1>
          <xm:sqref>P41</xm:sqref>
        </x14:dataValidation>
        <x14:dataValidation type="list" xr:uid="{EDDC4D61-B077-4C66-927E-F93DF2E94F7B}" error="Please choose feedback from drop down only." errorTitle="An invalid feedback was entered" showErrorMessage="1">
          <x14:formula1>
            <xm:f>Combiners!A:A</xm:f>
          </x14:formula1>
          <xm:sqref>Q41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10"/>
  <dimension ref="A1:U45"/>
  <sheetViews>
    <sheetView zoomScale="90" zoomScaleNormal="90" workbookViewId="0">
      <selection activeCell="C8" sqref="C8:H8"/>
    </sheetView>
  </sheetViews>
  <sheetFormatPr defaultColWidth="9.1328125" defaultRowHeight="12.75"/>
  <cols>
    <col min="1" max="1" bestFit="1" width="10.265625" customWidth="1" style="6"/>
    <col min="2" max="2" bestFit="1" width="40.1328125" customWidth="1" style="7"/>
    <col min="3" max="7" width="9.1328125" customWidth="1" style="21"/>
    <col min="8" max="8" bestFit="1" width="9.3984375" customWidth="1" style="21"/>
    <col min="9" max="16384" width="9.1328125" customWidth="1" style="21"/>
  </cols>
  <sheetData>
    <row r="1" ht="25.15" customHeight="1">
      <c r="A1" s="197"/>
      <c r="B1" s="198"/>
      <c r="C1" s="258" t="s">
        <v>112</v>
      </c>
      <c r="D1" s="258"/>
      <c r="E1" s="258"/>
      <c r="F1" s="258"/>
      <c r="G1" s="258"/>
      <c r="H1" s="258"/>
      <c r="I1" s="258"/>
      <c r="J1" s="258"/>
      <c r="K1" s="258"/>
      <c r="L1" s="258"/>
      <c r="M1" s="258"/>
      <c r="N1" s="258"/>
      <c r="O1" s="258"/>
      <c r="P1" s="258"/>
    </row>
    <row r="2" ht="18">
      <c r="A2" s="33"/>
      <c r="B2" s="14" t="s">
        <v>1</v>
      </c>
      <c r="C2" s="217">
        <v>1</v>
      </c>
      <c r="D2" s="251"/>
      <c r="E2" s="251"/>
      <c r="F2" s="251"/>
      <c r="G2" s="251"/>
      <c r="H2" s="219"/>
      <c r="I2" s="252">
        <v>2</v>
      </c>
      <c r="J2" s="253"/>
      <c r="K2" s="253"/>
      <c r="L2" s="254"/>
      <c r="M2" s="252">
        <v>3</v>
      </c>
      <c r="N2" s="253"/>
      <c r="O2" s="255"/>
      <c r="P2" s="72">
        <v>4</v>
      </c>
    </row>
    <row r="3" ht="17.25">
      <c r="A3" s="241"/>
      <c r="B3" s="12" t="s">
        <v>2</v>
      </c>
      <c r="C3" s="211"/>
      <c r="D3" s="212"/>
      <c r="E3" s="212"/>
      <c r="F3" s="212"/>
      <c r="G3" s="212"/>
      <c r="H3" s="212"/>
      <c r="I3" s="212"/>
      <c r="J3" s="212"/>
      <c r="K3" s="212"/>
      <c r="L3" s="212"/>
      <c r="M3" s="212"/>
      <c r="N3" s="212"/>
      <c r="O3" s="212"/>
      <c r="P3" s="213"/>
    </row>
    <row r="4" ht="25.15" s="22" customFormat="1">
      <c r="A4" s="241"/>
      <c r="B4" s="9" t="s">
        <v>3</v>
      </c>
      <c r="C4" s="270"/>
      <c r="D4" s="271"/>
      <c r="E4" s="271"/>
      <c r="F4" s="271"/>
      <c r="G4" s="271"/>
      <c r="H4" s="271"/>
      <c r="I4" s="271"/>
      <c r="J4" s="271"/>
      <c r="K4" s="271"/>
      <c r="L4" s="271"/>
      <c r="M4" s="271"/>
      <c r="N4" s="271"/>
      <c r="O4" s="271"/>
      <c r="P4" s="272"/>
    </row>
    <row r="5" ht="24.75">
      <c r="A5" s="241"/>
      <c r="B5" s="13" t="s">
        <v>4</v>
      </c>
      <c r="C5" s="245"/>
      <c r="D5" s="246"/>
      <c r="E5" s="246"/>
      <c r="F5" s="246"/>
      <c r="G5" s="246"/>
      <c r="H5" s="246"/>
      <c r="I5" s="246"/>
      <c r="J5" s="246"/>
      <c r="K5" s="246"/>
      <c r="L5" s="246"/>
      <c r="M5" s="246"/>
      <c r="N5" s="246"/>
      <c r="O5" s="246"/>
      <c r="P5" s="247"/>
    </row>
    <row r="6" ht="25.15" s="22" customFormat="1">
      <c r="A6" s="241"/>
      <c r="B6" s="32" t="s">
        <v>5</v>
      </c>
      <c r="C6" s="248"/>
      <c r="D6" s="249"/>
      <c r="E6" s="249"/>
      <c r="F6" s="249"/>
      <c r="G6" s="249"/>
      <c r="H6" s="249"/>
      <c r="I6" s="249"/>
      <c r="J6" s="249"/>
      <c r="K6" s="249"/>
      <c r="L6" s="249"/>
      <c r="M6" s="249"/>
      <c r="N6" s="249"/>
      <c r="O6" s="249"/>
      <c r="P6" s="250"/>
    </row>
    <row r="7" ht="17.25">
      <c r="A7" s="241"/>
      <c r="B7" s="8" t="s">
        <v>6</v>
      </c>
      <c r="C7" s="226"/>
      <c r="D7" s="227"/>
      <c r="E7" s="227"/>
      <c r="F7" s="227"/>
      <c r="G7" s="227"/>
      <c r="H7" s="228"/>
      <c r="I7" s="227"/>
      <c r="J7" s="227"/>
      <c r="K7" s="227"/>
      <c r="L7" s="228"/>
      <c r="M7" s="227"/>
      <c r="N7" s="227"/>
      <c r="O7" s="228"/>
      <c r="P7" s="94"/>
    </row>
    <row r="8" ht="17.65" s="22" customFormat="1">
      <c r="A8" s="241"/>
      <c r="B8" s="9" t="s">
        <v>7</v>
      </c>
      <c r="C8" s="229"/>
      <c r="D8" s="230"/>
      <c r="E8" s="230"/>
      <c r="F8" s="230"/>
      <c r="G8" s="230"/>
      <c r="H8" s="231"/>
      <c r="I8" s="229"/>
      <c r="J8" s="230"/>
      <c r="K8" s="230"/>
      <c r="L8" s="231"/>
      <c r="M8" s="229"/>
      <c r="N8" s="230"/>
      <c r="O8" s="231"/>
      <c r="P8" s="95"/>
    </row>
    <row r="9" ht="17.25">
      <c r="A9" s="241"/>
      <c r="B9" s="8" t="s">
        <v>8</v>
      </c>
      <c r="C9" s="211"/>
      <c r="D9" s="212"/>
      <c r="E9" s="212"/>
      <c r="F9" s="212"/>
      <c r="G9" s="212"/>
      <c r="H9" s="213"/>
      <c r="I9" s="212"/>
      <c r="J9" s="212"/>
      <c r="K9" s="212"/>
      <c r="L9" s="213"/>
      <c r="M9" s="212"/>
      <c r="N9" s="212"/>
      <c r="O9" s="213"/>
      <c r="P9" s="94"/>
    </row>
    <row r="10" ht="17.65" s="22" customFormat="1">
      <c r="A10" s="241"/>
      <c r="B10" s="10" t="s">
        <v>9</v>
      </c>
      <c r="C10" s="229"/>
      <c r="D10" s="230"/>
      <c r="E10" s="230"/>
      <c r="F10" s="230"/>
      <c r="G10" s="230"/>
      <c r="H10" s="231"/>
      <c r="I10" s="229"/>
      <c r="J10" s="230"/>
      <c r="K10" s="230"/>
      <c r="L10" s="231"/>
      <c r="M10" s="229"/>
      <c r="N10" s="230"/>
      <c r="O10" s="231"/>
      <c r="P10" s="95"/>
    </row>
    <row r="11" ht="17.25">
      <c r="A11" s="241"/>
      <c r="B11" s="8" t="s">
        <v>10</v>
      </c>
      <c r="C11" s="211"/>
      <c r="D11" s="212"/>
      <c r="E11" s="212"/>
      <c r="F11" s="212"/>
      <c r="G11" s="212"/>
      <c r="H11" s="213"/>
      <c r="I11" s="212"/>
      <c r="J11" s="212"/>
      <c r="K11" s="212"/>
      <c r="L11" s="213"/>
      <c r="M11" s="212"/>
      <c r="N11" s="212"/>
      <c r="O11" s="213"/>
      <c r="P11" s="94"/>
    </row>
    <row r="12" ht="17.65" s="22" customFormat="1">
      <c r="A12" s="241"/>
      <c r="B12" s="10" t="s">
        <v>11</v>
      </c>
      <c r="C12" s="214"/>
      <c r="D12" s="215"/>
      <c r="E12" s="215"/>
      <c r="F12" s="215"/>
      <c r="G12" s="215"/>
      <c r="H12" s="216"/>
      <c r="I12" s="214"/>
      <c r="J12" s="215"/>
      <c r="K12" s="215"/>
      <c r="L12" s="216"/>
      <c r="M12" s="214"/>
      <c r="N12" s="215"/>
      <c r="O12" s="216"/>
      <c r="P12" s="95"/>
    </row>
    <row r="13" ht="17.25">
      <c r="A13" s="241"/>
      <c r="B13" s="8" t="s">
        <v>12</v>
      </c>
      <c r="C13" s="211"/>
      <c r="D13" s="212"/>
      <c r="E13" s="212"/>
      <c r="F13" s="212"/>
      <c r="G13" s="212"/>
      <c r="H13" s="213"/>
      <c r="I13" s="212"/>
      <c r="J13" s="212"/>
      <c r="K13" s="212"/>
      <c r="L13" s="213"/>
      <c r="M13" s="212"/>
      <c r="N13" s="212"/>
      <c r="O13" s="213"/>
      <c r="P13" s="94"/>
    </row>
    <row r="14" ht="17.65" s="22" customFormat="1">
      <c r="A14" s="241"/>
      <c r="B14" s="10" t="s">
        <v>13</v>
      </c>
      <c r="C14" s="208"/>
      <c r="D14" s="209"/>
      <c r="E14" s="209"/>
      <c r="F14" s="209"/>
      <c r="G14" s="209"/>
      <c r="H14" s="210"/>
      <c r="I14" s="208"/>
      <c r="J14" s="209"/>
      <c r="K14" s="209"/>
      <c r="L14" s="210"/>
      <c r="M14" s="208"/>
      <c r="N14" s="209"/>
      <c r="O14" s="210"/>
      <c r="P14" s="96"/>
    </row>
    <row r="15" ht="17.25">
      <c r="A15" s="241"/>
      <c r="B15" s="8" t="s">
        <v>14</v>
      </c>
      <c r="C15" s="211"/>
      <c r="D15" s="212"/>
      <c r="E15" s="212"/>
      <c r="F15" s="212"/>
      <c r="G15" s="212"/>
      <c r="H15" s="213"/>
      <c r="I15" s="212"/>
      <c r="J15" s="212"/>
      <c r="K15" s="212"/>
      <c r="L15" s="213"/>
      <c r="M15" s="212"/>
      <c r="N15" s="212"/>
      <c r="O15" s="213"/>
      <c r="P15" s="97"/>
    </row>
    <row r="16" ht="17.25" s="22" customFormat="1">
      <c r="A16" s="241"/>
      <c r="B16" s="68" t="s">
        <v>15</v>
      </c>
      <c r="C16" s="199"/>
      <c r="D16" s="273"/>
      <c r="E16" s="273"/>
      <c r="F16" s="273"/>
      <c r="G16" s="273"/>
      <c r="H16" s="274"/>
      <c r="I16" s="205"/>
      <c r="J16" s="206"/>
      <c r="K16" s="206"/>
      <c r="L16" s="207"/>
      <c r="M16" s="205"/>
      <c r="N16" s="206"/>
      <c r="O16" s="207"/>
      <c r="P16" s="98"/>
    </row>
    <row r="17" ht="17.25">
      <c r="A17" s="256"/>
      <c r="B17" s="70" t="s">
        <v>16</v>
      </c>
      <c r="C17" s="63" t="s">
        <v>17</v>
      </c>
      <c r="D17" s="64" t="s">
        <v>18</v>
      </c>
      <c r="E17" s="64" t="s">
        <v>19</v>
      </c>
      <c r="F17" s="64" t="s">
        <v>20</v>
      </c>
      <c r="G17" s="64" t="s">
        <v>21</v>
      </c>
      <c r="H17" s="65" t="s">
        <v>22</v>
      </c>
      <c r="I17" s="63" t="s">
        <v>17</v>
      </c>
      <c r="J17" s="64" t="s">
        <v>18</v>
      </c>
      <c r="K17" s="64" t="s">
        <v>19</v>
      </c>
      <c r="L17" s="65" t="s">
        <v>20</v>
      </c>
      <c r="M17" s="63" t="s">
        <v>17</v>
      </c>
      <c r="N17" s="64" t="s">
        <v>18</v>
      </c>
      <c r="O17" s="65" t="s">
        <v>19</v>
      </c>
      <c r="P17" s="76" t="s">
        <v>17</v>
      </c>
    </row>
    <row r="18" ht="17.25">
      <c r="A18" s="256"/>
      <c r="B18" s="70" t="s">
        <v>23</v>
      </c>
      <c r="C18" s="63"/>
      <c r="D18" s="64"/>
      <c r="E18" s="64"/>
      <c r="F18" s="64"/>
      <c r="G18" s="64"/>
      <c r="H18" s="65"/>
      <c r="I18" s="63"/>
      <c r="J18" s="64"/>
      <c r="K18" s="64"/>
      <c r="L18" s="65"/>
      <c r="M18" s="63"/>
      <c r="N18" s="64"/>
      <c r="O18" s="65"/>
      <c r="P18" s="77"/>
    </row>
    <row r="19" ht="17.25">
      <c r="A19" s="256"/>
      <c r="B19" s="71" t="s">
        <v>24</v>
      </c>
      <c r="C19" s="105">
        <f>VLOOKUP(C8,AntennasPortName!A:H,2,FALSE)</f>
      </c>
      <c r="D19" s="105">
        <f>VLOOKUP(C8,AntennasPortName!A:H,3,FALSE)</f>
      </c>
      <c r="E19" s="105">
        <f>VLOOKUP(C8,AntennasPortName!A:H,4,FALSE)</f>
      </c>
      <c r="F19" s="105">
        <f>VLOOKUP(C8,AntennasPortName!A:H,5,FALSE)</f>
      </c>
      <c r="G19" s="105">
        <f>VLOOKUP(C8,AntennasPortName!A:H,6,FALSE)</f>
      </c>
      <c r="H19" s="105">
        <f>VLOOKUP(C8,AntennasPortName!A:H,7,FALSE)</f>
      </c>
      <c r="I19" s="105">
        <f>VLOOKUP(I8,AntennasPortName!A:H,2,FALSE)</f>
      </c>
      <c r="J19" s="105">
        <f>VLOOKUP(I8,AntennasPortName!A:H,3,FALSE)</f>
      </c>
      <c r="K19" s="105">
        <f>VLOOKUP(I8,AntennasPortName!A:H,4,FALSE)</f>
      </c>
      <c r="L19" s="105">
        <f>VLOOKUP(I8,AntennasPortName!A:H,5,FALSE)</f>
      </c>
      <c r="M19" s="105">
        <f>VLOOKUP(M8,AntennasPortName!A:H,2,FALSE)</f>
      </c>
      <c r="N19" s="105">
        <f>VLOOKUP(M8,AntennasPortName!A:H,3,FALSE)</f>
      </c>
      <c r="O19" s="105">
        <f>VLOOKUP(M8,AntennasPortName!A:H,4,FALSE)</f>
      </c>
      <c r="P19" s="105">
        <f>VLOOKUP(P8,AntennasPortName!A:H,2,FALSE)</f>
      </c>
      <c r="Q19" s="106"/>
    </row>
    <row r="20" ht="17.25">
      <c r="A20" s="241"/>
      <c r="B20" s="69" t="s">
        <v>25</v>
      </c>
      <c r="C20" s="61"/>
      <c r="D20" s="62"/>
      <c r="E20" s="62"/>
      <c r="F20" s="62"/>
      <c r="G20" s="62"/>
      <c r="H20" s="62"/>
      <c r="I20" s="61"/>
      <c r="J20" s="62"/>
      <c r="K20" s="62"/>
      <c r="L20" s="66"/>
      <c r="M20" s="67"/>
      <c r="N20" s="62"/>
      <c r="O20" s="66"/>
      <c r="P20" s="66"/>
    </row>
    <row r="21" ht="17.65">
      <c r="A21" s="241"/>
      <c r="B21" s="18" t="s">
        <v>26</v>
      </c>
      <c r="C21" s="42">
        <f>VLOOKUP(C8,Antennas!A:H,2,FALSE)</f>
      </c>
      <c r="D21" s="43">
        <f>VLOOKUP(C8,Antennas!A:H,3,FALSE)</f>
      </c>
      <c r="E21" s="43">
        <f>VLOOKUP(C8,Antennas!A:H,4,FALSE)</f>
      </c>
      <c r="F21" s="43">
        <f>VLOOKUP(C8,Antennas!A:H,5,FALSE)</f>
      </c>
      <c r="G21" s="43">
        <f>VLOOKUP(C8,Antennas!A:H,6,FALSE)</f>
      </c>
      <c r="H21" s="43">
        <f>VLOOKUP(C8,Antennas!A:H,7,FALSE)</f>
      </c>
      <c r="I21" s="43">
        <f>VLOOKUP(I8,Antennas!A:H,2,FALSE)</f>
      </c>
      <c r="J21" s="43">
        <f>VLOOKUP(I8,Antennas!A:H,3,FALSE)</f>
      </c>
      <c r="K21" s="43">
        <f>VLOOKUP(I8,Antennas!A:H,4,FALSE)</f>
      </c>
      <c r="L21" s="44">
        <f>VLOOKUP(I8,Antennas!A:H,5,FALSE)</f>
      </c>
      <c r="M21" s="45">
        <f>VLOOKUP(M8,Antennas!A:H,2,FALSE)</f>
      </c>
      <c r="N21" s="43">
        <f>VLOOKUP(M8,Antennas!A:H,3,FALSE)</f>
      </c>
      <c r="O21" s="42">
        <f>VLOOKUP(M8,Antennas!A:H,4,FALSE)</f>
      </c>
      <c r="P21" s="42">
        <f>VLOOKUP(P8,Antennas!A:H,2,FALSE)</f>
      </c>
      <c r="R21" s="17"/>
    </row>
    <row r="22" ht="17.65" s="22" customFormat="1">
      <c r="A22" s="241"/>
      <c r="B22" s="28" t="s">
        <v>27</v>
      </c>
      <c r="C22" s="46"/>
      <c r="D22" s="47"/>
      <c r="E22" s="47"/>
      <c r="F22" s="47"/>
      <c r="G22" s="47"/>
      <c r="H22" s="47"/>
      <c r="I22" s="47"/>
      <c r="J22" s="47"/>
      <c r="K22" s="47"/>
      <c r="L22" s="48"/>
      <c r="M22" s="49"/>
      <c r="N22" s="47"/>
      <c r="O22" s="50"/>
      <c r="P22" s="50"/>
    </row>
    <row r="23" ht="17.65" s="22" customFormat="1">
      <c r="A23" s="241"/>
      <c r="B23" s="28" t="s">
        <v>28</v>
      </c>
      <c r="C23" s="46"/>
      <c r="D23" s="46"/>
      <c r="E23" s="46"/>
      <c r="F23" s="46"/>
      <c r="G23" s="46"/>
      <c r="H23" s="46"/>
      <c r="I23" s="46"/>
      <c r="J23" s="46"/>
      <c r="K23" s="46"/>
      <c r="L23" s="46"/>
      <c r="M23" s="46"/>
      <c r="N23" s="46"/>
      <c r="O23" s="46"/>
      <c r="P23" s="46"/>
    </row>
    <row r="24" ht="17.25">
      <c r="A24" s="241"/>
      <c r="B24" s="11" t="s">
        <v>29</v>
      </c>
      <c r="C24" s="25"/>
      <c r="D24" s="25"/>
      <c r="E24" s="25"/>
      <c r="F24" s="25"/>
      <c r="G24" s="25"/>
      <c r="H24" s="25"/>
      <c r="I24" s="25"/>
      <c r="J24" s="25"/>
      <c r="K24" s="25"/>
      <c r="L24" s="25"/>
      <c r="M24" s="25"/>
      <c r="N24" s="25"/>
      <c r="O24" s="25"/>
      <c r="P24" s="25"/>
    </row>
    <row r="25" ht="17.65" s="22" customFormat="1">
      <c r="A25" s="241"/>
      <c r="B25" s="29" t="s">
        <v>30</v>
      </c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78"/>
    </row>
    <row r="26" ht="17.25">
      <c r="A26" s="241"/>
      <c r="B26" s="27" t="s">
        <v>31</v>
      </c>
      <c r="C26" s="24"/>
      <c r="D26" s="24"/>
      <c r="E26" s="24"/>
      <c r="F26" s="24"/>
      <c r="G26" s="24"/>
      <c r="H26" s="24"/>
      <c r="I26" s="24"/>
      <c r="J26" s="24"/>
      <c r="K26" s="24"/>
      <c r="L26" s="24"/>
      <c r="M26" s="24"/>
      <c r="N26" s="24"/>
      <c r="O26" s="24"/>
      <c r="P26" s="24"/>
    </row>
    <row r="27" ht="17.65" s="22" customFormat="1">
      <c r="A27" s="241"/>
      <c r="B27" s="30" t="s">
        <v>32</v>
      </c>
      <c r="C27" s="52"/>
      <c r="D27" s="52"/>
      <c r="E27" s="52"/>
      <c r="F27" s="52"/>
      <c r="G27" s="52"/>
      <c r="H27" s="52"/>
      <c r="I27" s="52"/>
      <c r="J27" s="52"/>
      <c r="K27" s="52"/>
      <c r="L27" s="52"/>
      <c r="M27" s="52"/>
      <c r="N27" s="52"/>
      <c r="O27" s="52"/>
      <c r="P27" s="52"/>
    </row>
    <row r="28" ht="17.25">
      <c r="A28" s="241"/>
      <c r="B28" s="11" t="s">
        <v>33</v>
      </c>
      <c r="C28" s="24"/>
      <c r="D28" s="24"/>
      <c r="E28" s="24"/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</row>
    <row r="29" ht="17.65" s="22" customFormat="1">
      <c r="A29" s="241"/>
      <c r="B29" s="31" t="s">
        <v>34</v>
      </c>
      <c r="C29" s="51"/>
      <c r="D29" s="51"/>
      <c r="E29" s="51"/>
      <c r="F29" s="51"/>
      <c r="G29" s="51"/>
      <c r="H29" s="51"/>
      <c r="I29" s="51"/>
      <c r="J29" s="51"/>
      <c r="K29" s="51"/>
      <c r="L29" s="51"/>
      <c r="M29" s="51"/>
      <c r="N29" s="51"/>
      <c r="O29" s="51"/>
      <c r="P29" s="78"/>
    </row>
    <row r="30" ht="17.25">
      <c r="A30" s="241"/>
      <c r="B30" s="27" t="s">
        <v>35</v>
      </c>
      <c r="C30" s="24"/>
      <c r="D30" s="24"/>
      <c r="E30" s="24"/>
      <c r="F30" s="24"/>
      <c r="G30" s="24"/>
      <c r="H30" s="24"/>
      <c r="I30" s="24"/>
      <c r="J30" s="24"/>
      <c r="K30" s="24"/>
      <c r="L30" s="24"/>
      <c r="M30" s="24"/>
      <c r="N30" s="24"/>
      <c r="O30" s="24"/>
      <c r="P30" s="24"/>
    </row>
    <row r="31" ht="17.65" s="22" customFormat="1">
      <c r="A31" s="241"/>
      <c r="B31" s="30" t="s">
        <v>36</v>
      </c>
      <c r="C31" s="53"/>
      <c r="D31" s="53"/>
      <c r="E31" s="53"/>
      <c r="F31" s="53"/>
      <c r="G31" s="53"/>
      <c r="H31" s="53"/>
      <c r="I31" s="53"/>
      <c r="J31" s="53"/>
      <c r="K31" s="53"/>
      <c r="L31" s="53"/>
      <c r="M31" s="53"/>
      <c r="N31" s="53"/>
      <c r="O31" s="53"/>
      <c r="P31" s="79"/>
    </row>
    <row r="32" ht="17.25">
      <c r="A32" s="241"/>
      <c r="B32" s="11" t="s">
        <v>37</v>
      </c>
      <c r="C32" s="25"/>
      <c r="D32" s="25"/>
      <c r="E32" s="25"/>
      <c r="F32" s="25"/>
      <c r="G32" s="25"/>
      <c r="H32" s="25"/>
      <c r="I32" s="25"/>
      <c r="J32" s="25"/>
      <c r="K32" s="25"/>
      <c r="L32" s="25"/>
      <c r="M32" s="25"/>
      <c r="N32" s="25"/>
      <c r="O32" s="25"/>
      <c r="P32" s="25"/>
    </row>
    <row r="33" ht="17.65" s="22" customFormat="1">
      <c r="A33" s="241"/>
      <c r="B33" s="30" t="s">
        <v>38</v>
      </c>
      <c r="C33" s="51"/>
      <c r="D33" s="51"/>
      <c r="E33" s="51"/>
      <c r="F33" s="51"/>
      <c r="G33" s="51"/>
      <c r="H33" s="51"/>
      <c r="I33" s="51"/>
      <c r="J33" s="51"/>
      <c r="K33" s="51"/>
      <c r="L33" s="51"/>
      <c r="M33" s="51"/>
      <c r="N33" s="51"/>
      <c r="O33" s="51"/>
      <c r="P33" s="78"/>
    </row>
    <row r="34" ht="17.25">
      <c r="A34" s="241"/>
      <c r="B34" s="27" t="s">
        <v>39</v>
      </c>
      <c r="C34" s="24"/>
      <c r="D34" s="24"/>
      <c r="E34" s="24"/>
      <c r="F34" s="24"/>
      <c r="G34" s="24"/>
      <c r="H34" s="24"/>
      <c r="I34" s="24"/>
      <c r="J34" s="24"/>
      <c r="K34" s="24"/>
      <c r="L34" s="24"/>
      <c r="M34" s="24"/>
      <c r="N34" s="24"/>
      <c r="O34" s="24"/>
      <c r="P34" s="24"/>
      <c r="U34" s="22"/>
    </row>
    <row r="35" ht="17.65" s="22" customFormat="1">
      <c r="A35" s="241"/>
      <c r="B35" s="28" t="s">
        <v>40</v>
      </c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78"/>
      <c r="U35" s="21"/>
    </row>
    <row r="36" ht="17.25">
      <c r="A36" s="241"/>
      <c r="B36" s="11" t="s">
        <v>41</v>
      </c>
      <c r="C36" s="25"/>
      <c r="D36" s="25"/>
      <c r="E36" s="25"/>
      <c r="F36" s="25"/>
      <c r="G36" s="25"/>
      <c r="H36" s="25"/>
      <c r="I36" s="25"/>
      <c r="J36" s="25"/>
      <c r="K36" s="25"/>
      <c r="L36" s="25"/>
      <c r="M36" s="25"/>
      <c r="N36" s="25"/>
      <c r="O36" s="25"/>
      <c r="P36" s="25"/>
    </row>
    <row r="37" ht="17.65" s="22" customFormat="1">
      <c r="A37" s="241"/>
      <c r="B37" s="28" t="s">
        <v>42</v>
      </c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78"/>
    </row>
    <row r="38" ht="17.25">
      <c r="A38" s="241"/>
      <c r="B38" s="11" t="s">
        <v>43</v>
      </c>
      <c r="C38" s="25"/>
      <c r="D38" s="25"/>
      <c r="E38" s="25"/>
      <c r="F38" s="25"/>
      <c r="G38" s="25"/>
      <c r="H38" s="25"/>
      <c r="I38" s="25"/>
      <c r="J38" s="25"/>
      <c r="K38" s="25"/>
      <c r="L38" s="25"/>
      <c r="M38" s="25"/>
      <c r="N38" s="25"/>
      <c r="O38" s="25"/>
      <c r="P38" s="25"/>
    </row>
    <row r="39" ht="17.65" s="22" customFormat="1">
      <c r="A39" s="241"/>
      <c r="B39" s="28" t="s">
        <v>44</v>
      </c>
      <c r="C39" s="51"/>
      <c r="D39" s="51"/>
      <c r="E39" s="51"/>
      <c r="F39" s="51"/>
      <c r="G39" s="51"/>
      <c r="H39" s="51"/>
      <c r="I39" s="51"/>
      <c r="J39" s="51"/>
      <c r="K39" s="51"/>
      <c r="L39" s="51"/>
      <c r="M39" s="51"/>
      <c r="N39" s="51"/>
      <c r="O39" s="51"/>
      <c r="P39" s="78"/>
    </row>
    <row r="40" ht="17.25">
      <c r="A40" s="241"/>
      <c r="B40" s="11" t="s">
        <v>45</v>
      </c>
      <c r="C40" s="26"/>
      <c r="D40" s="26"/>
      <c r="E40" s="26"/>
      <c r="F40" s="26"/>
      <c r="G40" s="26"/>
      <c r="H40" s="26"/>
      <c r="I40" s="26"/>
      <c r="J40" s="26"/>
      <c r="K40" s="26"/>
      <c r="L40" s="26"/>
      <c r="M40" s="26"/>
      <c r="N40" s="26"/>
      <c r="O40" s="26"/>
      <c r="P40" s="26"/>
    </row>
    <row r="41" ht="17.65" s="22" customFormat="1">
      <c r="A41" s="241"/>
      <c r="B41" s="29" t="s">
        <v>46</v>
      </c>
      <c r="C41" s="51"/>
      <c r="D41" s="51"/>
      <c r="E41" s="51"/>
      <c r="F41" s="51"/>
      <c r="G41" s="51"/>
      <c r="H41" s="51"/>
      <c r="I41" s="51"/>
      <c r="J41" s="51"/>
      <c r="K41" s="51"/>
      <c r="L41" s="51"/>
      <c r="M41" s="51"/>
      <c r="N41" s="51"/>
      <c r="O41" s="51"/>
      <c r="P41" s="78"/>
    </row>
    <row r="42" ht="12.75" customHeight="1">
      <c r="A42" s="223" t="s">
        <v>47</v>
      </c>
      <c r="B42" s="232"/>
      <c r="C42" s="233"/>
      <c r="D42" s="233"/>
      <c r="E42" s="233"/>
      <c r="F42" s="233"/>
      <c r="G42" s="233"/>
      <c r="H42" s="233"/>
      <c r="I42" s="233"/>
      <c r="J42" s="233"/>
      <c r="K42" s="233"/>
      <c r="L42" s="233"/>
      <c r="M42" s="233"/>
      <c r="N42" s="233"/>
      <c r="O42" s="233"/>
      <c r="P42" s="234"/>
      <c r="Q42" s="22"/>
      <c r="R42" s="22"/>
      <c r="S42" s="22"/>
    </row>
    <row r="43" ht="13.15" customHeight="1">
      <c r="A43" s="224"/>
      <c r="B43" s="235"/>
      <c r="C43" s="236"/>
      <c r="D43" s="236"/>
      <c r="E43" s="236"/>
      <c r="F43" s="236"/>
      <c r="G43" s="236"/>
      <c r="H43" s="236"/>
      <c r="I43" s="236"/>
      <c r="J43" s="236"/>
      <c r="K43" s="236"/>
      <c r="L43" s="236"/>
      <c r="M43" s="236"/>
      <c r="N43" s="236"/>
      <c r="O43" s="236"/>
      <c r="P43" s="237"/>
      <c r="Q43" s="22"/>
      <c r="R43" s="22"/>
      <c r="S43" s="22"/>
    </row>
    <row r="44" ht="13.15" customHeight="1">
      <c r="A44" s="224"/>
      <c r="B44" s="235"/>
      <c r="C44" s="236"/>
      <c r="D44" s="236"/>
      <c r="E44" s="236"/>
      <c r="F44" s="236"/>
      <c r="G44" s="236"/>
      <c r="H44" s="236"/>
      <c r="I44" s="236"/>
      <c r="J44" s="236"/>
      <c r="K44" s="236"/>
      <c r="L44" s="236"/>
      <c r="M44" s="236"/>
      <c r="N44" s="236"/>
      <c r="O44" s="236"/>
      <c r="P44" s="237"/>
      <c r="Q44" s="22"/>
      <c r="R44" s="22"/>
      <c r="S44" s="22"/>
    </row>
    <row r="45" ht="13.9" customHeight="1">
      <c r="A45" s="225"/>
      <c r="B45" s="238"/>
      <c r="C45" s="239"/>
      <c r="D45" s="239"/>
      <c r="E45" s="239"/>
      <c r="F45" s="239"/>
      <c r="G45" s="239"/>
      <c r="H45" s="239"/>
      <c r="I45" s="239"/>
      <c r="J45" s="239"/>
      <c r="K45" s="239"/>
      <c r="L45" s="239"/>
      <c r="M45" s="239"/>
      <c r="N45" s="239"/>
      <c r="O45" s="239"/>
      <c r="P45" s="240"/>
      <c r="Q45" s="22"/>
      <c r="R45" s="22"/>
      <c r="S45" s="22"/>
    </row>
  </sheetData>
  <mergeCells>
    <mergeCell ref="C3:P3"/>
    <mergeCell ref="C4:P4"/>
    <mergeCell ref="C5:P5"/>
    <mergeCell ref="C6:P6"/>
    <mergeCell ref="B42:P45"/>
    <mergeCell ref="M15:O15"/>
    <mergeCell ref="M16:O16"/>
    <mergeCell ref="M13:O13"/>
    <mergeCell ref="M14:O14"/>
    <mergeCell ref="M11:O11"/>
    <mergeCell ref="M12:O12"/>
    <mergeCell ref="C9:H9"/>
    <mergeCell ref="I9:L9"/>
    <mergeCell ref="M9:O9"/>
    <mergeCell ref="C10:H10"/>
    <mergeCell ref="I10:L10"/>
    <mergeCell ref="A34:A35"/>
    <mergeCell ref="A36:A41"/>
    <mergeCell ref="A42:A45"/>
    <mergeCell ref="C15:H15"/>
    <mergeCell ref="I15:L15"/>
    <mergeCell ref="C16:H16"/>
    <mergeCell ref="I16:L16"/>
    <mergeCell ref="A3:A33"/>
    <mergeCell ref="C13:H13"/>
    <mergeCell ref="I13:L13"/>
    <mergeCell ref="C14:H14"/>
    <mergeCell ref="I14:L14"/>
    <mergeCell ref="C11:H11"/>
    <mergeCell ref="I11:L11"/>
    <mergeCell ref="C12:H12"/>
    <mergeCell ref="I12:L12"/>
    <mergeCell ref="M10:O10"/>
    <mergeCell ref="C7:H7"/>
    <mergeCell ref="I7:L7"/>
    <mergeCell ref="M7:O7"/>
    <mergeCell ref="C8:H8"/>
    <mergeCell ref="I8:L8"/>
    <mergeCell ref="M8:O8"/>
    <mergeCell ref="A1:B1"/>
    <mergeCell ref="C2:H2"/>
    <mergeCell ref="I2:L2"/>
    <mergeCell ref="M2:O2"/>
    <mergeCell ref="C1:P1"/>
  </mergeCells>
  <conditionalFormatting sqref="C22:E22 C4 H22:O22">
    <cfRule type="cellIs" dxfId="0" priority="49" operator="greaterThan">
      <formula>0</formula>
    </cfRule>
  </conditionalFormatting>
  <conditionalFormatting sqref="C21:E21 H21:O21">
    <cfRule type="expression" dxfId="1" priority="48">
      <formula>ISERROR(C21)</formula>
    </cfRule>
  </conditionalFormatting>
  <conditionalFormatting sqref="C21:E21 H21:O21">
    <cfRule type="cellIs" dxfId="1" priority="47" operator="equal">
      <formula>0</formula>
    </cfRule>
  </conditionalFormatting>
  <conditionalFormatting sqref="C21:E21 H21:O21">
    <cfRule type="cellIs" dxfId="3" priority="46" operator="greaterThan">
      <formula>0</formula>
    </cfRule>
  </conditionalFormatting>
  <conditionalFormatting sqref="C27:O27 D29:O29 D33:O33">
    <cfRule type="cellIs" dxfId="0" priority="45" operator="notEqual">
      <formula>VALUE(C26)</formula>
    </cfRule>
  </conditionalFormatting>
  <conditionalFormatting sqref="C8:O8 C10:O10 C12:O12 C14:O14 C16:O16 C27:O27 D29:O29 D31:O31 D33:O33 D35:O35 D37:O37 D25:O25 D39:O39 D41:O41">
    <cfRule type="expression" dxfId="10" priority="41">
      <formula>ISBLANK(C8)</formula>
    </cfRule>
  </conditionalFormatting>
  <conditionalFormatting sqref="C29">
    <cfRule type="cellIs" dxfId="0" priority="43" operator="notEqual">
      <formula>VALUE(C28)</formula>
    </cfRule>
  </conditionalFormatting>
  <conditionalFormatting sqref="C29">
    <cfRule type="expression" dxfId="10" priority="42">
      <formula>ISBLANK(C29)</formula>
    </cfRule>
  </conditionalFormatting>
  <conditionalFormatting sqref="C8:O8 C10:O10 C12:O12 C14:O14 C16:O16 C31:O31 D35:O35 D37:O37 D25:O25 D39:O39 D41:O41">
    <cfRule type="cellIs" dxfId="0" priority="44" operator="notEqual">
      <formula>C7</formula>
    </cfRule>
  </conditionalFormatting>
  <conditionalFormatting sqref="C31">
    <cfRule type="expression" dxfId="10" priority="40">
      <formula>ISBLANK(C31)</formula>
    </cfRule>
  </conditionalFormatting>
  <conditionalFormatting sqref="C33">
    <cfRule type="cellIs" dxfId="0" priority="39" operator="notEqual">
      <formula>VALUE(C32)</formula>
    </cfRule>
  </conditionalFormatting>
  <conditionalFormatting sqref="C33">
    <cfRule type="expression" dxfId="10" priority="38">
      <formula>ISBLANK(C33)</formula>
    </cfRule>
  </conditionalFormatting>
  <conditionalFormatting sqref="C35">
    <cfRule type="cellIs" dxfId="0" priority="37" operator="notEqual">
      <formula>C34</formula>
    </cfRule>
  </conditionalFormatting>
  <conditionalFormatting sqref="C35">
    <cfRule type="expression" dxfId="10" priority="36">
      <formula>ISBLANK(C35)</formula>
    </cfRule>
  </conditionalFormatting>
  <conditionalFormatting sqref="C37">
    <cfRule type="cellIs" dxfId="0" priority="35" operator="notEqual">
      <formula>C36</formula>
    </cfRule>
  </conditionalFormatting>
  <conditionalFormatting sqref="C37">
    <cfRule type="expression" dxfId="10" priority="34">
      <formula>ISBLANK(C37)</formula>
    </cfRule>
  </conditionalFormatting>
  <conditionalFormatting sqref="C6">
    <cfRule type="expression" dxfId="10" priority="32">
      <formula>ISBLANK(C6)</formula>
    </cfRule>
    <cfRule type="cellIs" dxfId="0" priority="33" operator="notEqual">
      <formula>C5</formula>
    </cfRule>
  </conditionalFormatting>
  <conditionalFormatting sqref="C25">
    <cfRule type="cellIs" dxfId="0" priority="31" operator="notEqual">
      <formula>C24</formula>
    </cfRule>
  </conditionalFormatting>
  <conditionalFormatting sqref="C25">
    <cfRule type="expression" dxfId="10" priority="30">
      <formula>ISBLANK(C25)</formula>
    </cfRule>
  </conditionalFormatting>
  <conditionalFormatting sqref="C39">
    <cfRule type="cellIs" dxfId="0" priority="29" operator="notEqual">
      <formula>C38</formula>
    </cfRule>
  </conditionalFormatting>
  <conditionalFormatting sqref="C39">
    <cfRule type="expression" dxfId="10" priority="28">
      <formula>ISBLANK(C39)</formula>
    </cfRule>
  </conditionalFormatting>
  <conditionalFormatting sqref="C41">
    <cfRule type="cellIs" dxfId="0" priority="27" operator="notEqual">
      <formula>C40</formula>
    </cfRule>
  </conditionalFormatting>
  <conditionalFormatting sqref="C41">
    <cfRule type="expression" dxfId="10" priority="26">
      <formula>ISBLANK(C41)</formula>
    </cfRule>
  </conditionalFormatting>
  <conditionalFormatting sqref="C24:O41">
    <cfRule type="expression" dxfId="1" priority="25" stopIfTrue="1">
      <formula>OR(C$22="Free",C$22="Telenor",C$22="Mtel",C$22="Telenor&amp;Mtel")</formula>
    </cfRule>
  </conditionalFormatting>
  <conditionalFormatting sqref="F22:G22">
    <cfRule type="cellIs" dxfId="0" priority="24" operator="greaterThan">
      <formula>0</formula>
    </cfRule>
  </conditionalFormatting>
  <conditionalFormatting sqref="F21:G21">
    <cfRule type="expression" dxfId="1" priority="23">
      <formula>ISERROR(F21)</formula>
    </cfRule>
  </conditionalFormatting>
  <conditionalFormatting sqref="F21:G21">
    <cfRule type="cellIs" dxfId="1" priority="22" operator="equal">
      <formula>0</formula>
    </cfRule>
  </conditionalFormatting>
  <conditionalFormatting sqref="F21:G21">
    <cfRule type="cellIs" dxfId="3" priority="21" operator="greaterThan">
      <formula>0</formula>
    </cfRule>
  </conditionalFormatting>
  <conditionalFormatting sqref="P22">
    <cfRule type="cellIs" dxfId="0" priority="20" operator="greaterThan">
      <formula>0</formula>
    </cfRule>
  </conditionalFormatting>
  <conditionalFormatting sqref="P27 P29 P33">
    <cfRule type="cellIs" dxfId="0" priority="16" operator="notEqual">
      <formula>VALUE(P26)</formula>
    </cfRule>
  </conditionalFormatting>
  <conditionalFormatting sqref="P8 P10 P12 P14 P16 P27 P29 P31 P33 P35 P37 P25 P39 P41">
    <cfRule type="expression" dxfId="10" priority="14">
      <formula>ISBLANK(P8)</formula>
    </cfRule>
  </conditionalFormatting>
  <conditionalFormatting sqref="P8 P10 P12 P14 P16 P31 P35 P37 P25 P39 P41">
    <cfRule type="cellIs" dxfId="0" priority="15" operator="notEqual">
      <formula>P7</formula>
    </cfRule>
  </conditionalFormatting>
  <conditionalFormatting sqref="P24:P41">
    <cfRule type="expression" dxfId="1" priority="13" stopIfTrue="1">
      <formula>OR(P$22="Free",P$22="Telenor",P$22="Mtel",P$22="Telenor&amp;Mtel")</formula>
    </cfRule>
  </conditionalFormatting>
  <conditionalFormatting sqref="C19">
    <cfRule type="expression" dxfId="1" priority="9">
      <formula>ISERROR(C19)</formula>
    </cfRule>
    <cfRule type="cellIs" dxfId="1" priority="10" operator="equal">
      <formula>0</formula>
    </cfRule>
  </conditionalFormatting>
  <conditionalFormatting sqref="P21">
    <cfRule type="expression" dxfId="1" priority="6">
      <formula>ISERROR(P21)</formula>
    </cfRule>
  </conditionalFormatting>
  <conditionalFormatting sqref="P21">
    <cfRule type="cellIs" dxfId="1" priority="5" operator="equal">
      <formula>0</formula>
    </cfRule>
  </conditionalFormatting>
  <conditionalFormatting sqref="P21">
    <cfRule type="cellIs" dxfId="3" priority="4" operator="greaterThan">
      <formula>0</formula>
    </cfRule>
  </conditionalFormatting>
  <conditionalFormatting sqref="D19:P19">
    <cfRule type="expression" dxfId="1" priority="2">
      <formula>ISERROR(D19)</formula>
    </cfRule>
    <cfRule type="cellIs" dxfId="1" priority="3" operator="equal">
      <formula>0</formula>
    </cfRule>
  </conditionalFormatting>
  <conditionalFormatting sqref="C23:P23">
    <cfRule type="cellIs" dxfId="0" priority="1" operator="greaterThan">
      <formula>0</formula>
    </cfRule>
  </conditionalFormatting>
  <dataValidations count="165">
    <dataValidation type="list" xr:uid="{9CFD2A02-8224-44D8-B53C-CF5D56E9435C}" sqref="C2" showErrorMessage="1" errorTitle="An invalid feedback was entered" error="Please choose feedback from drop down only.">
      <formula1>"1,2,3"</formula1>
    </dataValidation>
    <dataValidation type="list" xr:uid="{5810B88F-CFFE-4155-94ED-4A3BBF92C8B6}" sqref="D2" showErrorMessage="1" errorTitle="An invalid feedback was entered" error="Please choose feedback from drop down only.">
      <formula1>"1,2,3"</formula1>
    </dataValidation>
    <dataValidation type="list" xr:uid="{DA79597C-6FD5-4CF7-BAD6-3BF3A34F04D9}" sqref="E2" showErrorMessage="1" errorTitle="An invalid feedback was entered" error="Please choose feedback from drop down only.">
      <formula1>"1,2,3"</formula1>
    </dataValidation>
    <dataValidation type="list" xr:uid="{4071FAB4-7AC4-46D0-91C3-E97D16BA1526}" sqref="F2" showErrorMessage="1" errorTitle="An invalid feedback was entered" error="Please choose feedback from drop down only.">
      <formula1>"1,2,3"</formula1>
    </dataValidation>
    <dataValidation type="list" xr:uid="{09FF9A3D-65CD-4F73-89B5-0C4195931530}" sqref="G2" showErrorMessage="1" errorTitle="An invalid feedback was entered" error="Please choose feedback from drop down only.">
      <formula1>"1,2,3"</formula1>
    </dataValidation>
    <dataValidation type="list" xr:uid="{C0CA1A62-C96D-4C6A-81BE-AF9A72E62185}" sqref="H2" showErrorMessage="1" errorTitle="An invalid feedback was entered" error="Please choose feedback from drop down only.">
      <formula1>"1,2,3"</formula1>
    </dataValidation>
    <dataValidation type="list" xr:uid="{25825E5E-6235-4BA2-B3E5-AC06F836643E}" sqref="I2" showErrorMessage="1" errorTitle="An invalid feedback was entered" error="Please choose feedback from drop down only.">
      <formula1>"1,2,3"</formula1>
    </dataValidation>
    <dataValidation type="list" xr:uid="{030BB403-6820-4B44-B6A8-E3580D88C6AE}" sqref="J2" showErrorMessage="1" errorTitle="An invalid feedback was entered" error="Please choose feedback from drop down only.">
      <formula1>"1,2,3"</formula1>
    </dataValidation>
    <dataValidation type="list" xr:uid="{0BDFDC89-6FA5-4720-8F0E-A4D3FEB98351}" sqref="K2" showErrorMessage="1" errorTitle="An invalid feedback was entered" error="Please choose feedback from drop down only.">
      <formula1>"1,2,3"</formula1>
    </dataValidation>
    <dataValidation type="list" xr:uid="{2E3FFA41-3923-4294-B4BA-107748058356}" sqref="L2" showErrorMessage="1" errorTitle="An invalid feedback was entered" error="Please choose feedback from drop down only.">
      <formula1>"1,2,3"</formula1>
    </dataValidation>
    <dataValidation type="list" xr:uid="{598E811F-ACC1-45B2-8AD0-DFDE985DCA54}" sqref="M2" showErrorMessage="1" errorTitle="An invalid feedback was entered" error="Please choose feedback from drop down only.">
      <formula1>"1,2,3"</formula1>
    </dataValidation>
    <dataValidation type="list" xr:uid="{DDC82B18-68EC-44D6-B5EE-D73178A33D13}" sqref="N2" showErrorMessage="1" errorTitle="An invalid feedback was entered" error="Please choose feedback from drop down only.">
      <formula1>"1,2,3"</formula1>
    </dataValidation>
    <dataValidation type="list" xr:uid="{B11275E5-367C-420E-B1E2-1F78DD4C3A35}" sqref="O2" showErrorMessage="1" errorTitle="An invalid feedback was entered" error="Please choose feedback from drop down only.">
      <formula1>"1,2,3"</formula1>
    </dataValidation>
    <dataValidation type="list" xr:uid="{DC3D4E26-5376-4DF4-9E59-728E1895EDCE}" sqref="P2" showErrorMessage="1" errorTitle="An invalid feedback was entered" error="Please choose feedback from drop down only.">
      <formula1>"1,2,3"</formula1>
    </dataValidation>
    <dataValidation type="list" xr:uid="{648E5B2F-7760-48B9-8F15-E5AADFA0D100}" sqref="Q2" showErrorMessage="1" errorTitle="An invalid feedback was entered" error="Please choose feedback from drop down only.">
      <formula1>"1,2,3"</formula1>
    </dataValidation>
    <dataValidation type="list" xr:uid="{23FC640D-CE64-474A-A8A9-FCBAB5D4F0DD}" sqref="C17" showErrorMessage="1" errorTitle="An invalid feedback was entered" error="Please choose feedback from drop down only.">
      <formula1>"1-2,3-4,5-6,7-8,9-10,N/A"</formula1>
    </dataValidation>
    <dataValidation type="list" xr:uid="{5BC38319-2530-45C6-99E4-B590A5DF3ECB}" sqref="D17" showErrorMessage="1" errorTitle="An invalid feedback was entered" error="Please choose feedback from drop down only.">
      <formula1>"1-2,3-4,5-6,7-8,9-10,N/A"</formula1>
    </dataValidation>
    <dataValidation type="list" xr:uid="{D20BD59A-138E-489F-BFA1-B98F25A678DF}" sqref="E17" showErrorMessage="1" errorTitle="An invalid feedback was entered" error="Please choose feedback from drop down only.">
      <formula1>"1-2,3-4,5-6,7-8,9-10,N/A"</formula1>
    </dataValidation>
    <dataValidation type="list" xr:uid="{F931A4A4-2B73-48D7-8530-AF471E038C77}" sqref="F17" showErrorMessage="1" errorTitle="An invalid feedback was entered" error="Please choose feedback from drop down only.">
      <formula1>"1-2,3-4,5-6,7-8,9-10,N/A"</formula1>
    </dataValidation>
    <dataValidation type="list" xr:uid="{B0CA10E4-8B54-46F1-8D72-7F0F9015BCEC}" sqref="G17" showErrorMessage="1" errorTitle="An invalid feedback was entered" error="Please choose feedback from drop down only.">
      <formula1>"1-2,3-4,5-6,7-8,9-10,N/A"</formula1>
    </dataValidation>
    <dataValidation type="list" xr:uid="{21F915CA-1C17-4ECF-A5B6-49095F434A44}" sqref="H17" showErrorMessage="1" errorTitle="An invalid feedback was entered" error="Please choose feedback from drop down only.">
      <formula1>"1-2,3-4,5-6,7-8,9-10,N/A"</formula1>
    </dataValidation>
    <dataValidation type="list" xr:uid="{8DD5E1BF-B3AC-45BB-82E8-F0B5A8A87BEF}" sqref="I17" showErrorMessage="1" errorTitle="An invalid feedback was entered" error="Please choose feedback from drop down only.">
      <formula1>"1-2,3-4,5-6,7-8,9-10,N/A"</formula1>
    </dataValidation>
    <dataValidation type="list" xr:uid="{852FA958-8DC7-4465-8DD6-7AAB56EB724E}" sqref="J17" showErrorMessage="1" errorTitle="An invalid feedback was entered" error="Please choose feedback from drop down only.">
      <formula1>"1-2,3-4,5-6,7-8,9-10,N/A"</formula1>
    </dataValidation>
    <dataValidation type="list" xr:uid="{47B8BF90-B8F5-48BF-A687-060E08013E3C}" sqref="K17" showErrorMessage="1" errorTitle="An invalid feedback was entered" error="Please choose feedback from drop down only.">
      <formula1>"1-2,3-4,5-6,7-8,9-10,N/A"</formula1>
    </dataValidation>
    <dataValidation type="list" xr:uid="{84968E86-E68E-4318-9DB5-2892D2155F9D}" sqref="L17" showErrorMessage="1" errorTitle="An invalid feedback was entered" error="Please choose feedback from drop down only.">
      <formula1>"1-2,3-4,5-6,7-8,9-10,N/A"</formula1>
    </dataValidation>
    <dataValidation type="list" xr:uid="{FDE9122A-B24C-4DCA-9BC2-40AC9F66CDA8}" sqref="M17" showErrorMessage="1" errorTitle="An invalid feedback was entered" error="Please choose feedback from drop down only.">
      <formula1>"1-2,3-4,5-6,7-8,9-10,N/A"</formula1>
    </dataValidation>
    <dataValidation type="list" xr:uid="{B435E0C0-9356-41CA-88B7-52C10C1BA712}" sqref="N17" showErrorMessage="1" errorTitle="An invalid feedback was entered" error="Please choose feedback from drop down only.">
      <formula1>"1-2,3-4,5-6,7-8,9-10,N/A"</formula1>
    </dataValidation>
    <dataValidation type="list" xr:uid="{0B58F4F9-44F6-481C-ADDA-C610C706B946}" sqref="O17" showErrorMessage="1" errorTitle="An invalid feedback was entered" error="Please choose feedback from drop down only.">
      <formula1>"1-2,3-4,5-6,7-8,9-10,N/A"</formula1>
    </dataValidation>
    <dataValidation type="list" xr:uid="{3DDD3D50-EF12-477A-86DF-C153EC394FE3}" sqref="P17" showErrorMessage="1" errorTitle="An invalid feedback was entered" error="Please choose feedback from drop down only.">
      <formula1>"1-2,3-4,5-6,7-8,9-10,N/A"</formula1>
    </dataValidation>
    <dataValidation type="list" xr:uid="{D4741A2B-039D-4B2F-9B80-4EACD6ED9E6B}" sqref="Q17" showErrorMessage="1" errorTitle="An invalid feedback was entered" error="Please choose feedback from drop down only.">
      <formula1>"1-2,3-4,5-6,7-8,9-10,N/A"</formula1>
    </dataValidation>
    <dataValidation type="list" xr:uid="{155AC4DA-AAD7-43F1-8BA8-E9B135754FFE}" sqref="C10" showErrorMessage="1" errorTitle="An invalid feedback was entered" error="Please choose feedback from drop down only.">
      <formula1>"STK Top,STK Bottom,STKx2,DTK Top,DTK Bottom,DTKx2,None"</formula1>
    </dataValidation>
    <dataValidation type="list" xr:uid="{A4DFF142-E45C-4626-8475-97DD7A46A1D0}" sqref="D10" showErrorMessage="1" errorTitle="An invalid feedback was entered" error="Please choose feedback from drop down only.">
      <formula1>"STK Top,STK Bottom,STKx2,DTK Top,DTK Bottom,DTKx2,None"</formula1>
    </dataValidation>
    <dataValidation type="list" xr:uid="{418B2DFF-C5CA-4686-8A1B-A998B08206B4}" sqref="E10" showErrorMessage="1" errorTitle="An invalid feedback was entered" error="Please choose feedback from drop down only.">
      <formula1>"STK Top,STK Bottom,STKx2,DTK Top,DTK Bottom,DTKx2,None"</formula1>
    </dataValidation>
    <dataValidation type="list" xr:uid="{99F06D08-0A78-4E83-9144-17C710DD30F4}" sqref="F10" showErrorMessage="1" errorTitle="An invalid feedback was entered" error="Please choose feedback from drop down only.">
      <formula1>"STK Top,STK Bottom,STKx2,DTK Top,DTK Bottom,DTKx2,None"</formula1>
    </dataValidation>
    <dataValidation type="list" xr:uid="{963BD320-5DE6-4895-8A0B-E4F016F015CE}" sqref="G10" showErrorMessage="1" errorTitle="An invalid feedback was entered" error="Please choose feedback from drop down only.">
      <formula1>"STK Top,STK Bottom,STKx2,DTK Top,DTK Bottom,DTKx2,None"</formula1>
    </dataValidation>
    <dataValidation type="list" xr:uid="{7E98A225-966E-4619-B976-B6D322E2B669}" sqref="H10" showErrorMessage="1" errorTitle="An invalid feedback was entered" error="Please choose feedback from drop down only.">
      <formula1>"STK Top,STK Bottom,STKx2,DTK Top,DTK Bottom,DTKx2,None"</formula1>
    </dataValidation>
    <dataValidation type="list" xr:uid="{87EE2D19-4911-4B4C-BBC8-D22E5ABF0790}" sqref="I10" showErrorMessage="1" errorTitle="An invalid feedback was entered" error="Please choose feedback from drop down only.">
      <formula1>"STK Top,STK Bottom,STKx2,DTK Top,DTK Bottom,DTKx2,None"</formula1>
    </dataValidation>
    <dataValidation type="list" xr:uid="{30E2E3EF-FDCD-4E0F-B2E4-5E70454BC7B3}" sqref="J10" showErrorMessage="1" errorTitle="An invalid feedback was entered" error="Please choose feedback from drop down only.">
      <formula1>"STK Top,STK Bottom,STKx2,DTK Top,DTK Bottom,DTKx2,None"</formula1>
    </dataValidation>
    <dataValidation type="list" xr:uid="{CEF55F1A-3A47-4F20-A0D7-5C6E87555F44}" sqref="K10" showErrorMessage="1" errorTitle="An invalid feedback was entered" error="Please choose feedback from drop down only.">
      <formula1>"STK Top,STK Bottom,STKx2,DTK Top,DTK Bottom,DTKx2,None"</formula1>
    </dataValidation>
    <dataValidation type="list" xr:uid="{525CE89F-C709-47C0-BE38-C86129450E12}" sqref="L10" showErrorMessage="1" errorTitle="An invalid feedback was entered" error="Please choose feedback from drop down only.">
      <formula1>"STK Top,STK Bottom,STKx2,DTK Top,DTK Bottom,DTKx2,None"</formula1>
    </dataValidation>
    <dataValidation type="list" xr:uid="{4BE4771E-7A24-473F-9009-0A3724EF25EA}" sqref="M10" showErrorMessage="1" errorTitle="An invalid feedback was entered" error="Please choose feedback from drop down only.">
      <formula1>"STK Top,STK Bottom,STKx2,DTK Top,DTK Bottom,DTKx2,None"</formula1>
    </dataValidation>
    <dataValidation type="list" xr:uid="{DB4726AB-3FB7-4751-BBBE-67D2F4A7876E}" sqref="N10" showErrorMessage="1" errorTitle="An invalid feedback was entered" error="Please choose feedback from drop down only.">
      <formula1>"STK Top,STK Bottom,STKx2,DTK Top,DTK Bottom,DTKx2,None"</formula1>
    </dataValidation>
    <dataValidation type="list" xr:uid="{86E02AA1-7A77-4AE5-9936-DF40DEBE5CB4}" sqref="O10" showErrorMessage="1" errorTitle="An invalid feedback was entered" error="Please choose feedback from drop down only.">
      <formula1>"STK Top,STK Bottom,STKx2,DTK Top,DTK Bottom,DTKx2,None"</formula1>
    </dataValidation>
    <dataValidation type="list" xr:uid="{A1A6D160-ADED-4724-86FF-02B60D33C0A5}" sqref="P10" showErrorMessage="1" errorTitle="An invalid feedback was entered" error="Please choose feedback from drop down only.">
      <formula1>"STK Top,STK Bottom,STKx2,DTK Top,DTK Bottom,DTKx2,None"</formula1>
    </dataValidation>
    <dataValidation type="list" xr:uid="{24CF4F94-7193-4F92-AE6A-06C39E36EF14}" sqref="Q10" showErrorMessage="1" errorTitle="An invalid feedback was entered" error="Please choose feedback from drop down only.">
      <formula1>"STK Top,STK Bottom,STKx2,DTK Top,DTK Bottom,DTKx2,None"</formula1>
    </dataValidation>
    <dataValidation type="list" xr:uid="{170EA21D-BBBA-4CB8-8AAE-FCB96BCA42CC}" sqref="C23" showErrorMessage="1" errorTitle="An invalid feedback was entered" error="Please choose feedback from drop down only.">
      <formula1>"Yetel,Bulsatcom,A1,Yetel&amp;A1,N/A"</formula1>
    </dataValidation>
    <dataValidation type="list" xr:uid="{FA64A489-FF85-4663-BEC7-8FFFE687F9DA}" sqref="D23" showErrorMessage="1" errorTitle="An invalid feedback was entered" error="Please choose feedback from drop down only.">
      <formula1>"Yetel,Bulsatcom,A1,Yetel&amp;A1,N/A"</formula1>
    </dataValidation>
    <dataValidation type="list" xr:uid="{F00F1E92-27DC-4DAA-930B-69AC3A913B97}" sqref="E23" showErrorMessage="1" errorTitle="An invalid feedback was entered" error="Please choose feedback from drop down only.">
      <formula1>"Yetel,Bulsatcom,A1,Yetel&amp;A1,N/A"</formula1>
    </dataValidation>
    <dataValidation type="list" xr:uid="{A58880E4-D9D8-415E-B156-0FCB393A66DF}" sqref="F23" showErrorMessage="1" errorTitle="An invalid feedback was entered" error="Please choose feedback from drop down only.">
      <formula1>"Yetel,Bulsatcom,A1,Yetel&amp;A1,N/A"</formula1>
    </dataValidation>
    <dataValidation type="list" xr:uid="{147C1F10-4F5C-4AEF-BBE9-13BB712A9290}" sqref="G23" showErrorMessage="1" errorTitle="An invalid feedback was entered" error="Please choose feedback from drop down only.">
      <formula1>"Yetel,Bulsatcom,A1,Yetel&amp;A1,N/A"</formula1>
    </dataValidation>
    <dataValidation type="list" xr:uid="{4D979E2D-2B4F-446D-9EA3-52B51D1B27B4}" sqref="H23" showErrorMessage="1" errorTitle="An invalid feedback was entered" error="Please choose feedback from drop down only.">
      <formula1>"Yetel,Bulsatcom,A1,Yetel&amp;A1,N/A"</formula1>
    </dataValidation>
    <dataValidation type="list" xr:uid="{D8DECA21-02D4-4222-9B56-AA8395F5A378}" sqref="I23" showErrorMessage="1" errorTitle="An invalid feedback was entered" error="Please choose feedback from drop down only.">
      <formula1>"Yetel,Bulsatcom,A1,Yetel&amp;A1,N/A"</formula1>
    </dataValidation>
    <dataValidation type="list" xr:uid="{E5AA005A-E0A6-4421-A741-1070AA0952EC}" sqref="J23" showErrorMessage="1" errorTitle="An invalid feedback was entered" error="Please choose feedback from drop down only.">
      <formula1>"Yetel,Bulsatcom,A1,Yetel&amp;A1,N/A"</formula1>
    </dataValidation>
    <dataValidation type="list" xr:uid="{3B2F8991-A3ED-461B-BB37-27D5AA623A13}" sqref="K23" showErrorMessage="1" errorTitle="An invalid feedback was entered" error="Please choose feedback from drop down only.">
      <formula1>"Yetel,Bulsatcom,A1,Yetel&amp;A1,N/A"</formula1>
    </dataValidation>
    <dataValidation type="list" xr:uid="{39325525-B298-4FF8-BD49-F1F3C2A161F2}" sqref="L23" showErrorMessage="1" errorTitle="An invalid feedback was entered" error="Please choose feedback from drop down only.">
      <formula1>"Yetel,Bulsatcom,A1,Yetel&amp;A1,N/A"</formula1>
    </dataValidation>
    <dataValidation type="list" xr:uid="{2D7E13B3-EADC-49C0-A302-D2D9662E5F51}" sqref="M23" showErrorMessage="1" errorTitle="An invalid feedback was entered" error="Please choose feedback from drop down only.">
      <formula1>"Yetel,Bulsatcom,A1,Yetel&amp;A1,N/A"</formula1>
    </dataValidation>
    <dataValidation type="list" xr:uid="{CE547AA7-79E6-42EE-9191-F4C05242E4A2}" sqref="N23" showErrorMessage="1" errorTitle="An invalid feedback was entered" error="Please choose feedback from drop down only.">
      <formula1>"Yetel,Bulsatcom,A1,Yetel&amp;A1,N/A"</formula1>
    </dataValidation>
    <dataValidation type="list" xr:uid="{A9CE0C14-76D2-4C72-8305-D36FD6FDF6BA}" sqref="O23" showErrorMessage="1" errorTitle="An invalid feedback was entered" error="Please choose feedback from drop down only.">
      <formula1>"Yetel,Bulsatcom,A1,Yetel&amp;A1,N/A"</formula1>
    </dataValidation>
    <dataValidation type="list" xr:uid="{BDB5EF2A-28E2-41AA-BEB1-DA5DEF1F3978}" sqref="P23" showErrorMessage="1" errorTitle="An invalid feedback was entered" error="Please choose feedback from drop down only.">
      <formula1>"Yetel,Bulsatcom,A1,Yetel&amp;A1,N/A"</formula1>
    </dataValidation>
    <dataValidation type="list" xr:uid="{5EBF0AAF-5E04-4AF4-AE67-CAF5DCFE3D04}" sqref="Q23" showErrorMessage="1" errorTitle="An invalid feedback was entered" error="Please choose feedback from drop down only.">
      <formula1>"Yetel,Bulsatcom,A1,Yetel&amp;A1,N/A"</formula1>
    </dataValidation>
    <dataValidation type="list" xr:uid="{85E86FD0-5CFD-4919-9320-228D288AC691}" sqref="C31" showErrorMessage="1" errorTitle="An invalid feedback was entered" error="Please choose feedback from drop down only.">
      <formula1>"1/2,5/4,7/8,RRU TOP JUMPER,N/A"</formula1>
    </dataValidation>
    <dataValidation type="list" xr:uid="{0AA6DF45-D065-421F-B0E1-4F4CDB8FB4AA}" sqref="D31" showErrorMessage="1" errorTitle="An invalid feedback was entered" error="Please choose feedback from drop down only.">
      <formula1>"1/2,5/4,7/8,RRU TOP JUMPER,N/A"</formula1>
    </dataValidation>
    <dataValidation type="list" xr:uid="{0DB0C693-B978-48E5-898A-AE14ECCFFA89}" sqref="E31" showErrorMessage="1" errorTitle="An invalid feedback was entered" error="Please choose feedback from drop down only.">
      <formula1>"1/2,5/4,7/8,RRU TOP JUMPER,N/A"</formula1>
    </dataValidation>
    <dataValidation type="list" xr:uid="{324B901A-A03D-4AF0-BFD6-230EBE692821}" sqref="F31" showErrorMessage="1" errorTitle="An invalid feedback was entered" error="Please choose feedback from drop down only.">
      <formula1>"1/2,5/4,7/8,RRU TOP JUMPER,N/A"</formula1>
    </dataValidation>
    <dataValidation type="list" xr:uid="{81EFE086-7431-4197-A8C3-73680ABC5502}" sqref="G31" showErrorMessage="1" errorTitle="An invalid feedback was entered" error="Please choose feedback from drop down only.">
      <formula1>"1/2,5/4,7/8,RRU TOP JUMPER,N/A"</formula1>
    </dataValidation>
    <dataValidation type="list" xr:uid="{09B71731-32B8-4E11-B8EF-54D5B866A816}" sqref="H31" showErrorMessage="1" errorTitle="An invalid feedback was entered" error="Please choose feedback from drop down only.">
      <formula1>"1/2,5/4,7/8,RRU TOP JUMPER,N/A"</formula1>
    </dataValidation>
    <dataValidation type="list" xr:uid="{237E3295-11FC-49DA-9333-E10586631206}" sqref="I31" showErrorMessage="1" errorTitle="An invalid feedback was entered" error="Please choose feedback from drop down only.">
      <formula1>"1/2,5/4,7/8,RRU TOP JUMPER,N/A"</formula1>
    </dataValidation>
    <dataValidation type="list" xr:uid="{C7C47B8D-8D5B-4701-A4EB-BE0423AC65AA}" sqref="J31" showErrorMessage="1" errorTitle="An invalid feedback was entered" error="Please choose feedback from drop down only.">
      <formula1>"1/2,5/4,7/8,RRU TOP JUMPER,N/A"</formula1>
    </dataValidation>
    <dataValidation type="list" xr:uid="{321A7139-353B-47F4-BFA0-47743F2CF65A}" sqref="K31" showErrorMessage="1" errorTitle="An invalid feedback was entered" error="Please choose feedback from drop down only.">
      <formula1>"1/2,5/4,7/8,RRU TOP JUMPER,N/A"</formula1>
    </dataValidation>
    <dataValidation type="list" xr:uid="{26459CDC-CA6F-472E-AE1C-825A5214BA2D}" sqref="L31" showErrorMessage="1" errorTitle="An invalid feedback was entered" error="Please choose feedback from drop down only.">
      <formula1>"1/2,5/4,7/8,RRU TOP JUMPER,N/A"</formula1>
    </dataValidation>
    <dataValidation type="list" xr:uid="{CF34577E-9F76-4BBA-90C4-7F624B240E4C}" sqref="M31" showErrorMessage="1" errorTitle="An invalid feedback was entered" error="Please choose feedback from drop down only.">
      <formula1>"1/2,5/4,7/8,RRU TOP JUMPER,N/A"</formula1>
    </dataValidation>
    <dataValidation type="list" xr:uid="{B55FD40E-0C02-49A6-A01C-7E322C121821}" sqref="N31" showErrorMessage="1" errorTitle="An invalid feedback was entered" error="Please choose feedback from drop down only.">
      <formula1>"1/2,5/4,7/8,RRU TOP JUMPER,N/A"</formula1>
    </dataValidation>
    <dataValidation type="list" xr:uid="{D32EA80A-8776-46CB-881D-227E8083C7E3}" sqref="O31" showErrorMessage="1" errorTitle="An invalid feedback was entered" error="Please choose feedback from drop down only.">
      <formula1>"1/2,5/4,7/8,RRU TOP JUMPER,N/A"</formula1>
    </dataValidation>
    <dataValidation type="list" xr:uid="{73E904DC-4D54-4C60-8FC1-BC4B9E6E53A2}" sqref="P31" showErrorMessage="1" errorTitle="An invalid feedback was entered" error="Please choose feedback from drop down only.">
      <formula1>"1/2,5/4,7/8,RRU TOP JUMPER,N/A"</formula1>
    </dataValidation>
    <dataValidation type="list" xr:uid="{B7795F79-8660-406D-B685-4B5B02A539ED}" sqref="Q31" showErrorMessage="1" errorTitle="An invalid feedback was entered" error="Please choose feedback from drop down only.">
      <formula1>"1/2,5/4,7/8,RRU TOP JUMPER,N/A"</formula1>
    </dataValidation>
    <dataValidation type="list" xr:uid="{34B590D8-58AB-454D-8AAB-FCAF4EB15F6A}" sqref="C4" showErrorMessage="1" errorTitle="An invalid feedback was entered" error="Please choose feedback from drop down only.">
      <formula1>"1,2,3,4,5,6,N/A"</formula1>
    </dataValidation>
    <dataValidation type="list" xr:uid="{AE5899CD-4EF9-44CC-B845-9133E786A354}" sqref="D4" showErrorMessage="1" errorTitle="An invalid feedback was entered" error="Please choose feedback from drop down only.">
      <formula1>"1,2,3,4,5,6,N/A"</formula1>
    </dataValidation>
    <dataValidation type="list" xr:uid="{A83F5C61-6BBC-4721-AE71-DBAB3C01A049}" sqref="E4" showErrorMessage="1" errorTitle="An invalid feedback was entered" error="Please choose feedback from drop down only.">
      <formula1>"1,2,3,4,5,6,N/A"</formula1>
    </dataValidation>
    <dataValidation type="list" xr:uid="{AE825A7F-ED84-48C9-A9BC-B4C21978A76A}" sqref="F4" showErrorMessage="1" errorTitle="An invalid feedback was entered" error="Please choose feedback from drop down only.">
      <formula1>"1,2,3,4,5,6,N/A"</formula1>
    </dataValidation>
    <dataValidation type="list" xr:uid="{12218366-EFAD-4786-BC7E-C4942802CD30}" sqref="G4" showErrorMessage="1" errorTitle="An invalid feedback was entered" error="Please choose feedback from drop down only.">
      <formula1>"1,2,3,4,5,6,N/A"</formula1>
    </dataValidation>
    <dataValidation type="list" xr:uid="{2BE7B161-5F0E-443A-A7CD-485DB90D1300}" sqref="H4" showErrorMessage="1" errorTitle="An invalid feedback was entered" error="Please choose feedback from drop down only.">
      <formula1>"1,2,3,4,5,6,N/A"</formula1>
    </dataValidation>
    <dataValidation type="list" xr:uid="{F027EDC6-6D13-4ADB-93DA-E83B9D5C7EAC}" sqref="I4" showErrorMessage="1" errorTitle="An invalid feedback was entered" error="Please choose feedback from drop down only.">
      <formula1>"1,2,3,4,5,6,N/A"</formula1>
    </dataValidation>
    <dataValidation type="list" xr:uid="{D4D636A3-F2EF-4247-AC6D-F0A76C2DB17C}" sqref="J4" showErrorMessage="1" errorTitle="An invalid feedback was entered" error="Please choose feedback from drop down only.">
      <formula1>"1,2,3,4,5,6,N/A"</formula1>
    </dataValidation>
    <dataValidation type="list" xr:uid="{88B77211-3AF2-4704-A8F0-3AB232AF3E6F}" sqref="K4" showErrorMessage="1" errorTitle="An invalid feedback was entered" error="Please choose feedback from drop down only.">
      <formula1>"1,2,3,4,5,6,N/A"</formula1>
    </dataValidation>
    <dataValidation type="list" xr:uid="{B5D734FE-9CC4-41B7-A597-2DC70DE6D019}" sqref="L4" showErrorMessage="1" errorTitle="An invalid feedback was entered" error="Please choose feedback from drop down only.">
      <formula1>"1,2,3,4,5,6,N/A"</formula1>
    </dataValidation>
    <dataValidation type="list" xr:uid="{E2771E2F-4A71-4A0D-A26F-7A00BAE11AE2}" sqref="M4" showErrorMessage="1" errorTitle="An invalid feedback was entered" error="Please choose feedback from drop down only.">
      <formula1>"1,2,3,4,5,6,N/A"</formula1>
    </dataValidation>
    <dataValidation type="list" xr:uid="{31499578-A79C-4E0E-BCF8-0A1B96EE24FD}" sqref="N4" showErrorMessage="1" errorTitle="An invalid feedback was entered" error="Please choose feedback from drop down only.">
      <formula1>"1,2,3,4,5,6,N/A"</formula1>
    </dataValidation>
    <dataValidation type="list" xr:uid="{FA112B6B-D5C5-4CA9-AF7B-F752A129D66A}" sqref="O4" showErrorMessage="1" errorTitle="An invalid feedback was entered" error="Please choose feedback from drop down only.">
      <formula1>"1,2,3,4,5,6,N/A"</formula1>
    </dataValidation>
    <dataValidation type="list" xr:uid="{759BFEFA-8EFE-4511-B0EC-7C0DE5951D45}" sqref="P4" showErrorMessage="1" errorTitle="An invalid feedback was entered" error="Please choose feedback from drop down only.">
      <formula1>"1,2,3,4,5,6,N/A"</formula1>
    </dataValidation>
    <dataValidation type="list" xr:uid="{72B1BE8A-F993-4CA8-B70D-B522C0E07B22}" sqref="Q4" showErrorMessage="1" errorTitle="An invalid feedback was entered" error="Please choose feedback from drop down only.">
      <formula1>"1,2,3,4,5,6,N/A"</formula1>
    </dataValidation>
    <dataValidation type="list" xr:uid="{296FC119-4840-4D4D-814F-8A3C2E8260C8}" sqref="C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6FDCD9A9-A2ED-4228-AA0C-A41679F9A53C}" sqref="D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9B1E2A0C-A957-42F0-849B-F27B6AD5CC8E}" sqref="E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0CB0E909-33F0-4A4F-BC48-CC5302AC3309}" sqref="F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F5201348-A833-4C19-BA8E-21EE8DD55A8F}" sqref="G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92AF40D2-CF86-4ACB-B5E8-FA7FC921A8AC}" sqref="H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C41238B8-F1C1-4BE1-8565-C3B5C3004F09}" sqref="I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C5314AD6-4FEF-42C4-9FA5-32ED44FBC668}" sqref="J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F00196E3-A0B6-4AAD-9957-0AF6918090FE}" sqref="K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944E17EC-F0BF-4E7F-AD60-77487697753E}" sqref="L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D5AE44DD-835A-4D6A-BD17-9A1C7248B632}" sqref="M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7591CF3D-90F5-4E5A-8BEE-8F5A8F1EDEC9}" sqref="N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9DF6BF29-0E90-4290-BE9C-4288123ED3B7}" sqref="O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E7183853-4522-4957-8364-18EB54E0B361}" sqref="P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2E73930C-6209-4022-BBD6-FDB817B67928}" sqref="Q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DCB8CC91-8A47-467B-8CEC-28B0254BDC60}" sqref="C28" showErrorMessage="1" errorTitle="An invalid feedback was entered" error="Please choose feedback from drop down only.">
      <formula1>"Yes,No,FlexRET"</formula1>
    </dataValidation>
    <dataValidation type="list" xr:uid="{8C677B95-B90C-496B-A56B-32D15B6D49BB}" sqref="D28" showErrorMessage="1" errorTitle="An invalid feedback was entered" error="Please choose feedback from drop down only.">
      <formula1>"Yes,No,FlexRET"</formula1>
    </dataValidation>
    <dataValidation type="list" xr:uid="{58C8DB13-6405-4D04-9300-9E16EC8ADBAA}" sqref="E28" showErrorMessage="1" errorTitle="An invalid feedback was entered" error="Please choose feedback from drop down only.">
      <formula1>"Yes,No,FlexRET"</formula1>
    </dataValidation>
    <dataValidation type="list" xr:uid="{34991EBF-16A3-4AC8-A3ED-12A8B06C67F7}" sqref="F28" showErrorMessage="1" errorTitle="An invalid feedback was entered" error="Please choose feedback from drop down only.">
      <formula1>"Yes,No,FlexRET"</formula1>
    </dataValidation>
    <dataValidation type="list" xr:uid="{833327ED-973A-4245-A7BB-53E65A287614}" sqref="G28" showErrorMessage="1" errorTitle="An invalid feedback was entered" error="Please choose feedback from drop down only.">
      <formula1>"Yes,No,FlexRET"</formula1>
    </dataValidation>
    <dataValidation type="list" xr:uid="{1E62962F-8D23-4F85-BB6C-5657DF48A070}" sqref="H28" showErrorMessage="1" errorTitle="An invalid feedback was entered" error="Please choose feedback from drop down only.">
      <formula1>"Yes,No,FlexRET"</formula1>
    </dataValidation>
    <dataValidation type="list" xr:uid="{7602B4D9-B295-4EB2-B797-EB85AFBCEA7E}" sqref="I28" showErrorMessage="1" errorTitle="An invalid feedback was entered" error="Please choose feedback from drop down only.">
      <formula1>"Yes,No,FlexRET"</formula1>
    </dataValidation>
    <dataValidation type="list" xr:uid="{D73A4782-1E76-407C-9262-8403E2DB544C}" sqref="J28" showErrorMessage="1" errorTitle="An invalid feedback was entered" error="Please choose feedback from drop down only.">
      <formula1>"Yes,No,FlexRET"</formula1>
    </dataValidation>
    <dataValidation type="list" xr:uid="{EC769020-17D3-441E-9236-4E128E3BA0E2}" sqref="K28" showErrorMessage="1" errorTitle="An invalid feedback was entered" error="Please choose feedback from drop down only.">
      <formula1>"Yes,No,FlexRET"</formula1>
    </dataValidation>
    <dataValidation type="list" xr:uid="{13F17D59-53DE-4017-89F7-0B31C5A00841}" sqref="L28" showErrorMessage="1" errorTitle="An invalid feedback was entered" error="Please choose feedback from drop down only.">
      <formula1>"Yes,No,FlexRET"</formula1>
    </dataValidation>
    <dataValidation type="list" xr:uid="{0ECFDF63-7665-4E43-AFE8-6E3C9A1BF150}" sqref="M28" showErrorMessage="1" errorTitle="An invalid feedback was entered" error="Please choose feedback from drop down only.">
      <formula1>"Yes,No,FlexRET"</formula1>
    </dataValidation>
    <dataValidation type="list" xr:uid="{77F3839F-CDCE-42B6-9205-F12E8CE4B46F}" sqref="N28" showErrorMessage="1" errorTitle="An invalid feedback was entered" error="Please choose feedback from drop down only.">
      <formula1>"Yes,No,FlexRET"</formula1>
    </dataValidation>
    <dataValidation type="list" xr:uid="{EF9F4A81-4AB8-47C1-9F4C-29C6B7CFA0ED}" sqref="O28" showErrorMessage="1" errorTitle="An invalid feedback was entered" error="Please choose feedback from drop down only.">
      <formula1>"Yes,No,FlexRET"</formula1>
    </dataValidation>
    <dataValidation type="list" xr:uid="{E7908DB3-FE25-436C-AA03-47B3E09BAE2E}" sqref="P28" showErrorMessage="1" errorTitle="An invalid feedback was entered" error="Please choose feedback from drop down only.">
      <formula1>"Yes,No,FlexRET"</formula1>
    </dataValidation>
    <dataValidation type="list" xr:uid="{1458F935-0E83-425A-A7BD-7C7FD81793A9}" sqref="Q28" showErrorMessage="1" errorTitle="An invalid feedback was entered" error="Please choose feedback from drop down only.">
      <formula1>"Yes,No,FlexRET"</formula1>
    </dataValidation>
    <dataValidation type="list" xr:uid="{A920E0B7-3A25-4EA3-BC3C-89FED9C0CB14}" sqref="C29" showErrorMessage="1" errorTitle="An invalid feedback was entered" error="Please choose feedback from drop down only.">
      <formula1>"Yes,No,FlexRET"</formula1>
    </dataValidation>
    <dataValidation type="list" xr:uid="{7ED55A95-B457-4F4A-8EC8-80D09D5109AD}" sqref="D29" showErrorMessage="1" errorTitle="An invalid feedback was entered" error="Please choose feedback from drop down only.">
      <formula1>"Yes,No,FlexRET"</formula1>
    </dataValidation>
    <dataValidation type="list" xr:uid="{447391E0-4207-416E-A0E8-E43395BA639A}" sqref="E29" showErrorMessage="1" errorTitle="An invalid feedback was entered" error="Please choose feedback from drop down only.">
      <formula1>"Yes,No,FlexRET"</formula1>
    </dataValidation>
    <dataValidation type="list" xr:uid="{8BB38389-AE28-494F-8D89-00F071EFE3CD}" sqref="F29" showErrorMessage="1" errorTitle="An invalid feedback was entered" error="Please choose feedback from drop down only.">
      <formula1>"Yes,No,FlexRET"</formula1>
    </dataValidation>
    <dataValidation type="list" xr:uid="{DF8457F7-7C83-42D6-9B35-28B9507BCB99}" sqref="G29" showErrorMessage="1" errorTitle="An invalid feedback was entered" error="Please choose feedback from drop down only.">
      <formula1>"Yes,No,FlexRET"</formula1>
    </dataValidation>
    <dataValidation type="list" xr:uid="{1EFF7957-949B-46EA-A294-F8BC6D52D953}" sqref="H29" showErrorMessage="1" errorTitle="An invalid feedback was entered" error="Please choose feedback from drop down only.">
      <formula1>"Yes,No,FlexRET"</formula1>
    </dataValidation>
    <dataValidation type="list" xr:uid="{C01F5B8C-6DF5-4FED-9CF7-C189DA1A9F4E}" sqref="I29" showErrorMessage="1" errorTitle="An invalid feedback was entered" error="Please choose feedback from drop down only.">
      <formula1>"Yes,No,FlexRET"</formula1>
    </dataValidation>
    <dataValidation type="list" xr:uid="{101BE2B3-02B8-4F8B-8B96-1B0F941ADA25}" sqref="J29" showErrorMessage="1" errorTitle="An invalid feedback was entered" error="Please choose feedback from drop down only.">
      <formula1>"Yes,No,FlexRET"</formula1>
    </dataValidation>
    <dataValidation type="list" xr:uid="{5CB2CBE9-76E4-478F-B37A-ABA0200CC03E}" sqref="K29" showErrorMessage="1" errorTitle="An invalid feedback was entered" error="Please choose feedback from drop down only.">
      <formula1>"Yes,No,FlexRET"</formula1>
    </dataValidation>
    <dataValidation type="list" xr:uid="{D07213E5-FDE1-48C3-AF43-3931A5A22130}" sqref="L29" showErrorMessage="1" errorTitle="An invalid feedback was entered" error="Please choose feedback from drop down only.">
      <formula1>"Yes,No,FlexRET"</formula1>
    </dataValidation>
    <dataValidation type="list" xr:uid="{4B80E970-9B92-4694-B434-239AD688BD20}" sqref="M29" showErrorMessage="1" errorTitle="An invalid feedback was entered" error="Please choose feedback from drop down only.">
      <formula1>"Yes,No,FlexRET"</formula1>
    </dataValidation>
    <dataValidation type="list" xr:uid="{C73B525C-6E66-41C4-B3D6-C000207ABAE1}" sqref="N29" showErrorMessage="1" errorTitle="An invalid feedback was entered" error="Please choose feedback from drop down only.">
      <formula1>"Yes,No,FlexRET"</formula1>
    </dataValidation>
    <dataValidation type="list" xr:uid="{67D0425F-69F2-4891-A04F-C6CADA50E4B6}" sqref="O29" showErrorMessage="1" errorTitle="An invalid feedback was entered" error="Please choose feedback from drop down only.">
      <formula1>"Yes,No,FlexRET"</formula1>
    </dataValidation>
    <dataValidation type="list" xr:uid="{4B405971-EB09-4216-B57D-97B897733C7B}" sqref="P29" showErrorMessage="1" errorTitle="An invalid feedback was entered" error="Please choose feedback from drop down only.">
      <formula1>"Yes,No,FlexRET"</formula1>
    </dataValidation>
    <dataValidation type="list" xr:uid="{115DADF3-8DF5-41AA-A6DA-EB27B1A43CAA}" sqref="Q29" showErrorMessage="1" errorTitle="An invalid feedback was entered" error="Please choose feedback from drop down only.">
      <formula1>"Yes,No,FlexRET"</formula1>
    </dataValidation>
    <dataValidation type="list" xr:uid="{88696AF0-E550-4956-9AF9-15845DC06D92}" sqref="C25" showErrorMessage="1" errorTitle="An invalid feedback was entered" error="Please choose feedback from drop down only.">
      <formula1>"G,U,L,NR,GU,UL,GL,GUL,LNR,ULNR,None"</formula1>
    </dataValidation>
    <dataValidation type="list" xr:uid="{DB83CFE8-DD92-4B2A-AB48-B3FD1CBC7859}" sqref="D25" showErrorMessage="1" errorTitle="An invalid feedback was entered" error="Please choose feedback from drop down only.">
      <formula1>"G,U,L,NR,GU,UL,GL,GUL,LNR,ULNR,None"</formula1>
    </dataValidation>
    <dataValidation type="list" xr:uid="{80398276-65CF-4BA3-B46D-27EBDEDFE124}" sqref="E25" showErrorMessage="1" errorTitle="An invalid feedback was entered" error="Please choose feedback from drop down only.">
      <formula1>"G,U,L,NR,GU,UL,GL,GUL,LNR,ULNR,None"</formula1>
    </dataValidation>
    <dataValidation type="list" xr:uid="{B9C89C51-090D-4310-A331-EB83FC359A44}" sqref="F25" showErrorMessage="1" errorTitle="An invalid feedback was entered" error="Please choose feedback from drop down only.">
      <formula1>"G,U,L,NR,GU,UL,GL,GUL,LNR,ULNR,None"</formula1>
    </dataValidation>
    <dataValidation type="list" xr:uid="{F82A08B6-2034-4D74-A182-4AA2635DBE95}" sqref="G25" showErrorMessage="1" errorTitle="An invalid feedback was entered" error="Please choose feedback from drop down only.">
      <formula1>"G,U,L,NR,GU,UL,GL,GUL,LNR,ULNR,None"</formula1>
    </dataValidation>
    <dataValidation type="list" xr:uid="{4BA4362C-2468-4B9F-A0B5-6E2DD1AA1E1F}" sqref="H25" showErrorMessage="1" errorTitle="An invalid feedback was entered" error="Please choose feedback from drop down only.">
      <formula1>"G,U,L,NR,GU,UL,GL,GUL,LNR,ULNR,None"</formula1>
    </dataValidation>
    <dataValidation type="list" xr:uid="{A01C9843-A025-4A40-9665-77B663375435}" sqref="I25" showErrorMessage="1" errorTitle="An invalid feedback was entered" error="Please choose feedback from drop down only.">
      <formula1>"G,U,L,NR,GU,UL,GL,GUL,LNR,ULNR,None"</formula1>
    </dataValidation>
    <dataValidation type="list" xr:uid="{BF118D09-A6E7-40E7-A27E-25A2239C0E6E}" sqref="J25" showErrorMessage="1" errorTitle="An invalid feedback was entered" error="Please choose feedback from drop down only.">
      <formula1>"G,U,L,NR,GU,UL,GL,GUL,LNR,ULNR,None"</formula1>
    </dataValidation>
    <dataValidation type="list" xr:uid="{251E62F1-032E-49AB-9927-458F9ABCBD4A}" sqref="K25" showErrorMessage="1" errorTitle="An invalid feedback was entered" error="Please choose feedback from drop down only.">
      <formula1>"G,U,L,NR,GU,UL,GL,GUL,LNR,ULNR,None"</formula1>
    </dataValidation>
    <dataValidation type="list" xr:uid="{E67C0747-1EE7-431B-94A8-247AEA905D38}" sqref="L25" showErrorMessage="1" errorTitle="An invalid feedback was entered" error="Please choose feedback from drop down only.">
      <formula1>"G,U,L,NR,GU,UL,GL,GUL,LNR,ULNR,None"</formula1>
    </dataValidation>
    <dataValidation type="list" xr:uid="{A5426C40-CE2B-4D7E-B265-1BAF09CF87D2}" sqref="M25" showErrorMessage="1" errorTitle="An invalid feedback was entered" error="Please choose feedback from drop down only.">
      <formula1>"G,U,L,NR,GU,UL,GL,GUL,LNR,ULNR,None"</formula1>
    </dataValidation>
    <dataValidation type="list" xr:uid="{579EE847-D219-46D7-ADE2-FB36BADF15CB}" sqref="N25" showErrorMessage="1" errorTitle="An invalid feedback was entered" error="Please choose feedback from drop down only.">
      <formula1>"G,U,L,NR,GU,UL,GL,GUL,LNR,ULNR,None"</formula1>
    </dataValidation>
    <dataValidation type="list" xr:uid="{D4662737-EEFA-40B5-BD65-8C3C8A34E889}" sqref="O25" showErrorMessage="1" errorTitle="An invalid feedback was entered" error="Please choose feedback from drop down only.">
      <formula1>"G,U,L,NR,GU,UL,GL,GUL,LNR,ULNR,None"</formula1>
    </dataValidation>
    <dataValidation type="list" xr:uid="{3A379DA4-2E81-4769-A2A4-3B1DF27BDB9D}" sqref="P25" showErrorMessage="1" errorTitle="An invalid feedback was entered" error="Please choose feedback from drop down only.">
      <formula1>"G,U,L,NR,GU,UL,GL,GUL,LNR,ULNR,None"</formula1>
    </dataValidation>
    <dataValidation type="list" xr:uid="{98AB7C3D-D74E-4C04-982B-FD6C42B405B8}" sqref="Q25" showErrorMessage="1" errorTitle="An invalid feedback was entered" error="Please choose feedback from drop down only.">
      <formula1>"G,U,L,NR,GU,UL,GL,GUL,LNR,ULNR,None"</formula1>
    </dataValidation>
    <dataValidation type="list" xr:uid="{7E64B6F6-0832-4AFB-88A5-982F9827801A}" sqref="C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6D8A1BDC-8EE2-4CE4-BAA9-32620CA57AA7}" sqref="D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66F7B9DC-A020-4652-A777-49141B50FD47}" sqref="E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EC6317A4-917B-4460-A377-0CFADF7DB828}" sqref="F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6756BAB8-2299-45A1-B661-D7BB020FDC4E}" sqref="G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A6701768-050D-429F-983D-8F66B31C7BB5}" sqref="H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095BD562-1C75-4159-B236-D129BBF57A2F}" sqref="I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1A2FCA71-6C94-4118-B076-82A1FA0A83FD}" sqref="J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90031177-7D9C-4C5F-807F-EA681C36CB6D}" sqref="K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37ABADF5-E341-4028-AB6B-7215D47D827A}" sqref="L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658E883D-13B1-41B1-A3C1-F9FA47B1AF20}" sqref="M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D7D43DA2-6131-4FA5-8B8B-A4CF8C44FAAA}" sqref="N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68EFDAD7-2B73-42BF-BFCE-78961199C461}" sqref="O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46D3AB2C-45CC-4940-9659-F794BF3315DA}" sqref="P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109DE6DA-77B8-448E-8B2E-CF62F68F8AB7}" sqref="Q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</dataValidations>
  <pageMargins left="0.7" right="0.7" top="0.75" bottom="0.75" header="0.3" footer="0.3"/>
  <pageSetup orientation="portrait"/>
  <headerFooter/>
  <extLst>
    <ext xmlns:x14="http://schemas.microsoft.com/office/spreadsheetml/2009/9/main" uri="{CCE6A557-97BC-4b89-ADB6-D9C93CAAB3DF}">
      <x14:dataValidations xmlns:xm="http://schemas.microsoft.com/office/excel/2006/main" count="60">
        <x14:dataValidation type="list" xr:uid="{E90173DA-E6AD-477D-A18B-EEE1C6C02B21}" error="Please choose feedback from drop down only." errorTitle="An invalid feedback was entered" showErrorMessage="1">
          <x14:formula1>
            <xm:f>Antennas!A:A</xm:f>
          </x14:formula1>
          <xm:sqref>C8</xm:sqref>
        </x14:dataValidation>
        <x14:dataValidation type="list" xr:uid="{65085A9D-DCCF-44B8-803A-CB564497D369}" error="Please choose feedback from drop down only." errorTitle="An invalid feedback was entered" showErrorMessage="1">
          <x14:formula1>
            <xm:f>Antennas!A:A</xm:f>
          </x14:formula1>
          <xm:sqref>D8</xm:sqref>
        </x14:dataValidation>
        <x14:dataValidation type="list" xr:uid="{483ED69F-B7AA-4A1A-8C76-DD6C54AAE5C6}" error="Please choose feedback from drop down only." errorTitle="An invalid feedback was entered" showErrorMessage="1">
          <x14:formula1>
            <xm:f>Antennas!A:A</xm:f>
          </x14:formula1>
          <xm:sqref>E8</xm:sqref>
        </x14:dataValidation>
        <x14:dataValidation type="list" xr:uid="{E591B35C-9B36-49D0-B131-76B12C0BE463}" error="Please choose feedback from drop down only." errorTitle="An invalid feedback was entered" showErrorMessage="1">
          <x14:formula1>
            <xm:f>Antennas!A:A</xm:f>
          </x14:formula1>
          <xm:sqref>F8</xm:sqref>
        </x14:dataValidation>
        <x14:dataValidation type="list" xr:uid="{106A00A2-1DCD-4EA2-B52C-0039C89F71A4}" error="Please choose feedback from drop down only." errorTitle="An invalid feedback was entered" showErrorMessage="1">
          <x14:formula1>
            <xm:f>Antennas!A:A</xm:f>
          </x14:formula1>
          <xm:sqref>G8</xm:sqref>
        </x14:dataValidation>
        <x14:dataValidation type="list" xr:uid="{95294992-B884-4F05-BE36-941208C0C1A9}" error="Please choose feedback from drop down only." errorTitle="An invalid feedback was entered" showErrorMessage="1">
          <x14:formula1>
            <xm:f>Antennas!A:A</xm:f>
          </x14:formula1>
          <xm:sqref>H8</xm:sqref>
        </x14:dataValidation>
        <x14:dataValidation type="list" xr:uid="{7887CDA4-4C72-4987-9C75-B184CC75885A}" error="Please choose feedback from drop down only." errorTitle="An invalid feedback was entered" showErrorMessage="1">
          <x14:formula1>
            <xm:f>Antennas!A:A</xm:f>
          </x14:formula1>
          <xm:sqref>I8</xm:sqref>
        </x14:dataValidation>
        <x14:dataValidation type="list" xr:uid="{280EC93E-AA55-49EF-9162-D98C3AA4AB9A}" error="Please choose feedback from drop down only." errorTitle="An invalid feedback was entered" showErrorMessage="1">
          <x14:formula1>
            <xm:f>Antennas!A:A</xm:f>
          </x14:formula1>
          <xm:sqref>J8</xm:sqref>
        </x14:dataValidation>
        <x14:dataValidation type="list" xr:uid="{E3681AC4-119C-4901-83D9-F9CA0EC2C74F}" error="Please choose feedback from drop down only." errorTitle="An invalid feedback was entered" showErrorMessage="1">
          <x14:formula1>
            <xm:f>Antennas!A:A</xm:f>
          </x14:formula1>
          <xm:sqref>K8</xm:sqref>
        </x14:dataValidation>
        <x14:dataValidation type="list" xr:uid="{40820D2B-FD61-4A90-B3B5-8E8B86113415}" error="Please choose feedback from drop down only." errorTitle="An invalid feedback was entered" showErrorMessage="1">
          <x14:formula1>
            <xm:f>Antennas!A:A</xm:f>
          </x14:formula1>
          <xm:sqref>L8</xm:sqref>
        </x14:dataValidation>
        <x14:dataValidation type="list" xr:uid="{03C702D1-A474-4B4C-8673-68BE86788929}" error="Please choose feedback from drop down only." errorTitle="An invalid feedback was entered" showErrorMessage="1">
          <x14:formula1>
            <xm:f>Antennas!A:A</xm:f>
          </x14:formula1>
          <xm:sqref>M8</xm:sqref>
        </x14:dataValidation>
        <x14:dataValidation type="list" xr:uid="{9B909F1D-B4CC-4D3E-8842-23FF782FC976}" error="Please choose feedback from drop down only." errorTitle="An invalid feedback was entered" showErrorMessage="1">
          <x14:formula1>
            <xm:f>Antennas!A:A</xm:f>
          </x14:formula1>
          <xm:sqref>N8</xm:sqref>
        </x14:dataValidation>
        <x14:dataValidation type="list" xr:uid="{C8301939-7100-4C44-923C-9096CB8AF3C0}" error="Please choose feedback from drop down only." errorTitle="An invalid feedback was entered" showErrorMessage="1">
          <x14:formula1>
            <xm:f>Antennas!A:A</xm:f>
          </x14:formula1>
          <xm:sqref>O8</xm:sqref>
        </x14:dataValidation>
        <x14:dataValidation type="list" xr:uid="{0458C4CB-D947-4D43-AA77-3218284232D8}" error="Please choose feedback from drop down only." errorTitle="An invalid feedback was entered" showErrorMessage="1">
          <x14:formula1>
            <xm:f>Antennas!A:A</xm:f>
          </x14:formula1>
          <xm:sqref>P8</xm:sqref>
        </x14:dataValidation>
        <x14:dataValidation type="list" xr:uid="{6F348B77-D81B-415B-833F-C9246E5670D5}" error="Please choose feedback from drop down only." errorTitle="An invalid feedback was entered" showErrorMessage="1">
          <x14:formula1>
            <xm:f>Antennas!A:A</xm:f>
          </x14:formula1>
          <xm:sqref>Q8</xm:sqref>
        </x14:dataValidation>
        <x14:dataValidation type="list" xr:uid="{9354BFA4-E495-4687-B060-9BBDB31ED781}" error="Please choose feedback from drop down only." errorTitle="An invalid feedback was entered" showErrorMessage="1">
          <x14:formula1>
            <xm:f>Combiners!A:A</xm:f>
          </x14:formula1>
          <xm:sqref>C39</xm:sqref>
        </x14:dataValidation>
        <x14:dataValidation type="list" xr:uid="{7BE2024B-92EF-43FB-8C67-8175A3B6F305}" error="Please choose feedback from drop down only." errorTitle="An invalid feedback was entered" showErrorMessage="1">
          <x14:formula1>
            <xm:f>Combiners!A:A</xm:f>
          </x14:formula1>
          <xm:sqref>D39</xm:sqref>
        </x14:dataValidation>
        <x14:dataValidation type="list" xr:uid="{7E672822-7607-4955-A46D-F9E270890D85}" error="Please choose feedback from drop down only." errorTitle="An invalid feedback was entered" showErrorMessage="1">
          <x14:formula1>
            <xm:f>Combiners!A:A</xm:f>
          </x14:formula1>
          <xm:sqref>E39</xm:sqref>
        </x14:dataValidation>
        <x14:dataValidation type="list" xr:uid="{533E57FB-4BFD-44CE-80DB-056D25DD3115}" error="Please choose feedback from drop down only." errorTitle="An invalid feedback was entered" showErrorMessage="1">
          <x14:formula1>
            <xm:f>Combiners!A:A</xm:f>
          </x14:formula1>
          <xm:sqref>F39</xm:sqref>
        </x14:dataValidation>
        <x14:dataValidation type="list" xr:uid="{DB9D7987-DCBF-4B14-99B3-3815B7AED7C5}" error="Please choose feedback from drop down only." errorTitle="An invalid feedback was entered" showErrorMessage="1">
          <x14:formula1>
            <xm:f>Combiners!A:A</xm:f>
          </x14:formula1>
          <xm:sqref>G39</xm:sqref>
        </x14:dataValidation>
        <x14:dataValidation type="list" xr:uid="{E1BEF427-6A08-4954-BB33-5105C316CA7B}" error="Please choose feedback from drop down only." errorTitle="An invalid feedback was entered" showErrorMessage="1">
          <x14:formula1>
            <xm:f>Combiners!A:A</xm:f>
          </x14:formula1>
          <xm:sqref>H39</xm:sqref>
        </x14:dataValidation>
        <x14:dataValidation type="list" xr:uid="{538CD9CD-E999-4460-AD07-990644C6B0F0}" error="Please choose feedback from drop down only." errorTitle="An invalid feedback was entered" showErrorMessage="1">
          <x14:formula1>
            <xm:f>Combiners!A:A</xm:f>
          </x14:formula1>
          <xm:sqref>I39</xm:sqref>
        </x14:dataValidation>
        <x14:dataValidation type="list" xr:uid="{BECEA52C-EB31-4D4C-A5DE-C796075E5A05}" error="Please choose feedback from drop down only." errorTitle="An invalid feedback was entered" showErrorMessage="1">
          <x14:formula1>
            <xm:f>Combiners!A:A</xm:f>
          </x14:formula1>
          <xm:sqref>J39</xm:sqref>
        </x14:dataValidation>
        <x14:dataValidation type="list" xr:uid="{55A076ED-2D0F-4539-9B53-D9563F06DAED}" error="Please choose feedback from drop down only." errorTitle="An invalid feedback was entered" showErrorMessage="1">
          <x14:formula1>
            <xm:f>Combiners!A:A</xm:f>
          </x14:formula1>
          <xm:sqref>K39</xm:sqref>
        </x14:dataValidation>
        <x14:dataValidation type="list" xr:uid="{DE3C10E1-3438-4499-ABF5-7A2157E2B3CE}" error="Please choose feedback from drop down only." errorTitle="An invalid feedback was entered" showErrorMessage="1">
          <x14:formula1>
            <xm:f>Combiners!A:A</xm:f>
          </x14:formula1>
          <xm:sqref>L39</xm:sqref>
        </x14:dataValidation>
        <x14:dataValidation type="list" xr:uid="{CC781C4B-3741-4F9D-AD58-0F6CF8C69541}" error="Please choose feedback from drop down only." errorTitle="An invalid feedback was entered" showErrorMessage="1">
          <x14:formula1>
            <xm:f>Combiners!A:A</xm:f>
          </x14:formula1>
          <xm:sqref>M39</xm:sqref>
        </x14:dataValidation>
        <x14:dataValidation type="list" xr:uid="{549EDFF8-1501-4C24-A633-9A8EAF2B36F7}" error="Please choose feedback from drop down only." errorTitle="An invalid feedback was entered" showErrorMessage="1">
          <x14:formula1>
            <xm:f>Combiners!A:A</xm:f>
          </x14:formula1>
          <xm:sqref>N39</xm:sqref>
        </x14:dataValidation>
        <x14:dataValidation type="list" xr:uid="{2BFFAE6A-5725-4EC6-AC10-3744CC7E9122}" error="Please choose feedback from drop down only." errorTitle="An invalid feedback was entered" showErrorMessage="1">
          <x14:formula1>
            <xm:f>Combiners!A:A</xm:f>
          </x14:formula1>
          <xm:sqref>O39</xm:sqref>
        </x14:dataValidation>
        <x14:dataValidation type="list" xr:uid="{3C6EFB5C-9587-4390-8DC7-BE5431522951}" error="Please choose feedback from drop down only." errorTitle="An invalid feedback was entered" showErrorMessage="1">
          <x14:formula1>
            <xm:f>Combiners!A:A</xm:f>
          </x14:formula1>
          <xm:sqref>P39</xm:sqref>
        </x14:dataValidation>
        <x14:dataValidation type="list" xr:uid="{2FC5467B-7CC0-450A-BB65-6083441D4012}" error="Please choose feedback from drop down only." errorTitle="An invalid feedback was entered" showErrorMessage="1">
          <x14:formula1>
            <xm:f>Combiners!A:A</xm:f>
          </x14:formula1>
          <xm:sqref>Q39</xm:sqref>
        </x14:dataValidation>
        <x14:dataValidation type="list" xr:uid="{3CD0298B-95AB-4C21-A0FD-CBBBEBCD41F8}" error="Please choose feedback from drop down only." errorTitle="An invalid feedback was entered" showErrorMessage="0">
          <x14:formula1>
            <xm:f>RRUs!A:A</xm:f>
          </x14:formula1>
          <xm:sqref>C35</xm:sqref>
        </x14:dataValidation>
        <x14:dataValidation type="list" xr:uid="{FD5EB389-B717-41AE-B03A-012D764D6E1E}" error="Please choose feedback from drop down only." errorTitle="An invalid feedback was entered" showErrorMessage="0">
          <x14:formula1>
            <xm:f>RRUs!A:A</xm:f>
          </x14:formula1>
          <xm:sqref>D35</xm:sqref>
        </x14:dataValidation>
        <x14:dataValidation type="list" xr:uid="{58B9BB94-B2F0-4677-9D38-2DE7AC9A11CE}" error="Please choose feedback from drop down only." errorTitle="An invalid feedback was entered" showErrorMessage="0">
          <x14:formula1>
            <xm:f>RRUs!A:A</xm:f>
          </x14:formula1>
          <xm:sqref>E35</xm:sqref>
        </x14:dataValidation>
        <x14:dataValidation type="list" xr:uid="{FA056578-DB18-4D30-BACF-F5EF6473F43B}" error="Please choose feedback from drop down only." errorTitle="An invalid feedback was entered" showErrorMessage="0">
          <x14:formula1>
            <xm:f>RRUs!A:A</xm:f>
          </x14:formula1>
          <xm:sqref>F35</xm:sqref>
        </x14:dataValidation>
        <x14:dataValidation type="list" xr:uid="{59283AA4-F5C4-4758-B0F8-B4BF449443B5}" error="Please choose feedback from drop down only." errorTitle="An invalid feedback was entered" showErrorMessage="0">
          <x14:formula1>
            <xm:f>RRUs!A:A</xm:f>
          </x14:formula1>
          <xm:sqref>G35</xm:sqref>
        </x14:dataValidation>
        <x14:dataValidation type="list" xr:uid="{C7705EEA-E282-47C0-9EAD-98EB08AACFE4}" error="Please choose feedback from drop down only." errorTitle="An invalid feedback was entered" showErrorMessage="0">
          <x14:formula1>
            <xm:f>RRUs!A:A</xm:f>
          </x14:formula1>
          <xm:sqref>H35</xm:sqref>
        </x14:dataValidation>
        <x14:dataValidation type="list" xr:uid="{1C3E036E-1406-46F7-BE56-CDB999AFE5E3}" error="Please choose feedback from drop down only." errorTitle="An invalid feedback was entered" showErrorMessage="0">
          <x14:formula1>
            <xm:f>RRUs!A:A</xm:f>
          </x14:formula1>
          <xm:sqref>I35</xm:sqref>
        </x14:dataValidation>
        <x14:dataValidation type="list" xr:uid="{74244974-B9F8-4D0F-8CEB-4F60476EE639}" error="Please choose feedback from drop down only." errorTitle="An invalid feedback was entered" showErrorMessage="0">
          <x14:formula1>
            <xm:f>RRUs!A:A</xm:f>
          </x14:formula1>
          <xm:sqref>J35</xm:sqref>
        </x14:dataValidation>
        <x14:dataValidation type="list" xr:uid="{1CD1327D-22ED-483A-9E2B-F5FEB4CCD0DA}" error="Please choose feedback from drop down only." errorTitle="An invalid feedback was entered" showErrorMessage="0">
          <x14:formula1>
            <xm:f>RRUs!A:A</xm:f>
          </x14:formula1>
          <xm:sqref>K35</xm:sqref>
        </x14:dataValidation>
        <x14:dataValidation type="list" xr:uid="{CE9160FD-6C61-4261-8E7E-21AE5AAB3882}" error="Please choose feedback from drop down only." errorTitle="An invalid feedback was entered" showErrorMessage="0">
          <x14:formula1>
            <xm:f>RRUs!A:A</xm:f>
          </x14:formula1>
          <xm:sqref>L35</xm:sqref>
        </x14:dataValidation>
        <x14:dataValidation type="list" xr:uid="{89E77AF6-079F-43FB-AC6E-7D9B65CBF868}" error="Please choose feedback from drop down only." errorTitle="An invalid feedback was entered" showErrorMessage="0">
          <x14:formula1>
            <xm:f>RRUs!A:A</xm:f>
          </x14:formula1>
          <xm:sqref>M35</xm:sqref>
        </x14:dataValidation>
        <x14:dataValidation type="list" xr:uid="{6FD4702E-B665-43A3-85AF-46720E66AB3A}" error="Please choose feedback from drop down only." errorTitle="An invalid feedback was entered" showErrorMessage="0">
          <x14:formula1>
            <xm:f>RRUs!A:A</xm:f>
          </x14:formula1>
          <xm:sqref>N35</xm:sqref>
        </x14:dataValidation>
        <x14:dataValidation type="list" xr:uid="{1628B1E1-D615-4AB6-8527-7806961B7875}" error="Please choose feedback from drop down only." errorTitle="An invalid feedback was entered" showErrorMessage="0">
          <x14:formula1>
            <xm:f>RRUs!A:A</xm:f>
          </x14:formula1>
          <xm:sqref>O35</xm:sqref>
        </x14:dataValidation>
        <x14:dataValidation type="list" xr:uid="{482844A2-B6B1-4F73-82B8-F8FAE1A6AAA8}" error="Please choose feedback from drop down only." errorTitle="An invalid feedback was entered" showErrorMessage="0">
          <x14:formula1>
            <xm:f>RRUs!A:A</xm:f>
          </x14:formula1>
          <xm:sqref>P35</xm:sqref>
        </x14:dataValidation>
        <x14:dataValidation type="list" xr:uid="{E52872C9-D223-4AC7-A92F-47AB1A386CB4}" error="Please choose feedback from drop down only." errorTitle="An invalid feedback was entered" showErrorMessage="0">
          <x14:formula1>
            <xm:f>RRUs!A:A</xm:f>
          </x14:formula1>
          <xm:sqref>Q35</xm:sqref>
        </x14:dataValidation>
        <x14:dataValidation type="list" xr:uid="{68E4163C-BE7B-4235-93EA-C33A48E2DE59}" error="Please choose feedback from drop down only." errorTitle="An invalid feedback was entered" showErrorMessage="1">
          <x14:formula1>
            <xm:f>Combiners!A:A</xm:f>
          </x14:formula1>
          <xm:sqref>C41</xm:sqref>
        </x14:dataValidation>
        <x14:dataValidation type="list" xr:uid="{FE17F0A0-E638-4232-ADB5-56B5E88F9694}" error="Please choose feedback from drop down only." errorTitle="An invalid feedback was entered" showErrorMessage="1">
          <x14:formula1>
            <xm:f>Combiners!A:A</xm:f>
          </x14:formula1>
          <xm:sqref>D41</xm:sqref>
        </x14:dataValidation>
        <x14:dataValidation type="list" xr:uid="{0B65B4F8-2E61-4E45-8BC7-6C2F1AE45992}" error="Please choose feedback from drop down only." errorTitle="An invalid feedback was entered" showErrorMessage="1">
          <x14:formula1>
            <xm:f>Combiners!A:A</xm:f>
          </x14:formula1>
          <xm:sqref>E41</xm:sqref>
        </x14:dataValidation>
        <x14:dataValidation type="list" xr:uid="{2920FE12-A1CC-4B69-B9B5-C6022E953B46}" error="Please choose feedback from drop down only." errorTitle="An invalid feedback was entered" showErrorMessage="1">
          <x14:formula1>
            <xm:f>Combiners!A:A</xm:f>
          </x14:formula1>
          <xm:sqref>F41</xm:sqref>
        </x14:dataValidation>
        <x14:dataValidation type="list" xr:uid="{C8D0B0F0-94E0-470C-99D6-E5A7FEC3F13D}" error="Please choose feedback from drop down only." errorTitle="An invalid feedback was entered" showErrorMessage="1">
          <x14:formula1>
            <xm:f>Combiners!A:A</xm:f>
          </x14:formula1>
          <xm:sqref>G41</xm:sqref>
        </x14:dataValidation>
        <x14:dataValidation type="list" xr:uid="{36791E92-C1CD-489C-B381-1C04B72AD2E0}" error="Please choose feedback from drop down only." errorTitle="An invalid feedback was entered" showErrorMessage="1">
          <x14:formula1>
            <xm:f>Combiners!A:A</xm:f>
          </x14:formula1>
          <xm:sqref>H41</xm:sqref>
        </x14:dataValidation>
        <x14:dataValidation type="list" xr:uid="{0BD2FD70-7DDB-41BB-8B35-BDD7CCC74522}" error="Please choose feedback from drop down only." errorTitle="An invalid feedback was entered" showErrorMessage="1">
          <x14:formula1>
            <xm:f>Combiners!A:A</xm:f>
          </x14:formula1>
          <xm:sqref>I41</xm:sqref>
        </x14:dataValidation>
        <x14:dataValidation type="list" xr:uid="{8FCA6D9F-A225-4DA9-B99F-7EA5C5987E67}" error="Please choose feedback from drop down only." errorTitle="An invalid feedback was entered" showErrorMessage="1">
          <x14:formula1>
            <xm:f>Combiners!A:A</xm:f>
          </x14:formula1>
          <xm:sqref>J41</xm:sqref>
        </x14:dataValidation>
        <x14:dataValidation type="list" xr:uid="{9660A14C-C84E-447F-9568-C9F859869B6A}" error="Please choose feedback from drop down only." errorTitle="An invalid feedback was entered" showErrorMessage="1">
          <x14:formula1>
            <xm:f>Combiners!A:A</xm:f>
          </x14:formula1>
          <xm:sqref>K41</xm:sqref>
        </x14:dataValidation>
        <x14:dataValidation type="list" xr:uid="{A33B7766-0158-423B-AFD1-D4F0BB032428}" error="Please choose feedback from drop down only." errorTitle="An invalid feedback was entered" showErrorMessage="1">
          <x14:formula1>
            <xm:f>Combiners!A:A</xm:f>
          </x14:formula1>
          <xm:sqref>L41</xm:sqref>
        </x14:dataValidation>
        <x14:dataValidation type="list" xr:uid="{42BAB67B-06A1-4373-A43D-5F5BA5E09149}" error="Please choose feedback from drop down only." errorTitle="An invalid feedback was entered" showErrorMessage="1">
          <x14:formula1>
            <xm:f>Combiners!A:A</xm:f>
          </x14:formula1>
          <xm:sqref>M41</xm:sqref>
        </x14:dataValidation>
        <x14:dataValidation type="list" xr:uid="{79C4873A-6E3A-46FC-B9F0-2564D0EFD844}" error="Please choose feedback from drop down only." errorTitle="An invalid feedback was entered" showErrorMessage="1">
          <x14:formula1>
            <xm:f>Combiners!A:A</xm:f>
          </x14:formula1>
          <xm:sqref>N41</xm:sqref>
        </x14:dataValidation>
        <x14:dataValidation type="list" xr:uid="{0AFF8108-9FBF-485F-895E-D30B1EEAB49D}" error="Please choose feedback from drop down only." errorTitle="An invalid feedback was entered" showErrorMessage="1">
          <x14:formula1>
            <xm:f>Combiners!A:A</xm:f>
          </x14:formula1>
          <xm:sqref>O41</xm:sqref>
        </x14:dataValidation>
        <x14:dataValidation type="list" xr:uid="{F6AEE3FC-C0A5-4486-B423-F792C0D69629}" error="Please choose feedback from drop down only." errorTitle="An invalid feedback was entered" showErrorMessage="1">
          <x14:formula1>
            <xm:f>Combiners!A:A</xm:f>
          </x14:formula1>
          <xm:sqref>P41</xm:sqref>
        </x14:dataValidation>
        <x14:dataValidation type="list" xr:uid="{B9CA4220-3291-48EA-91ED-0C959D5C4EA2}" error="Please choose feedback from drop down only." errorTitle="An invalid feedback was entered" showErrorMessage="1">
          <x14:formula1>
            <xm:f>Combiners!A:A</xm:f>
          </x14:formula1>
          <xm:sqref>Q41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11"/>
  <dimension ref="A1:H240"/>
  <sheetViews>
    <sheetView tabSelected="1" topLeftCell="A139" workbookViewId="0">
      <selection activeCell="C157" sqref="C157"/>
    </sheetView>
  </sheetViews>
  <sheetFormatPr defaultColWidth="8.86328125" defaultRowHeight="12.75"/>
  <cols>
    <col min="1" max="1" bestFit="1" width="44.1328125" customWidth="1" style="21"/>
    <col min="2" max="2" bestFit="1" width="8.19921875" customWidth="1" style="21"/>
    <col min="3" max="3" bestFit="1" width="63.3984375" customWidth="1" style="21"/>
    <col min="4" max="4" bestFit="1" width="8.796875" customWidth="1" style="21"/>
    <col min="5" max="16384" width="8.86328125" customWidth="1" style="21"/>
  </cols>
  <sheetData>
    <row r="1" ht="14.65">
      <c r="A1" s="144"/>
      <c r="B1" s="145" t="s">
        <v>562</v>
      </c>
      <c r="C1" s="146" t="s">
        <v>563</v>
      </c>
      <c r="D1" s="147" t="s">
        <v>564</v>
      </c>
    </row>
    <row r="2" ht="14.25">
      <c r="A2" s="148" t="s">
        <v>565</v>
      </c>
      <c r="B2" s="149">
        <v>10026893</v>
      </c>
      <c r="C2" s="150" t="s">
        <v>566</v>
      </c>
      <c r="D2" s="151"/>
    </row>
    <row r="3" ht="14.25">
      <c r="A3" s="152" t="s">
        <v>565</v>
      </c>
      <c r="B3" s="153">
        <v>10027419</v>
      </c>
      <c r="C3" s="154" t="s">
        <v>567</v>
      </c>
      <c r="D3" s="155"/>
    </row>
    <row r="4" ht="14.25">
      <c r="A4" s="152" t="s">
        <v>565</v>
      </c>
      <c r="B4" s="153">
        <v>10026032</v>
      </c>
      <c r="C4" s="154" t="s">
        <v>568</v>
      </c>
      <c r="D4" s="155"/>
    </row>
    <row r="5" ht="14.25">
      <c r="A5" s="152" t="s">
        <v>565</v>
      </c>
      <c r="B5" s="153">
        <v>10026035</v>
      </c>
      <c r="C5" s="154" t="s">
        <v>569</v>
      </c>
      <c r="D5" s="155"/>
    </row>
    <row r="6" ht="14.65">
      <c r="A6" s="156" t="s">
        <v>565</v>
      </c>
      <c r="B6" s="157">
        <v>10027363</v>
      </c>
      <c r="C6" s="158" t="s">
        <v>570</v>
      </c>
      <c r="D6" s="159"/>
    </row>
    <row r="7" ht="14.25">
      <c r="A7" s="148" t="s">
        <v>571</v>
      </c>
      <c r="B7" s="149">
        <v>10027278</v>
      </c>
      <c r="C7" s="150" t="s">
        <v>572</v>
      </c>
      <c r="D7" s="151"/>
    </row>
    <row r="8" ht="14.25">
      <c r="A8" s="152" t="s">
        <v>573</v>
      </c>
      <c r="B8" s="153">
        <v>10027361</v>
      </c>
      <c r="C8" s="154" t="s">
        <v>574</v>
      </c>
      <c r="D8" s="155"/>
    </row>
    <row r="9" ht="14.65">
      <c r="A9" s="156" t="s">
        <v>575</v>
      </c>
      <c r="B9" s="157">
        <v>10027360</v>
      </c>
      <c r="C9" s="158" t="s">
        <v>576</v>
      </c>
      <c r="D9" s="159"/>
    </row>
    <row r="10" ht="14.25">
      <c r="A10" s="148" t="s">
        <v>577</v>
      </c>
      <c r="B10" s="149">
        <v>10027352</v>
      </c>
      <c r="C10" s="150" t="s">
        <v>578</v>
      </c>
      <c r="D10" s="151"/>
    </row>
    <row r="11" ht="14.25">
      <c r="A11" s="152" t="s">
        <v>577</v>
      </c>
      <c r="B11" s="153">
        <v>10027510</v>
      </c>
      <c r="C11" s="154" t="s">
        <v>579</v>
      </c>
      <c r="D11" s="155"/>
    </row>
    <row r="12" ht="14.25">
      <c r="A12" s="152" t="s">
        <v>577</v>
      </c>
      <c r="B12" s="153">
        <v>10027508</v>
      </c>
      <c r="C12" s="154" t="s">
        <v>580</v>
      </c>
      <c r="D12" s="155"/>
    </row>
    <row r="13" ht="14.25">
      <c r="A13" s="152" t="s">
        <v>581</v>
      </c>
      <c r="B13" s="153">
        <v>10027269</v>
      </c>
      <c r="C13" s="154" t="s">
        <v>193</v>
      </c>
      <c r="D13" s="155"/>
    </row>
    <row r="14" ht="14.25">
      <c r="A14" s="152" t="s">
        <v>582</v>
      </c>
      <c r="B14" s="153">
        <v>10029116</v>
      </c>
      <c r="C14" s="154" t="s">
        <v>235</v>
      </c>
      <c r="D14" s="155"/>
    </row>
    <row r="15" ht="14.25">
      <c r="A15" s="152" t="s">
        <v>201</v>
      </c>
      <c r="B15" s="153">
        <v>10031384</v>
      </c>
      <c r="C15" s="154" t="s">
        <v>201</v>
      </c>
      <c r="D15" s="155"/>
    </row>
    <row r="16" ht="14.25">
      <c r="A16" s="152" t="s">
        <v>192</v>
      </c>
      <c r="B16" s="153">
        <v>10031147</v>
      </c>
      <c r="C16" s="154" t="s">
        <v>583</v>
      </c>
      <c r="D16" s="155"/>
    </row>
    <row r="17" ht="14.25">
      <c r="A17" s="152" t="s">
        <v>192</v>
      </c>
      <c r="B17" s="153">
        <v>10031386</v>
      </c>
      <c r="C17" s="154" t="s">
        <v>584</v>
      </c>
      <c r="D17" s="155"/>
    </row>
    <row r="18" ht="14.25">
      <c r="A18" s="152" t="s">
        <v>192</v>
      </c>
      <c r="B18" s="153">
        <v>10022756</v>
      </c>
      <c r="C18" s="154" t="s">
        <v>585</v>
      </c>
      <c r="D18" s="155"/>
    </row>
    <row r="19" ht="14.25">
      <c r="A19" s="152" t="s">
        <v>192</v>
      </c>
      <c r="B19" s="153">
        <v>10022753</v>
      </c>
      <c r="C19" s="154" t="s">
        <v>586</v>
      </c>
      <c r="D19" s="155"/>
    </row>
    <row r="20" ht="14.25">
      <c r="A20" s="152" t="s">
        <v>192</v>
      </c>
      <c r="B20" s="153">
        <v>10022754</v>
      </c>
      <c r="C20" s="154" t="s">
        <v>587</v>
      </c>
      <c r="D20" s="155"/>
    </row>
    <row r="21" ht="14.25">
      <c r="A21" s="152" t="s">
        <v>192</v>
      </c>
      <c r="B21" s="153">
        <v>10022757</v>
      </c>
      <c r="C21" s="154" t="s">
        <v>588</v>
      </c>
      <c r="D21" s="155"/>
    </row>
    <row r="22" ht="14.25">
      <c r="A22" s="152" t="s">
        <v>192</v>
      </c>
      <c r="B22" s="153">
        <v>10026413</v>
      </c>
      <c r="C22" s="154" t="s">
        <v>213</v>
      </c>
      <c r="D22" s="155"/>
    </row>
    <row r="23" ht="14.25">
      <c r="A23" s="152" t="s">
        <v>192</v>
      </c>
      <c r="B23" s="153">
        <v>10027273</v>
      </c>
      <c r="C23" s="154" t="s">
        <v>207</v>
      </c>
      <c r="D23" s="155"/>
    </row>
    <row r="24" ht="14.25">
      <c r="A24" s="152" t="s">
        <v>589</v>
      </c>
      <c r="B24" s="153">
        <v>10025643</v>
      </c>
      <c r="C24" s="154" t="s">
        <v>590</v>
      </c>
      <c r="D24" s="155"/>
    </row>
    <row r="25" ht="14.25">
      <c r="A25" s="152" t="s">
        <v>591</v>
      </c>
      <c r="B25" s="153">
        <v>10028663</v>
      </c>
      <c r="C25" s="154" t="s">
        <v>225</v>
      </c>
      <c r="D25" s="155"/>
    </row>
    <row r="26" ht="14.25">
      <c r="A26" s="152" t="s">
        <v>592</v>
      </c>
      <c r="B26" s="153">
        <v>10031088</v>
      </c>
      <c r="C26" s="154" t="s">
        <v>177</v>
      </c>
      <c r="D26" s="155"/>
    </row>
    <row r="27" ht="14.25">
      <c r="A27" s="152" t="s">
        <v>592</v>
      </c>
      <c r="B27" s="153">
        <v>10031387</v>
      </c>
      <c r="C27" s="154" t="s">
        <v>593</v>
      </c>
      <c r="D27" s="155"/>
    </row>
    <row r="28" ht="14.25">
      <c r="A28" s="152" t="s">
        <v>594</v>
      </c>
      <c r="B28" s="153">
        <v>10027270</v>
      </c>
      <c r="C28" s="154" t="s">
        <v>595</v>
      </c>
      <c r="D28" s="155"/>
    </row>
    <row r="29" ht="14.25">
      <c r="A29" s="152" t="s">
        <v>594</v>
      </c>
      <c r="B29" s="153">
        <v>10022130</v>
      </c>
      <c r="C29" s="154" t="s">
        <v>230</v>
      </c>
      <c r="D29" s="155"/>
    </row>
    <row r="30" ht="14.25">
      <c r="A30" s="152" t="s">
        <v>594</v>
      </c>
      <c r="B30" s="153">
        <v>10024385</v>
      </c>
      <c r="C30" s="154" t="s">
        <v>233</v>
      </c>
      <c r="D30" s="155"/>
    </row>
    <row r="31" ht="14.25">
      <c r="A31" s="152" t="s">
        <v>594</v>
      </c>
      <c r="B31" s="153">
        <v>10027340</v>
      </c>
      <c r="C31" s="154" t="s">
        <v>180</v>
      </c>
      <c r="D31" s="155"/>
    </row>
    <row r="32" ht="14.25">
      <c r="A32" s="152" t="s">
        <v>594</v>
      </c>
      <c r="B32" s="153">
        <v>10027271</v>
      </c>
      <c r="C32" s="154" t="s">
        <v>183</v>
      </c>
      <c r="D32" s="155"/>
    </row>
    <row r="33" ht="14.25">
      <c r="A33" s="160" t="s">
        <v>594</v>
      </c>
      <c r="B33" s="153">
        <v>10026709</v>
      </c>
      <c r="C33" s="154" t="s">
        <v>186</v>
      </c>
      <c r="D33" s="155"/>
    </row>
    <row r="34" ht="14.25">
      <c r="A34" s="160" t="s">
        <v>594</v>
      </c>
      <c r="B34" s="153">
        <v>10031393</v>
      </c>
      <c r="C34" s="154" t="s">
        <v>596</v>
      </c>
      <c r="D34" s="155"/>
    </row>
    <row r="35" ht="14.25">
      <c r="A35" s="160" t="s">
        <v>594</v>
      </c>
      <c r="B35" s="153">
        <v>10031089</v>
      </c>
      <c r="C35" s="154" t="s">
        <v>597</v>
      </c>
      <c r="D35" s="155"/>
    </row>
    <row r="36" ht="14.65">
      <c r="A36" s="161" t="s">
        <v>594</v>
      </c>
      <c r="B36" s="162">
        <v>10031385</v>
      </c>
      <c r="C36" s="163" t="s">
        <v>189</v>
      </c>
      <c r="D36" s="164"/>
    </row>
    <row r="37" ht="14.65">
      <c r="A37" s="165" t="s">
        <v>598</v>
      </c>
      <c r="B37" s="166">
        <v>10027656</v>
      </c>
      <c r="C37" s="167" t="s">
        <v>599</v>
      </c>
      <c r="D37" s="168"/>
    </row>
    <row r="38" ht="14.25">
      <c r="A38" s="148" t="s">
        <v>600</v>
      </c>
      <c r="B38" s="149">
        <v>10026879</v>
      </c>
      <c r="C38" s="150" t="s">
        <v>601</v>
      </c>
      <c r="D38" s="151"/>
    </row>
    <row r="39" ht="14.25">
      <c r="A39" s="169" t="s">
        <v>600</v>
      </c>
      <c r="B39" s="170"/>
      <c r="C39" s="171" t="s">
        <v>602</v>
      </c>
      <c r="D39" s="172"/>
    </row>
    <row r="40" ht="14.25">
      <c r="A40" s="169" t="s">
        <v>600</v>
      </c>
      <c r="B40" s="170"/>
      <c r="C40" s="171" t="s">
        <v>270</v>
      </c>
      <c r="D40" s="172"/>
    </row>
    <row r="41" ht="14.25">
      <c r="A41" s="169" t="s">
        <v>600</v>
      </c>
      <c r="B41" s="170"/>
      <c r="C41" s="171" t="s">
        <v>271</v>
      </c>
      <c r="D41" s="172"/>
    </row>
    <row r="42" ht="14.25">
      <c r="A42" s="152" t="s">
        <v>600</v>
      </c>
      <c r="B42" s="153">
        <v>10026880</v>
      </c>
      <c r="C42" s="154" t="s">
        <v>603</v>
      </c>
      <c r="D42" s="155"/>
    </row>
    <row r="43" ht="14.25">
      <c r="A43" s="152" t="s">
        <v>600</v>
      </c>
      <c r="B43" s="153">
        <v>10026881</v>
      </c>
      <c r="C43" s="154" t="s">
        <v>604</v>
      </c>
      <c r="D43" s="155"/>
    </row>
    <row r="44" ht="14.25">
      <c r="A44" s="152" t="s">
        <v>600</v>
      </c>
      <c r="B44" s="153">
        <v>10026882</v>
      </c>
      <c r="C44" s="154" t="s">
        <v>605</v>
      </c>
      <c r="D44" s="155"/>
    </row>
    <row r="45" ht="14.25">
      <c r="A45" s="152" t="s">
        <v>600</v>
      </c>
      <c r="B45" s="153">
        <v>10026883</v>
      </c>
      <c r="C45" s="154" t="s">
        <v>606</v>
      </c>
      <c r="D45" s="155"/>
    </row>
    <row r="46" ht="14.65">
      <c r="A46" s="156" t="s">
        <v>600</v>
      </c>
      <c r="B46" s="157">
        <v>10026884</v>
      </c>
      <c r="C46" s="158" t="s">
        <v>607</v>
      </c>
      <c r="D46" s="159"/>
    </row>
    <row r="47" ht="14.25">
      <c r="A47" s="152" t="s">
        <v>608</v>
      </c>
      <c r="B47" s="153">
        <v>10031395</v>
      </c>
      <c r="C47" s="154" t="s">
        <v>609</v>
      </c>
      <c r="D47" s="155"/>
    </row>
    <row r="48" ht="14.25">
      <c r="A48" s="152" t="s">
        <v>608</v>
      </c>
      <c r="B48" s="153">
        <v>10031394</v>
      </c>
      <c r="C48" s="154" t="s">
        <v>610</v>
      </c>
      <c r="D48" s="155"/>
    </row>
    <row r="49" ht="14.25">
      <c r="A49" s="152" t="s">
        <v>608</v>
      </c>
      <c r="B49" s="153">
        <v>10023733</v>
      </c>
      <c r="C49" s="154" t="s">
        <v>611</v>
      </c>
      <c r="D49" s="155"/>
    </row>
    <row r="50" ht="14.25">
      <c r="A50" s="152" t="s">
        <v>608</v>
      </c>
      <c r="B50" s="153">
        <v>10024251</v>
      </c>
      <c r="C50" s="154" t="s">
        <v>612</v>
      </c>
      <c r="D50" s="155"/>
    </row>
    <row r="51" ht="14.25">
      <c r="A51" s="152" t="s">
        <v>608</v>
      </c>
      <c r="B51" s="153">
        <v>10027275</v>
      </c>
      <c r="C51" s="154" t="s">
        <v>613</v>
      </c>
      <c r="D51" s="155"/>
    </row>
    <row r="52" ht="14.25">
      <c r="A52" s="152" t="s">
        <v>608</v>
      </c>
      <c r="B52" s="153">
        <v>10030661</v>
      </c>
      <c r="C52" s="154" t="s">
        <v>614</v>
      </c>
      <c r="D52" s="155"/>
    </row>
    <row r="53" ht="14.25">
      <c r="A53" s="152" t="s">
        <v>608</v>
      </c>
      <c r="B53" s="153">
        <v>10027274</v>
      </c>
      <c r="C53" s="154" t="s">
        <v>615</v>
      </c>
      <c r="D53" s="155"/>
    </row>
    <row r="54" ht="14.25">
      <c r="A54" s="152" t="s">
        <v>608</v>
      </c>
      <c r="B54" s="153">
        <v>10027276</v>
      </c>
      <c r="C54" s="154" t="s">
        <v>616</v>
      </c>
      <c r="D54" s="155"/>
    </row>
    <row r="55" ht="14.25">
      <c r="A55" s="152" t="s">
        <v>608</v>
      </c>
      <c r="B55" s="153">
        <v>10030662</v>
      </c>
      <c r="C55" s="154" t="s">
        <v>617</v>
      </c>
      <c r="D55" s="155"/>
    </row>
    <row r="56" ht="14.25">
      <c r="A56" s="152" t="s">
        <v>608</v>
      </c>
      <c r="B56" s="153">
        <v>10031146</v>
      </c>
      <c r="C56" s="154" t="s">
        <v>618</v>
      </c>
      <c r="D56" s="155"/>
    </row>
    <row r="57" ht="14.25">
      <c r="A57" s="152" t="s">
        <v>608</v>
      </c>
      <c r="B57" s="153">
        <v>10031396</v>
      </c>
      <c r="C57" s="154" t="s">
        <v>619</v>
      </c>
      <c r="D57" s="155"/>
    </row>
    <row r="58" ht="14.25">
      <c r="A58" s="152" t="s">
        <v>608</v>
      </c>
      <c r="B58" s="153">
        <v>10023703</v>
      </c>
      <c r="C58" s="154" t="s">
        <v>216</v>
      </c>
      <c r="D58" s="155"/>
    </row>
    <row r="59" ht="14.25">
      <c r="A59" s="152" t="s">
        <v>620</v>
      </c>
      <c r="B59" s="153">
        <v>10027420</v>
      </c>
      <c r="C59" s="154" t="s">
        <v>621</v>
      </c>
      <c r="D59" s="155"/>
    </row>
    <row r="60" ht="14.25">
      <c r="A60" s="152" t="s">
        <v>622</v>
      </c>
      <c r="B60" s="153">
        <v>10023494</v>
      </c>
      <c r="C60" s="154" t="s">
        <v>623</v>
      </c>
      <c r="D60" s="155"/>
    </row>
    <row r="61" ht="14.25">
      <c r="A61" s="152" t="s">
        <v>608</v>
      </c>
      <c r="B61" s="153">
        <v>10029705</v>
      </c>
      <c r="C61" s="154" t="s">
        <v>624</v>
      </c>
      <c r="D61" s="155"/>
    </row>
    <row r="62" ht="14.25">
      <c r="A62" s="152" t="s">
        <v>608</v>
      </c>
      <c r="B62" s="153">
        <v>10030914</v>
      </c>
      <c r="C62" s="154" t="s">
        <v>625</v>
      </c>
      <c r="D62" s="155"/>
    </row>
    <row r="63" ht="14.25">
      <c r="A63" s="152" t="s">
        <v>608</v>
      </c>
      <c r="B63" s="153"/>
      <c r="C63" s="154" t="s">
        <v>626</v>
      </c>
      <c r="D63" s="155"/>
    </row>
    <row r="64" ht="14.25">
      <c r="A64" s="152" t="s">
        <v>608</v>
      </c>
      <c r="B64" s="153">
        <v>10030566</v>
      </c>
      <c r="C64" s="154" t="s">
        <v>627</v>
      </c>
      <c r="D64" s="155"/>
    </row>
    <row r="65" ht="14.25">
      <c r="A65" s="152" t="s">
        <v>608</v>
      </c>
      <c r="B65" s="188">
        <v>10032823</v>
      </c>
      <c r="C65" s="154" t="s">
        <v>628</v>
      </c>
      <c r="D65" s="155"/>
      <c r="E65" s="143"/>
      <c r="F65" s="143"/>
      <c r="G65" s="143"/>
      <c r="H65" s="143"/>
    </row>
    <row r="66" ht="14.25">
      <c r="A66" s="152" t="s">
        <v>629</v>
      </c>
      <c r="B66" s="153">
        <v>10023684</v>
      </c>
      <c r="C66" s="154" t="s">
        <v>630</v>
      </c>
      <c r="D66" s="155"/>
      <c r="E66" s="143"/>
      <c r="F66" s="143"/>
      <c r="G66" s="143"/>
      <c r="H66" s="143"/>
    </row>
    <row r="67" ht="14.25">
      <c r="A67" s="152" t="s">
        <v>631</v>
      </c>
      <c r="B67" s="153">
        <v>10027546</v>
      </c>
      <c r="C67" s="154" t="s">
        <v>632</v>
      </c>
      <c r="D67" s="155"/>
      <c r="E67" s="143"/>
      <c r="F67" s="173"/>
      <c r="G67" s="143"/>
      <c r="H67" s="173"/>
    </row>
    <row r="68" ht="14.25">
      <c r="A68" s="152" t="s">
        <v>633</v>
      </c>
      <c r="B68" s="153">
        <v>10028353</v>
      </c>
      <c r="C68" s="154" t="s">
        <v>634</v>
      </c>
      <c r="D68" s="155"/>
      <c r="E68" s="143"/>
      <c r="F68" s="173"/>
      <c r="G68" s="143"/>
      <c r="H68" s="173"/>
    </row>
    <row r="69" ht="14.25">
      <c r="A69" s="152" t="s">
        <v>633</v>
      </c>
      <c r="B69" s="153">
        <v>10026455</v>
      </c>
      <c r="C69" s="154" t="s">
        <v>635</v>
      </c>
      <c r="D69" s="155"/>
      <c r="E69" s="143"/>
      <c r="F69" s="173"/>
      <c r="G69" s="143"/>
      <c r="H69" s="173"/>
    </row>
    <row r="70" ht="14.25">
      <c r="A70" s="152" t="s">
        <v>636</v>
      </c>
      <c r="B70" s="153">
        <v>10026454</v>
      </c>
      <c r="C70" s="154" t="s">
        <v>637</v>
      </c>
      <c r="D70" s="155"/>
      <c r="E70" s="143"/>
      <c r="F70" s="173"/>
      <c r="G70" s="143"/>
      <c r="H70" s="173"/>
    </row>
    <row r="71" ht="14.25">
      <c r="A71" s="152" t="s">
        <v>608</v>
      </c>
      <c r="B71" s="153"/>
      <c r="C71" s="154" t="s">
        <v>638</v>
      </c>
      <c r="D71" s="155"/>
      <c r="E71" s="143"/>
      <c r="F71" s="173"/>
      <c r="G71" s="143"/>
      <c r="H71" s="173"/>
    </row>
    <row r="72" ht="14.25">
      <c r="A72" s="152" t="s">
        <v>608</v>
      </c>
      <c r="B72" s="153"/>
      <c r="C72" s="154" t="s">
        <v>639</v>
      </c>
      <c r="D72" s="155"/>
      <c r="E72" s="143"/>
      <c r="F72" s="173"/>
      <c r="G72" s="143"/>
      <c r="H72" s="173"/>
    </row>
    <row r="73" ht="14.25">
      <c r="A73" s="152" t="s">
        <v>608</v>
      </c>
      <c r="B73" s="153">
        <v>10027511</v>
      </c>
      <c r="C73" s="154" t="s">
        <v>640</v>
      </c>
      <c r="D73" s="155"/>
      <c r="E73" s="143"/>
      <c r="F73" s="173"/>
      <c r="G73" s="143"/>
      <c r="H73" s="173"/>
    </row>
    <row r="74" ht="14.25">
      <c r="A74" s="152" t="s">
        <v>608</v>
      </c>
      <c r="B74" s="153"/>
      <c r="C74" s="154" t="s">
        <v>641</v>
      </c>
      <c r="D74" s="155"/>
      <c r="E74" s="143"/>
      <c r="F74" s="173"/>
      <c r="G74" s="143"/>
      <c r="H74" s="173"/>
    </row>
    <row r="75" ht="14.25">
      <c r="A75" s="152" t="s">
        <v>608</v>
      </c>
      <c r="B75" s="153"/>
      <c r="C75" s="154" t="s">
        <v>642</v>
      </c>
      <c r="D75" s="155"/>
      <c r="E75" s="143"/>
      <c r="F75" s="173"/>
      <c r="G75" s="143"/>
      <c r="H75" s="173"/>
    </row>
    <row r="76" ht="14.25">
      <c r="A76" s="152" t="s">
        <v>608</v>
      </c>
      <c r="B76" s="153"/>
      <c r="C76" s="154" t="s">
        <v>643</v>
      </c>
      <c r="D76" s="155"/>
      <c r="E76" s="143"/>
      <c r="F76" s="173"/>
      <c r="G76" s="143"/>
      <c r="H76" s="173"/>
    </row>
    <row r="77" ht="14.65">
      <c r="A77" s="152" t="s">
        <v>644</v>
      </c>
      <c r="B77" s="153"/>
      <c r="C77" s="154" t="s">
        <v>645</v>
      </c>
      <c r="D77" s="155"/>
      <c r="E77" s="143"/>
      <c r="F77" s="173"/>
      <c r="G77" s="143"/>
      <c r="H77" s="173"/>
    </row>
    <row r="78" ht="14.25">
      <c r="A78" s="148" t="s">
        <v>646</v>
      </c>
      <c r="B78" s="149"/>
      <c r="C78" s="150" t="s">
        <v>647</v>
      </c>
      <c r="D78" s="151"/>
      <c r="E78" s="143"/>
      <c r="F78" s="173"/>
      <c r="G78" s="143"/>
      <c r="H78" s="173"/>
    </row>
    <row r="79" ht="14.25">
      <c r="A79" s="160" t="s">
        <v>648</v>
      </c>
      <c r="B79" s="153"/>
      <c r="C79" s="154" t="s">
        <v>649</v>
      </c>
      <c r="D79" s="155"/>
      <c r="E79" s="143"/>
      <c r="F79" s="143"/>
      <c r="G79" s="143"/>
      <c r="H79" s="143"/>
    </row>
    <row r="80" ht="14.25">
      <c r="A80" s="160" t="s">
        <v>650</v>
      </c>
      <c r="B80" s="153"/>
      <c r="C80" s="154" t="s">
        <v>651</v>
      </c>
      <c r="D80" s="155"/>
      <c r="E80" s="143"/>
      <c r="F80" s="143"/>
      <c r="G80" s="143"/>
      <c r="H80" s="143"/>
    </row>
    <row r="81" ht="14.65">
      <c r="A81" s="174" t="s">
        <v>652</v>
      </c>
      <c r="B81" s="175"/>
      <c r="C81" s="176" t="s">
        <v>653</v>
      </c>
      <c r="D81" s="177"/>
    </row>
    <row r="82" ht="14.25">
      <c r="A82" s="148" t="s">
        <v>654</v>
      </c>
      <c r="B82" s="149">
        <v>10027470</v>
      </c>
      <c r="C82" s="150" t="s">
        <v>655</v>
      </c>
      <c r="D82" s="151"/>
    </row>
    <row r="83" ht="14.25">
      <c r="A83" s="152" t="s">
        <v>654</v>
      </c>
      <c r="B83" s="153">
        <v>10027473</v>
      </c>
      <c r="C83" s="154" t="s">
        <v>656</v>
      </c>
      <c r="D83" s="155"/>
    </row>
    <row r="84" ht="14.25">
      <c r="A84" s="152" t="s">
        <v>654</v>
      </c>
      <c r="B84" s="153">
        <v>10027472</v>
      </c>
      <c r="C84" s="154" t="s">
        <v>657</v>
      </c>
      <c r="D84" s="155"/>
    </row>
    <row r="85" ht="14.65">
      <c r="A85" s="156" t="s">
        <v>658</v>
      </c>
      <c r="B85" s="157">
        <v>10028664</v>
      </c>
      <c r="C85" s="158" t="s">
        <v>659</v>
      </c>
      <c r="D85" s="159"/>
    </row>
    <row r="86" ht="14.25">
      <c r="A86" s="148" t="s">
        <v>660</v>
      </c>
      <c r="B86" s="149">
        <v>10027451</v>
      </c>
      <c r="C86" s="150" t="s">
        <v>661</v>
      </c>
      <c r="D86" s="151"/>
    </row>
    <row r="87" ht="14.25">
      <c r="A87" s="152" t="s">
        <v>660</v>
      </c>
      <c r="B87" s="153">
        <v>10027453</v>
      </c>
      <c r="C87" s="154" t="s">
        <v>662</v>
      </c>
      <c r="D87" s="155"/>
    </row>
    <row r="88" ht="14.25">
      <c r="A88" s="152" t="s">
        <v>660</v>
      </c>
      <c r="B88" s="153">
        <v>10027455</v>
      </c>
      <c r="C88" s="154" t="s">
        <v>587</v>
      </c>
      <c r="D88" s="155"/>
    </row>
    <row r="89" ht="14.25">
      <c r="A89" s="152" t="s">
        <v>660</v>
      </c>
      <c r="B89" s="153">
        <v>10028708</v>
      </c>
      <c r="C89" s="154" t="s">
        <v>663</v>
      </c>
      <c r="D89" s="155"/>
    </row>
    <row r="90" ht="14.25">
      <c r="A90" s="152" t="s">
        <v>664</v>
      </c>
      <c r="B90" s="153"/>
      <c r="C90" s="154" t="s">
        <v>665</v>
      </c>
      <c r="D90" s="155"/>
    </row>
    <row r="91" ht="14.65">
      <c r="A91" s="156" t="s">
        <v>666</v>
      </c>
      <c r="B91" s="157">
        <v>10028665</v>
      </c>
      <c r="C91" s="158" t="s">
        <v>667</v>
      </c>
      <c r="D91" s="159"/>
    </row>
    <row r="92" ht="14.25">
      <c r="A92" s="152" t="s">
        <v>668</v>
      </c>
      <c r="B92" s="153">
        <v>10023117</v>
      </c>
      <c r="C92" s="154" t="s">
        <v>669</v>
      </c>
      <c r="D92" s="155"/>
    </row>
    <row r="93" ht="14.25">
      <c r="A93" s="178" t="s">
        <v>670</v>
      </c>
      <c r="B93" s="162">
        <v>10022081</v>
      </c>
      <c r="C93" s="163" t="s">
        <v>671</v>
      </c>
      <c r="D93" s="164"/>
    </row>
    <row r="94" ht="14.25">
      <c r="A94" s="178" t="s">
        <v>672</v>
      </c>
      <c r="B94" s="162">
        <v>10029943</v>
      </c>
      <c r="C94" s="163" t="s">
        <v>673</v>
      </c>
      <c r="D94" s="164"/>
    </row>
    <row r="95" ht="14.25">
      <c r="A95" s="178" t="s">
        <v>674</v>
      </c>
      <c r="B95" s="162">
        <v>10031510</v>
      </c>
      <c r="C95" s="163" t="s">
        <v>675</v>
      </c>
      <c r="D95" s="164"/>
    </row>
    <row r="96" ht="14.25">
      <c r="A96" s="178" t="s">
        <v>676</v>
      </c>
      <c r="B96" s="162">
        <v>10030034</v>
      </c>
      <c r="C96" s="163" t="s">
        <v>677</v>
      </c>
      <c r="D96" s="164"/>
    </row>
    <row r="97" ht="14.25">
      <c r="A97" s="178" t="s">
        <v>678</v>
      </c>
      <c r="B97" s="162">
        <v>10033081</v>
      </c>
      <c r="C97" s="163" t="s">
        <v>679</v>
      </c>
      <c r="D97" s="164"/>
    </row>
    <row r="98" ht="14.25">
      <c r="A98" s="178" t="s">
        <v>680</v>
      </c>
      <c r="B98" s="162">
        <v>10030949</v>
      </c>
      <c r="C98" s="163" t="s">
        <v>681</v>
      </c>
      <c r="D98" s="164"/>
    </row>
    <row r="99" ht="14.25">
      <c r="A99" s="178" t="s">
        <v>682</v>
      </c>
      <c r="B99" s="162">
        <v>10021933</v>
      </c>
      <c r="C99" s="163" t="s">
        <v>683</v>
      </c>
      <c r="D99" s="164"/>
    </row>
    <row r="100" ht="14.25">
      <c r="A100" s="178" t="s">
        <v>684</v>
      </c>
      <c r="B100" s="162">
        <v>10026568</v>
      </c>
      <c r="C100" s="163" t="s">
        <v>685</v>
      </c>
      <c r="D100" s="164"/>
    </row>
    <row r="101" ht="14.25">
      <c r="A101" s="178" t="s">
        <v>686</v>
      </c>
      <c r="B101" s="162">
        <v>10029831</v>
      </c>
      <c r="C101" s="163" t="s">
        <v>687</v>
      </c>
      <c r="D101" s="164"/>
    </row>
    <row r="102" ht="14.25">
      <c r="A102" s="178" t="s">
        <v>688</v>
      </c>
      <c r="B102" s="162">
        <v>10027558</v>
      </c>
      <c r="C102" s="163" t="s">
        <v>689</v>
      </c>
      <c r="D102" s="164"/>
    </row>
    <row r="103" ht="14.25">
      <c r="A103" s="178" t="s">
        <v>690</v>
      </c>
      <c r="B103" s="162">
        <v>10029642</v>
      </c>
      <c r="C103" s="163" t="s">
        <v>691</v>
      </c>
      <c r="D103" s="164"/>
    </row>
    <row r="104" ht="14.25">
      <c r="A104" s="178" t="s">
        <v>692</v>
      </c>
      <c r="B104" s="162">
        <v>10030100</v>
      </c>
      <c r="C104" s="163" t="s">
        <v>693</v>
      </c>
      <c r="D104" s="164"/>
    </row>
    <row r="105" ht="14.25">
      <c r="A105" s="178" t="s">
        <v>694</v>
      </c>
      <c r="B105" s="162">
        <v>10021347</v>
      </c>
      <c r="C105" s="163" t="s">
        <v>695</v>
      </c>
      <c r="D105" s="164"/>
    </row>
    <row r="106" ht="14.25">
      <c r="A106" s="178" t="s">
        <v>696</v>
      </c>
      <c r="B106" s="162">
        <v>10031030</v>
      </c>
      <c r="C106" s="163" t="s">
        <v>697</v>
      </c>
      <c r="D106" s="164"/>
    </row>
    <row r="107" ht="14.25">
      <c r="A107" s="178" t="s">
        <v>698</v>
      </c>
      <c r="B107" s="162">
        <v>10031031</v>
      </c>
      <c r="C107" s="163" t="s">
        <v>699</v>
      </c>
      <c r="D107" s="164"/>
    </row>
    <row r="108" ht="14.25">
      <c r="A108" s="178" t="s">
        <v>700</v>
      </c>
      <c r="B108" s="162">
        <v>10032530</v>
      </c>
      <c r="C108" s="163" t="s">
        <v>701</v>
      </c>
      <c r="D108" s="164"/>
    </row>
    <row r="109" ht="14.25">
      <c r="A109" s="178" t="s">
        <v>702</v>
      </c>
      <c r="B109" s="162">
        <v>10013256</v>
      </c>
      <c r="C109" s="163" t="s">
        <v>703</v>
      </c>
      <c r="D109" s="164"/>
    </row>
    <row r="110" ht="14.25">
      <c r="A110" s="178" t="s">
        <v>704</v>
      </c>
      <c r="B110" s="162">
        <v>10023086</v>
      </c>
      <c r="C110" s="163" t="s">
        <v>705</v>
      </c>
      <c r="D110" s="164"/>
    </row>
    <row r="111" ht="14.25">
      <c r="A111" s="178" t="s">
        <v>706</v>
      </c>
      <c r="B111" s="162">
        <v>10022092</v>
      </c>
      <c r="C111" s="163" t="s">
        <v>707</v>
      </c>
      <c r="D111" s="164"/>
    </row>
    <row r="112" ht="14.25">
      <c r="A112" s="178" t="s">
        <v>708</v>
      </c>
      <c r="B112" s="162">
        <v>10022093</v>
      </c>
      <c r="C112" s="163" t="s">
        <v>709</v>
      </c>
      <c r="D112" s="164"/>
    </row>
    <row r="113" ht="14.25">
      <c r="A113" s="178" t="s">
        <v>710</v>
      </c>
      <c r="B113" s="162">
        <v>10029911</v>
      </c>
      <c r="C113" s="163" t="s">
        <v>711</v>
      </c>
      <c r="D113" s="164"/>
    </row>
    <row r="114" ht="14.25">
      <c r="A114" s="178" t="s">
        <v>712</v>
      </c>
      <c r="B114" s="162">
        <v>10030405</v>
      </c>
      <c r="C114" s="163" t="s">
        <v>713</v>
      </c>
      <c r="D114" s="164"/>
    </row>
    <row r="115" ht="14.25">
      <c r="A115" s="178" t="s">
        <v>714</v>
      </c>
      <c r="B115" s="162">
        <v>10030986</v>
      </c>
      <c r="C115" s="163" t="s">
        <v>715</v>
      </c>
      <c r="D115" s="164"/>
    </row>
    <row r="116" ht="14.25">
      <c r="A116" s="178" t="s">
        <v>716</v>
      </c>
      <c r="B116" s="162">
        <v>10030809</v>
      </c>
      <c r="C116" s="163" t="s">
        <v>717</v>
      </c>
      <c r="D116" s="164"/>
    </row>
    <row r="117" ht="14.25">
      <c r="A117" s="178" t="s">
        <v>718</v>
      </c>
      <c r="B117" s="162">
        <v>10031596</v>
      </c>
      <c r="C117" s="163" t="s">
        <v>719</v>
      </c>
      <c r="D117" s="164"/>
    </row>
    <row r="118" ht="14.25">
      <c r="A118" s="178" t="s">
        <v>720</v>
      </c>
      <c r="B118" s="162">
        <v>10032286</v>
      </c>
      <c r="C118" s="163" t="s">
        <v>721</v>
      </c>
      <c r="D118" s="164"/>
    </row>
    <row r="119" ht="14.25">
      <c r="A119" s="178" t="s">
        <v>722</v>
      </c>
      <c r="B119" s="162">
        <v>10032287</v>
      </c>
      <c r="C119" s="163" t="s">
        <v>723</v>
      </c>
      <c r="D119" s="164"/>
    </row>
    <row r="120" ht="14.25">
      <c r="A120" s="178" t="s">
        <v>724</v>
      </c>
      <c r="B120" s="162">
        <v>10031597</v>
      </c>
      <c r="C120" s="163" t="s">
        <v>725</v>
      </c>
      <c r="D120" s="164"/>
    </row>
    <row r="121" ht="14.25">
      <c r="A121" s="178" t="s">
        <v>726</v>
      </c>
      <c r="B121" s="162">
        <v>10027557</v>
      </c>
      <c r="C121" s="163" t="s">
        <v>727</v>
      </c>
      <c r="D121" s="164"/>
    </row>
    <row r="122" ht="14.25">
      <c r="A122" s="178" t="s">
        <v>728</v>
      </c>
      <c r="B122" s="162">
        <v>10021306</v>
      </c>
      <c r="C122" s="163" t="s">
        <v>729</v>
      </c>
      <c r="D122" s="164"/>
    </row>
    <row r="123" ht="14.25">
      <c r="A123" s="178" t="s">
        <v>730</v>
      </c>
      <c r="B123" s="162">
        <v>10030821</v>
      </c>
      <c r="C123" s="163" t="s">
        <v>731</v>
      </c>
      <c r="D123" s="164"/>
    </row>
    <row r="124" ht="14.25">
      <c r="A124" s="178" t="s">
        <v>732</v>
      </c>
      <c r="B124" s="162">
        <v>10027555</v>
      </c>
      <c r="C124" s="163" t="s">
        <v>733</v>
      </c>
      <c r="D124" s="164"/>
    </row>
    <row r="125" ht="14.65">
      <c r="A125" s="178" t="s">
        <v>734</v>
      </c>
      <c r="B125" s="162">
        <v>10027556</v>
      </c>
      <c r="C125" s="163" t="s">
        <v>735</v>
      </c>
      <c r="D125" s="164"/>
    </row>
    <row r="126" ht="14.25">
      <c r="A126" s="179" t="s">
        <v>736</v>
      </c>
      <c r="B126" s="180">
        <v>10026565</v>
      </c>
      <c r="C126" s="181" t="s">
        <v>737</v>
      </c>
      <c r="D126" s="182"/>
    </row>
    <row r="127" ht="14.25">
      <c r="A127" s="160" t="s">
        <v>738</v>
      </c>
      <c r="B127" s="153">
        <v>10030033</v>
      </c>
      <c r="C127" s="154" t="s">
        <v>739</v>
      </c>
      <c r="D127" s="155"/>
    </row>
    <row r="128" ht="14.25">
      <c r="A128" s="160" t="s">
        <v>740</v>
      </c>
      <c r="B128" s="153">
        <v>10022107</v>
      </c>
      <c r="C128" s="154" t="s">
        <v>741</v>
      </c>
      <c r="D128" s="164"/>
    </row>
    <row r="129" ht="14.25">
      <c r="A129" s="160" t="s">
        <v>742</v>
      </c>
      <c r="B129" s="153">
        <v>10031511</v>
      </c>
      <c r="C129" s="154" t="s">
        <v>743</v>
      </c>
      <c r="D129" s="164"/>
    </row>
    <row r="130" ht="14.25">
      <c r="A130" s="160" t="s">
        <v>744</v>
      </c>
      <c r="B130" s="153">
        <v>10032941</v>
      </c>
      <c r="C130" s="154" t="s">
        <v>745</v>
      </c>
      <c r="D130" s="164"/>
    </row>
    <row r="131" ht="14.25">
      <c r="A131" s="160" t="s">
        <v>746</v>
      </c>
      <c r="B131" s="153">
        <v>10017344</v>
      </c>
      <c r="C131" s="154" t="s">
        <v>747</v>
      </c>
      <c r="D131" s="164"/>
    </row>
    <row r="132" ht="14.65">
      <c r="A132" s="183" t="s">
        <v>748</v>
      </c>
      <c r="B132" s="153">
        <v>10032809</v>
      </c>
      <c r="C132" s="184" t="s">
        <v>749</v>
      </c>
      <c r="D132" s="159"/>
    </row>
    <row r="133" ht="14.65">
      <c r="A133" s="165" t="s">
        <v>750</v>
      </c>
      <c r="B133" s="166">
        <v>10029819</v>
      </c>
      <c r="C133" s="167" t="s">
        <v>751</v>
      </c>
      <c r="D133" s="168"/>
    </row>
    <row r="134" ht="14.25">
      <c r="A134" s="169" t="s">
        <v>752</v>
      </c>
      <c r="B134" s="170">
        <v>10029408</v>
      </c>
      <c r="C134" s="171" t="s">
        <v>753</v>
      </c>
      <c r="D134" s="172"/>
    </row>
    <row r="135" ht="14.25">
      <c r="A135" s="169" t="s">
        <v>754</v>
      </c>
      <c r="B135" s="170">
        <v>10028459</v>
      </c>
      <c r="C135" s="171" t="s">
        <v>755</v>
      </c>
      <c r="D135" s="172"/>
    </row>
    <row r="136" ht="14.25">
      <c r="A136" s="169" t="s">
        <v>756</v>
      </c>
      <c r="B136" s="170">
        <v>10028489</v>
      </c>
      <c r="C136" s="171" t="s">
        <v>757</v>
      </c>
      <c r="D136" s="172"/>
    </row>
    <row r="137" ht="14.25">
      <c r="A137" s="152" t="s">
        <v>758</v>
      </c>
      <c r="B137" s="153">
        <v>10028467</v>
      </c>
      <c r="C137" s="154" t="s">
        <v>759</v>
      </c>
      <c r="D137" s="155"/>
    </row>
    <row r="138" ht="14.25">
      <c r="A138" s="152" t="s">
        <v>758</v>
      </c>
      <c r="B138" s="162">
        <v>10028468</v>
      </c>
      <c r="C138" s="163" t="s">
        <v>760</v>
      </c>
      <c r="D138" s="164"/>
    </row>
    <row r="139" ht="52.9">
      <c r="A139" s="185" t="s">
        <v>758</v>
      </c>
      <c r="B139" s="157"/>
      <c r="C139" s="158" t="s">
        <v>761</v>
      </c>
      <c r="D139" s="186" t="s">
        <v>762</v>
      </c>
    </row>
    <row r="140" ht="14.25">
      <c r="A140" s="169" t="s">
        <v>763</v>
      </c>
      <c r="B140" s="170">
        <v>10023102</v>
      </c>
      <c r="C140" s="171" t="s">
        <v>764</v>
      </c>
      <c r="D140" s="172"/>
    </row>
    <row r="141" ht="14.25">
      <c r="A141" s="169" t="s">
        <v>765</v>
      </c>
      <c r="B141" s="170">
        <v>10021514</v>
      </c>
      <c r="C141" s="171" t="s">
        <v>766</v>
      </c>
      <c r="D141" s="172"/>
    </row>
    <row r="142" ht="14.25">
      <c r="A142" s="169" t="s">
        <v>767</v>
      </c>
      <c r="B142" s="170">
        <v>10027548</v>
      </c>
      <c r="C142" s="171" t="s">
        <v>768</v>
      </c>
      <c r="D142" s="172"/>
    </row>
    <row r="143" ht="14.25">
      <c r="A143" s="152" t="s">
        <v>769</v>
      </c>
      <c r="B143" s="153">
        <v>10026564</v>
      </c>
      <c r="C143" s="154" t="s">
        <v>770</v>
      </c>
      <c r="D143" s="155"/>
    </row>
    <row r="144" ht="14.25">
      <c r="A144" s="178" t="s">
        <v>771</v>
      </c>
      <c r="B144" s="162">
        <v>10022424</v>
      </c>
      <c r="C144" s="163" t="s">
        <v>772</v>
      </c>
      <c r="D144" s="164"/>
    </row>
    <row r="145" ht="14.25">
      <c r="A145" s="152" t="s">
        <v>773</v>
      </c>
      <c r="B145" s="153">
        <v>10028420</v>
      </c>
      <c r="C145" s="154" t="s">
        <v>774</v>
      </c>
      <c r="D145" s="155"/>
    </row>
    <row r="146" ht="14.25">
      <c r="A146" s="152" t="s">
        <v>775</v>
      </c>
      <c r="B146" s="153">
        <v>10023104</v>
      </c>
      <c r="C146" s="154" t="s">
        <v>776</v>
      </c>
      <c r="D146" s="155"/>
    </row>
    <row r="147" ht="14.25">
      <c r="A147" s="152" t="s">
        <v>777</v>
      </c>
      <c r="B147" s="153">
        <v>10029818</v>
      </c>
      <c r="C147" s="154" t="s">
        <v>778</v>
      </c>
      <c r="D147" s="155"/>
    </row>
    <row r="148" ht="14.25">
      <c r="A148" s="152" t="s">
        <v>779</v>
      </c>
      <c r="B148" s="153">
        <v>10032364</v>
      </c>
      <c r="C148" s="154" t="s">
        <v>780</v>
      </c>
      <c r="D148" s="155"/>
    </row>
    <row r="149" ht="14.25">
      <c r="A149" s="152" t="s">
        <v>781</v>
      </c>
      <c r="B149" s="153">
        <v>10028458</v>
      </c>
      <c r="C149" s="154" t="s">
        <v>782</v>
      </c>
      <c r="D149" s="155"/>
    </row>
    <row r="150" ht="14.25">
      <c r="A150" s="152" t="s">
        <v>783</v>
      </c>
      <c r="B150" s="153">
        <v>10026368</v>
      </c>
      <c r="C150" s="154" t="s">
        <v>784</v>
      </c>
      <c r="D150" s="155"/>
    </row>
    <row r="151" ht="14.25">
      <c r="A151" s="152" t="s">
        <v>785</v>
      </c>
      <c r="B151" s="153">
        <v>10026366</v>
      </c>
      <c r="C151" s="154" t="s">
        <v>786</v>
      </c>
      <c r="D151" s="155"/>
    </row>
    <row r="152" ht="14.25">
      <c r="A152" s="152" t="s">
        <v>787</v>
      </c>
      <c r="B152" s="153">
        <v>10022550</v>
      </c>
      <c r="C152" s="154" t="s">
        <v>788</v>
      </c>
      <c r="D152" s="155"/>
    </row>
    <row r="153" ht="14.25">
      <c r="A153" s="152" t="s">
        <v>789</v>
      </c>
      <c r="B153" s="153">
        <v>10023609</v>
      </c>
      <c r="C153" s="154" t="s">
        <v>790</v>
      </c>
      <c r="D153" s="155"/>
    </row>
    <row r="154" ht="14.25">
      <c r="A154" s="152" t="s">
        <v>791</v>
      </c>
      <c r="B154" s="153">
        <v>10023610</v>
      </c>
      <c r="C154" s="154" t="s">
        <v>792</v>
      </c>
      <c r="D154" s="155"/>
    </row>
    <row r="155" ht="14.25">
      <c r="A155" s="152" t="s">
        <v>793</v>
      </c>
      <c r="B155" s="153">
        <v>10023902</v>
      </c>
      <c r="C155" s="154" t="s">
        <v>794</v>
      </c>
      <c r="D155" s="155"/>
    </row>
    <row r="156" ht="14.25">
      <c r="A156" s="152" t="s">
        <v>795</v>
      </c>
      <c r="B156" s="153">
        <v>10026566</v>
      </c>
      <c r="C156" s="154" t="s">
        <v>796</v>
      </c>
      <c r="D156" s="155"/>
    </row>
    <row r="157" ht="14.25">
      <c r="A157" s="169" t="s">
        <v>797</v>
      </c>
      <c r="B157" s="170">
        <v>10030356</v>
      </c>
      <c r="C157" s="171" t="s">
        <v>798</v>
      </c>
      <c r="D157" s="172"/>
    </row>
    <row r="158" ht="14.25">
      <c r="A158" s="169" t="s">
        <v>799</v>
      </c>
      <c r="B158" s="170">
        <v>10030384</v>
      </c>
      <c r="C158" s="171" t="s">
        <v>800</v>
      </c>
      <c r="D158" s="172"/>
    </row>
    <row r="159" ht="14.25">
      <c r="A159" s="152" t="s">
        <v>801</v>
      </c>
      <c r="B159" s="153">
        <v>10030278</v>
      </c>
      <c r="C159" s="154" t="s">
        <v>802</v>
      </c>
      <c r="D159" s="155"/>
    </row>
    <row r="160" ht="14.25">
      <c r="A160" s="152" t="s">
        <v>803</v>
      </c>
      <c r="B160" s="153" t="s">
        <v>804</v>
      </c>
      <c r="C160" s="154" t="s">
        <v>805</v>
      </c>
      <c r="D160" s="155"/>
    </row>
    <row r="161" ht="14.25">
      <c r="A161" s="152" t="s">
        <v>806</v>
      </c>
      <c r="B161" s="153" t="s">
        <v>807</v>
      </c>
      <c r="C161" s="154" t="s">
        <v>808</v>
      </c>
      <c r="D161" s="155"/>
    </row>
    <row r="162" ht="14.65">
      <c r="A162" s="152" t="s">
        <v>809</v>
      </c>
      <c r="B162" s="153">
        <v>10030620</v>
      </c>
      <c r="C162" s="154" t="s">
        <v>810</v>
      </c>
      <c r="D162" s="155"/>
    </row>
    <row r="163" ht="14.25">
      <c r="A163" s="148" t="s">
        <v>811</v>
      </c>
      <c r="B163" s="149">
        <v>10028421</v>
      </c>
      <c r="C163" s="150" t="s">
        <v>812</v>
      </c>
      <c r="D163" s="151"/>
    </row>
    <row r="164" ht="14.25">
      <c r="A164" s="169" t="s">
        <v>813</v>
      </c>
      <c r="B164" s="170">
        <v>10027465</v>
      </c>
      <c r="C164" s="171" t="s">
        <v>814</v>
      </c>
      <c r="D164" s="172"/>
    </row>
    <row r="165" ht="14.25">
      <c r="A165" s="152" t="s">
        <v>815</v>
      </c>
      <c r="B165" s="153">
        <v>10027549</v>
      </c>
      <c r="C165" s="154" t="s">
        <v>816</v>
      </c>
      <c r="D165" s="155"/>
    </row>
    <row r="166" ht="14.25">
      <c r="A166" s="152" t="s">
        <v>817</v>
      </c>
      <c r="B166" s="153">
        <v>10024424</v>
      </c>
      <c r="C166" s="154" t="s">
        <v>818</v>
      </c>
      <c r="D166" s="155"/>
    </row>
    <row r="167" ht="14.25">
      <c r="A167" s="152" t="s">
        <v>819</v>
      </c>
      <c r="B167" s="153">
        <v>10017992</v>
      </c>
      <c r="C167" s="154" t="s">
        <v>820</v>
      </c>
      <c r="D167" s="155"/>
    </row>
    <row r="168" ht="14.25">
      <c r="A168" s="152" t="s">
        <v>821</v>
      </c>
      <c r="B168" s="153">
        <v>10024393</v>
      </c>
      <c r="C168" s="154" t="s">
        <v>822</v>
      </c>
      <c r="D168" s="155"/>
    </row>
    <row r="169" ht="14.25">
      <c r="A169" s="152" t="s">
        <v>823</v>
      </c>
      <c r="B169" s="153">
        <v>10024394</v>
      </c>
      <c r="C169" s="154" t="s">
        <v>824</v>
      </c>
      <c r="D169" s="155"/>
    </row>
    <row r="170" ht="14.65">
      <c r="A170" s="152" t="s">
        <v>825</v>
      </c>
      <c r="B170" s="153">
        <v>10022531</v>
      </c>
      <c r="C170" s="154" t="s">
        <v>826</v>
      </c>
      <c r="D170" s="155"/>
    </row>
    <row r="171" ht="14.25">
      <c r="A171" s="148" t="s">
        <v>827</v>
      </c>
      <c r="B171" s="149">
        <v>10027554</v>
      </c>
      <c r="C171" s="150" t="s">
        <v>828</v>
      </c>
      <c r="D171" s="151"/>
    </row>
    <row r="172" ht="14.25">
      <c r="A172" s="152" t="s">
        <v>829</v>
      </c>
      <c r="B172" s="153">
        <v>10017994</v>
      </c>
      <c r="C172" s="154" t="s">
        <v>830</v>
      </c>
      <c r="D172" s="155"/>
    </row>
    <row r="173" ht="14.25">
      <c r="A173" s="152" t="s">
        <v>831</v>
      </c>
      <c r="B173" s="153">
        <v>10024391</v>
      </c>
      <c r="C173" s="154" t="s">
        <v>832</v>
      </c>
      <c r="D173" s="155"/>
    </row>
    <row r="174" ht="14.25">
      <c r="A174" s="152" t="s">
        <v>833</v>
      </c>
      <c r="B174" s="153">
        <v>10022423</v>
      </c>
      <c r="C174" s="154" t="s">
        <v>834</v>
      </c>
      <c r="D174" s="155"/>
    </row>
    <row r="175" ht="14.25">
      <c r="A175" s="152" t="s">
        <v>835</v>
      </c>
      <c r="B175" s="153">
        <v>10024392</v>
      </c>
      <c r="C175" s="154" t="s">
        <v>834</v>
      </c>
      <c r="D175" s="155"/>
    </row>
    <row r="176" ht="14.25">
      <c r="A176" s="152" t="s">
        <v>836</v>
      </c>
      <c r="B176" s="153">
        <v>10026567</v>
      </c>
      <c r="C176" s="154" t="s">
        <v>837</v>
      </c>
      <c r="D176" s="155"/>
    </row>
    <row r="177" ht="14.25">
      <c r="A177" s="152" t="s">
        <v>838</v>
      </c>
      <c r="B177" s="153">
        <v>10030404</v>
      </c>
      <c r="C177" s="154" t="s">
        <v>839</v>
      </c>
      <c r="D177" s="155"/>
    </row>
    <row r="178" ht="14.25">
      <c r="A178" s="152" t="s">
        <v>840</v>
      </c>
      <c r="B178" s="153">
        <v>10029910</v>
      </c>
      <c r="C178" s="154" t="s">
        <v>841</v>
      </c>
      <c r="D178" s="155"/>
    </row>
    <row r="179" ht="14.25">
      <c r="A179" s="152" t="s">
        <v>842</v>
      </c>
      <c r="B179" s="153">
        <v>10030228</v>
      </c>
      <c r="C179" s="154" t="s">
        <v>843</v>
      </c>
      <c r="D179" s="155"/>
    </row>
    <row r="180" ht="14.25">
      <c r="A180" s="152" t="s">
        <v>844</v>
      </c>
      <c r="B180" s="153">
        <v>10030229</v>
      </c>
      <c r="C180" s="154" t="s">
        <v>845</v>
      </c>
      <c r="D180" s="155"/>
    </row>
    <row r="181" ht="14.25">
      <c r="A181" s="152" t="s">
        <v>846</v>
      </c>
      <c r="B181" s="153">
        <v>10024252</v>
      </c>
      <c r="C181" s="154" t="s">
        <v>847</v>
      </c>
      <c r="D181" s="155"/>
    </row>
    <row r="182" ht="14.25">
      <c r="A182" s="178" t="s">
        <v>848</v>
      </c>
      <c r="B182" s="162">
        <v>10029817</v>
      </c>
      <c r="C182" s="163" t="s">
        <v>849</v>
      </c>
      <c r="D182" s="164"/>
    </row>
    <row r="183" ht="14.25">
      <c r="A183" s="178" t="s">
        <v>850</v>
      </c>
      <c r="B183" s="162">
        <v>10029938</v>
      </c>
      <c r="C183" s="163" t="s">
        <v>851</v>
      </c>
      <c r="D183" s="164"/>
    </row>
    <row r="184" ht="14.25">
      <c r="A184" s="178" t="s">
        <v>852</v>
      </c>
      <c r="B184" s="162">
        <v>10029896</v>
      </c>
      <c r="C184" s="163" t="s">
        <v>853</v>
      </c>
      <c r="D184" s="164"/>
    </row>
    <row r="185" ht="14.25">
      <c r="A185" s="178" t="s">
        <v>854</v>
      </c>
      <c r="B185" s="162">
        <v>10030319</v>
      </c>
      <c r="C185" s="163" t="s">
        <v>855</v>
      </c>
      <c r="D185" s="164"/>
    </row>
    <row r="186" ht="14.25">
      <c r="A186" s="178" t="s">
        <v>856</v>
      </c>
      <c r="B186" s="162">
        <v>10029895</v>
      </c>
      <c r="C186" s="163" t="s">
        <v>857</v>
      </c>
      <c r="D186" s="164"/>
    </row>
    <row r="187" ht="14.25">
      <c r="A187" s="178" t="s">
        <v>858</v>
      </c>
      <c r="B187" s="162">
        <v>10032529</v>
      </c>
      <c r="C187" s="163" t="s">
        <v>859</v>
      </c>
      <c r="D187" s="164"/>
    </row>
    <row r="188" ht="14.25">
      <c r="A188" s="178" t="s">
        <v>860</v>
      </c>
      <c r="B188" s="162">
        <v>10030373</v>
      </c>
      <c r="C188" s="163" t="s">
        <v>861</v>
      </c>
      <c r="D188" s="164"/>
    </row>
    <row r="189" ht="14.25">
      <c r="A189" s="178" t="s">
        <v>862</v>
      </c>
      <c r="B189" s="162">
        <v>10030374</v>
      </c>
      <c r="C189" s="163" t="s">
        <v>863</v>
      </c>
      <c r="D189" s="164"/>
    </row>
    <row r="190" ht="14.25">
      <c r="A190" s="178" t="s">
        <v>864</v>
      </c>
      <c r="B190" s="162">
        <v>10030371</v>
      </c>
      <c r="C190" s="163" t="s">
        <v>865</v>
      </c>
      <c r="D190" s="164"/>
    </row>
    <row r="191" ht="14.25">
      <c r="A191" s="178" t="s">
        <v>866</v>
      </c>
      <c r="B191" s="162">
        <v>10031484</v>
      </c>
      <c r="C191" s="163" t="s">
        <v>867</v>
      </c>
      <c r="D191" s="164"/>
    </row>
    <row r="192" ht="14.25">
      <c r="A192" s="178" t="s">
        <v>868</v>
      </c>
      <c r="B192" s="162">
        <v>10030372</v>
      </c>
      <c r="C192" s="163" t="s">
        <v>869</v>
      </c>
      <c r="D192" s="164"/>
    </row>
    <row r="193" ht="14.25">
      <c r="A193" s="178" t="s">
        <v>870</v>
      </c>
      <c r="B193" s="162">
        <v>10031595</v>
      </c>
      <c r="C193" s="163" t="s">
        <v>871</v>
      </c>
      <c r="D193" s="164"/>
    </row>
    <row r="194" ht="14.25">
      <c r="A194" s="178" t="s">
        <v>872</v>
      </c>
      <c r="B194" s="162">
        <v>10031482</v>
      </c>
      <c r="C194" s="163" t="s">
        <v>873</v>
      </c>
      <c r="D194" s="164"/>
    </row>
    <row r="195" ht="14.25">
      <c r="A195" s="178" t="s">
        <v>874</v>
      </c>
      <c r="B195" s="162">
        <v>10031512</v>
      </c>
      <c r="C195" s="163" t="s">
        <v>875</v>
      </c>
      <c r="D195" s="164"/>
    </row>
    <row r="196" ht="14.25">
      <c r="A196" s="178" t="s">
        <v>876</v>
      </c>
      <c r="B196" s="162">
        <v>10031483</v>
      </c>
      <c r="C196" s="163" t="s">
        <v>877</v>
      </c>
      <c r="D196" s="164"/>
    </row>
    <row r="197" ht="14.25">
      <c r="A197" s="178" t="s">
        <v>878</v>
      </c>
      <c r="B197" s="162">
        <v>10031485</v>
      </c>
      <c r="C197" s="163" t="s">
        <v>879</v>
      </c>
      <c r="D197" s="164"/>
    </row>
    <row r="198" ht="14.25">
      <c r="A198" s="178" t="s">
        <v>880</v>
      </c>
      <c r="B198" s="162">
        <v>10032291</v>
      </c>
      <c r="C198" s="163" t="s">
        <v>881</v>
      </c>
      <c r="D198" s="164"/>
    </row>
    <row r="199" ht="14.25">
      <c r="A199" s="178" t="s">
        <v>882</v>
      </c>
      <c r="B199" s="162">
        <v>10032290</v>
      </c>
      <c r="C199" s="163" t="s">
        <v>881</v>
      </c>
      <c r="D199" s="164"/>
    </row>
    <row r="200" ht="14.65">
      <c r="A200" s="156" t="s">
        <v>883</v>
      </c>
      <c r="B200" s="157">
        <v>10030277</v>
      </c>
      <c r="C200" s="158" t="s">
        <v>884</v>
      </c>
      <c r="D200" s="159"/>
    </row>
    <row r="201" ht="14.25">
      <c r="A201" s="152" t="s">
        <v>885</v>
      </c>
      <c r="B201" s="153">
        <v>10022362</v>
      </c>
      <c r="C201" s="154" t="s">
        <v>886</v>
      </c>
      <c r="D201" s="155"/>
    </row>
    <row r="202" ht="14.25">
      <c r="A202" s="152" t="s">
        <v>887</v>
      </c>
      <c r="B202" s="153">
        <v>10027463</v>
      </c>
      <c r="C202" s="154" t="s">
        <v>888</v>
      </c>
      <c r="D202" s="155"/>
    </row>
    <row r="203" ht="14.25">
      <c r="A203" s="152" t="s">
        <v>889</v>
      </c>
      <c r="B203" s="153">
        <v>10026563</v>
      </c>
      <c r="C203" s="154" t="s">
        <v>890</v>
      </c>
      <c r="D203" s="155"/>
    </row>
    <row r="204" ht="14.25">
      <c r="A204" s="152" t="s">
        <v>891</v>
      </c>
      <c r="B204" s="153">
        <v>10027462</v>
      </c>
      <c r="C204" s="154" t="s">
        <v>892</v>
      </c>
      <c r="D204" s="155"/>
    </row>
    <row r="205" ht="14.25">
      <c r="A205" s="152" t="s">
        <v>893</v>
      </c>
      <c r="B205" s="153">
        <v>10022513</v>
      </c>
      <c r="C205" s="154" t="s">
        <v>894</v>
      </c>
      <c r="D205" s="155"/>
    </row>
    <row r="206" ht="14.25">
      <c r="A206" s="152" t="s">
        <v>895</v>
      </c>
      <c r="B206" s="153">
        <v>10027464</v>
      </c>
      <c r="C206" s="154" t="s">
        <v>896</v>
      </c>
      <c r="D206" s="155"/>
    </row>
    <row r="207" ht="14.25">
      <c r="A207" s="152" t="s">
        <v>897</v>
      </c>
      <c r="B207" s="153">
        <v>10026371</v>
      </c>
      <c r="C207" s="154" t="s">
        <v>898</v>
      </c>
      <c r="D207" s="155"/>
    </row>
    <row r="208" ht="14.25">
      <c r="A208" s="152" t="s">
        <v>899</v>
      </c>
      <c r="B208" s="153">
        <v>10017996</v>
      </c>
      <c r="C208" s="154" t="s">
        <v>900</v>
      </c>
      <c r="D208" s="155"/>
    </row>
    <row r="209" ht="14.65">
      <c r="A209" s="174" t="s">
        <v>901</v>
      </c>
      <c r="B209" s="175">
        <v>10029397</v>
      </c>
      <c r="C209" s="176" t="s">
        <v>902</v>
      </c>
      <c r="D209" s="177"/>
    </row>
    <row r="210" ht="14.25">
      <c r="A210" s="179" t="s">
        <v>903</v>
      </c>
      <c r="B210" s="180">
        <v>10027550</v>
      </c>
      <c r="C210" s="181" t="s">
        <v>904</v>
      </c>
      <c r="D210" s="182"/>
    </row>
    <row r="211" ht="14.25">
      <c r="A211" s="178" t="s">
        <v>905</v>
      </c>
      <c r="B211" s="162">
        <v>10025645</v>
      </c>
      <c r="C211" s="163" t="s">
        <v>906</v>
      </c>
      <c r="D211" s="164"/>
    </row>
    <row r="212" ht="14.25">
      <c r="A212" s="178" t="s">
        <v>907</v>
      </c>
      <c r="B212" s="162">
        <v>10025644</v>
      </c>
      <c r="C212" s="163" t="s">
        <v>908</v>
      </c>
      <c r="D212" s="164"/>
    </row>
    <row r="213" ht="14.25">
      <c r="A213" s="178" t="s">
        <v>909</v>
      </c>
      <c r="B213" s="162">
        <v>10023904</v>
      </c>
      <c r="C213" s="163" t="s">
        <v>910</v>
      </c>
      <c r="D213" s="164"/>
    </row>
    <row r="214" ht="14.25">
      <c r="A214" s="152" t="s">
        <v>911</v>
      </c>
      <c r="B214" s="153">
        <v>10023128</v>
      </c>
      <c r="C214" s="154" t="s">
        <v>912</v>
      </c>
      <c r="D214" s="155"/>
    </row>
    <row r="215" ht="14.25">
      <c r="A215" s="152" t="s">
        <v>913</v>
      </c>
      <c r="B215" s="153">
        <v>10026369</v>
      </c>
      <c r="C215" s="154" t="s">
        <v>914</v>
      </c>
      <c r="D215" s="155"/>
    </row>
    <row r="216" ht="14.25">
      <c r="A216" s="178" t="s">
        <v>915</v>
      </c>
      <c r="B216" s="162">
        <v>10030232</v>
      </c>
      <c r="C216" s="163" t="s">
        <v>916</v>
      </c>
      <c r="D216" s="164"/>
    </row>
    <row r="217" ht="14.25">
      <c r="A217" s="178" t="s">
        <v>917</v>
      </c>
      <c r="B217" s="162">
        <v>10030233</v>
      </c>
      <c r="C217" s="163" t="s">
        <v>918</v>
      </c>
      <c r="D217" s="164"/>
    </row>
    <row r="218" ht="14.25">
      <c r="A218" s="178" t="s">
        <v>919</v>
      </c>
      <c r="B218" s="162">
        <v>10026370</v>
      </c>
      <c r="C218" s="163" t="s">
        <v>920</v>
      </c>
      <c r="D218" s="164"/>
    </row>
    <row r="219" ht="14.25">
      <c r="A219" s="178" t="s">
        <v>921</v>
      </c>
      <c r="B219" s="162">
        <v>10030231</v>
      </c>
      <c r="C219" s="163" t="s">
        <v>922</v>
      </c>
      <c r="D219" s="164"/>
    </row>
    <row r="220" ht="14.25">
      <c r="A220" s="178" t="s">
        <v>923</v>
      </c>
      <c r="B220" s="162">
        <v>10030427</v>
      </c>
      <c r="C220" s="163" t="s">
        <v>924</v>
      </c>
      <c r="D220" s="164"/>
    </row>
    <row r="221" ht="14.25">
      <c r="A221" s="178" t="s">
        <v>923</v>
      </c>
      <c r="B221" s="162">
        <v>10030385</v>
      </c>
      <c r="C221" s="163" t="s">
        <v>925</v>
      </c>
      <c r="D221" s="164"/>
    </row>
    <row r="222" ht="14.25">
      <c r="A222" s="178" t="s">
        <v>923</v>
      </c>
      <c r="B222" s="162">
        <v>10030230</v>
      </c>
      <c r="C222" s="163" t="s">
        <v>926</v>
      </c>
      <c r="D222" s="164"/>
    </row>
    <row r="223" ht="14.65">
      <c r="A223" s="178" t="s">
        <v>927</v>
      </c>
      <c r="B223" s="162">
        <v>10030386</v>
      </c>
      <c r="C223" s="163" t="s">
        <v>928</v>
      </c>
      <c r="D223" s="164"/>
    </row>
    <row r="224" ht="14.25">
      <c r="A224" s="148" t="s">
        <v>929</v>
      </c>
      <c r="B224" s="149">
        <v>10025853</v>
      </c>
      <c r="C224" s="150" t="s">
        <v>930</v>
      </c>
      <c r="D224" s="151"/>
    </row>
    <row r="225" ht="14.25">
      <c r="A225" s="152" t="s">
        <v>931</v>
      </c>
      <c r="B225" s="153">
        <v>10023103</v>
      </c>
      <c r="C225" s="154" t="s">
        <v>932</v>
      </c>
      <c r="D225" s="155"/>
    </row>
    <row r="226" ht="14.25">
      <c r="A226" s="152" t="s">
        <v>933</v>
      </c>
      <c r="B226" s="153">
        <v>10022357</v>
      </c>
      <c r="C226" s="154" t="s">
        <v>934</v>
      </c>
      <c r="D226" s="155"/>
    </row>
    <row r="227" ht="14.25">
      <c r="A227" s="152" t="s">
        <v>935</v>
      </c>
      <c r="B227" s="153">
        <v>10029406</v>
      </c>
      <c r="C227" s="154" t="s">
        <v>936</v>
      </c>
      <c r="D227" s="155"/>
    </row>
    <row r="228" ht="14.25">
      <c r="A228" s="152" t="s">
        <v>937</v>
      </c>
      <c r="B228" s="153">
        <v>10027551</v>
      </c>
      <c r="C228" s="154" t="s">
        <v>938</v>
      </c>
      <c r="D228" s="155"/>
    </row>
    <row r="229" ht="14.65">
      <c r="A229" s="152" t="s">
        <v>939</v>
      </c>
      <c r="B229" s="153">
        <v>10029407</v>
      </c>
      <c r="C229" s="154" t="s">
        <v>940</v>
      </c>
      <c r="D229" s="155"/>
    </row>
    <row r="230" ht="14.25">
      <c r="A230" s="148" t="s">
        <v>941</v>
      </c>
      <c r="B230" s="149">
        <v>10029751</v>
      </c>
      <c r="C230" s="150" t="s">
        <v>942</v>
      </c>
      <c r="D230" s="151"/>
    </row>
    <row r="231" ht="14.25">
      <c r="A231" s="169" t="s">
        <v>943</v>
      </c>
      <c r="B231" s="170">
        <v>10029752</v>
      </c>
      <c r="C231" s="171" t="s">
        <v>944</v>
      </c>
      <c r="D231" s="172"/>
    </row>
    <row r="232" ht="14.25">
      <c r="A232" s="169" t="s">
        <v>943</v>
      </c>
      <c r="B232" s="170">
        <v>10029754</v>
      </c>
      <c r="C232" s="171" t="s">
        <v>945</v>
      </c>
      <c r="D232" s="172"/>
    </row>
    <row r="233" ht="14.25">
      <c r="A233" s="169" t="s">
        <v>943</v>
      </c>
      <c r="B233" s="170">
        <v>10030383</v>
      </c>
      <c r="C233" s="171" t="s">
        <v>946</v>
      </c>
      <c r="D233" s="172"/>
    </row>
    <row r="234" ht="14.25">
      <c r="A234" s="169" t="s">
        <v>947</v>
      </c>
      <c r="B234" s="170">
        <v>10029750</v>
      </c>
      <c r="C234" s="171" t="s">
        <v>948</v>
      </c>
      <c r="D234" s="172"/>
    </row>
    <row r="235" ht="14.65">
      <c r="A235" s="156" t="s">
        <v>947</v>
      </c>
      <c r="B235" s="157">
        <v>10029864</v>
      </c>
      <c r="C235" s="158" t="s">
        <v>949</v>
      </c>
      <c r="D235" s="159"/>
    </row>
    <row r="239" ht="14.25">
      <c r="A239" s="142"/>
      <c r="B239" s="141"/>
      <c r="C239" s="141"/>
      <c r="D239" s="141"/>
    </row>
    <row r="240" ht="14.25">
      <c r="A240" s="187" t="s">
        <v>950</v>
      </c>
      <c r="B240" s="143"/>
      <c r="C240" s="143"/>
      <c r="D240" s="143"/>
    </row>
  </sheetData>
  <pageMargins left="0.7" right="0.7" top="0.75" bottom="0.75" header="0.3" footer="0.3"/>
  <pageSetup orientation="portrait"/>
  <headerFooter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12"/>
  <dimension ref="A1:L41"/>
  <sheetViews>
    <sheetView zoomScale="90" zoomScaleNormal="90" workbookViewId="0">
      <selection activeCell="N41" sqref="N41"/>
    </sheetView>
  </sheetViews>
  <sheetFormatPr defaultRowHeight="12.75"/>
  <cols>
    <col min="1" max="1" width="12.86328125" customWidth="1"/>
    <col min="2" max="2" bestFit="1" width="17.265625" customWidth="1"/>
    <col min="3" max="3" bestFit="1" width="14.3984375" customWidth="1"/>
    <col min="4" max="4" width="39.59765625" customWidth="1"/>
    <col min="5" max="5" width="15.73046875" customWidth="1"/>
    <col min="6" max="6" bestFit="1" width="59.86328125" customWidth="1"/>
    <col min="7" max="7" width="21.265625" customWidth="1"/>
    <col min="8" max="8" width="19.1328125" customWidth="1"/>
    <col min="9" max="9" width="16.73046875" customWidth="1"/>
    <col min="10" max="10" bestFit="1" width="54.1328125" customWidth="1"/>
  </cols>
  <sheetData>
    <row r="1" ht="14.25">
      <c r="A1" s="113" t="s">
        <v>130</v>
      </c>
      <c r="B1" s="117" t="s">
        <v>131</v>
      </c>
      <c r="C1" s="117" t="s">
        <v>132</v>
      </c>
      <c r="D1" s="117" t="s">
        <v>133</v>
      </c>
      <c r="E1" s="117" t="s">
        <v>134</v>
      </c>
      <c r="F1" s="117" t="s">
        <v>135</v>
      </c>
      <c r="G1" s="118" t="s">
        <v>136</v>
      </c>
      <c r="H1" s="117" t="s">
        <v>137</v>
      </c>
      <c r="I1" s="118" t="s">
        <v>138</v>
      </c>
      <c r="J1" s="130" t="s">
        <v>139</v>
      </c>
      <c r="K1" s="114"/>
      <c r="L1" s="114"/>
    </row>
    <row r="2" ht="14.25">
      <c r="A2" s="112" t="s">
        <v>140</v>
      </c>
      <c r="B2" s="119">
        <v>10027276</v>
      </c>
      <c r="C2" s="119" t="s">
        <v>141</v>
      </c>
      <c r="D2" s="119" t="s">
        <v>142</v>
      </c>
      <c r="E2" s="119" t="s">
        <v>143</v>
      </c>
      <c r="F2" s="120" t="s">
        <v>144</v>
      </c>
      <c r="G2" s="119"/>
      <c r="H2" s="119"/>
      <c r="I2" s="119"/>
      <c r="J2" s="131" t="s">
        <v>145</v>
      </c>
      <c r="K2" s="114"/>
      <c r="L2" s="114"/>
    </row>
    <row r="3" ht="14.25">
      <c r="A3" s="112" t="s">
        <v>146</v>
      </c>
      <c r="B3" s="119">
        <v>10030662</v>
      </c>
      <c r="C3" s="119" t="s">
        <v>141</v>
      </c>
      <c r="D3" s="119" t="s">
        <v>147</v>
      </c>
      <c r="E3" s="119" t="s">
        <v>143</v>
      </c>
      <c r="F3" s="120" t="s">
        <v>144</v>
      </c>
      <c r="G3" s="119"/>
      <c r="H3" s="119"/>
      <c r="I3" s="119"/>
      <c r="J3" s="131" t="s">
        <v>145</v>
      </c>
      <c r="K3" s="114"/>
      <c r="L3" s="114"/>
    </row>
    <row r="4" ht="14.25">
      <c r="A4" s="112" t="s">
        <v>148</v>
      </c>
      <c r="B4" s="119">
        <v>10027272</v>
      </c>
      <c r="C4" s="119" t="s">
        <v>141</v>
      </c>
      <c r="D4" s="119" t="s">
        <v>149</v>
      </c>
      <c r="E4" s="119" t="s">
        <v>143</v>
      </c>
      <c r="F4" s="120" t="s">
        <v>144</v>
      </c>
      <c r="G4" s="119"/>
      <c r="H4" s="119"/>
      <c r="I4" s="119"/>
      <c r="J4" s="131" t="s">
        <v>145</v>
      </c>
      <c r="K4" s="114"/>
      <c r="L4" s="114"/>
    </row>
    <row r="5" ht="14.25">
      <c r="A5" s="112" t="s">
        <v>150</v>
      </c>
      <c r="B5" s="119">
        <v>10030658</v>
      </c>
      <c r="C5" s="119" t="s">
        <v>141</v>
      </c>
      <c r="D5" s="119" t="s">
        <v>151</v>
      </c>
      <c r="E5" s="119" t="s">
        <v>143</v>
      </c>
      <c r="F5" s="120" t="s">
        <v>144</v>
      </c>
      <c r="G5" s="119"/>
      <c r="H5" s="119"/>
      <c r="I5" s="119"/>
      <c r="J5" s="131" t="s">
        <v>145</v>
      </c>
      <c r="K5" s="114"/>
      <c r="L5" s="114"/>
    </row>
    <row r="6" ht="14.25">
      <c r="A6" s="112" t="s">
        <v>152</v>
      </c>
      <c r="B6" s="119">
        <v>10029705</v>
      </c>
      <c r="C6" s="119" t="s">
        <v>153</v>
      </c>
      <c r="D6" s="119" t="s">
        <v>142</v>
      </c>
      <c r="E6" s="119" t="s">
        <v>143</v>
      </c>
      <c r="F6" s="120" t="s">
        <v>144</v>
      </c>
      <c r="G6" s="119"/>
      <c r="H6" s="119"/>
      <c r="I6" s="119"/>
      <c r="J6" s="131" t="s">
        <v>145</v>
      </c>
      <c r="K6" s="114"/>
      <c r="L6" s="114"/>
    </row>
    <row r="7" ht="14.25">
      <c r="A7" s="112" t="s">
        <v>154</v>
      </c>
      <c r="B7" s="119">
        <v>10030566</v>
      </c>
      <c r="C7" s="119" t="s">
        <v>155</v>
      </c>
      <c r="D7" s="119" t="s">
        <v>156</v>
      </c>
      <c r="E7" s="119" t="s">
        <v>143</v>
      </c>
      <c r="F7" s="120" t="s">
        <v>144</v>
      </c>
      <c r="G7" s="119"/>
      <c r="H7" s="119"/>
      <c r="I7" s="119"/>
      <c r="J7" s="131" t="s">
        <v>145</v>
      </c>
      <c r="K7" s="114"/>
      <c r="L7" s="114"/>
    </row>
    <row r="8" ht="14.25">
      <c r="A8" s="112" t="s">
        <v>157</v>
      </c>
      <c r="B8" s="119">
        <v>10029714</v>
      </c>
      <c r="C8" s="119" t="s">
        <v>155</v>
      </c>
      <c r="D8" s="119" t="s">
        <v>158</v>
      </c>
      <c r="E8" s="119" t="s">
        <v>143</v>
      </c>
      <c r="F8" s="120" t="s">
        <v>144</v>
      </c>
      <c r="G8" s="119"/>
      <c r="H8" s="119"/>
      <c r="I8" s="119"/>
      <c r="J8" s="131" t="s">
        <v>145</v>
      </c>
      <c r="K8" s="114"/>
      <c r="L8" s="114"/>
    </row>
    <row r="9" ht="14.25">
      <c r="A9" s="112" t="s">
        <v>159</v>
      </c>
      <c r="B9" s="119">
        <v>10029713</v>
      </c>
      <c r="C9" s="119" t="s">
        <v>155</v>
      </c>
      <c r="D9" s="119" t="s">
        <v>160</v>
      </c>
      <c r="E9" s="119" t="s">
        <v>143</v>
      </c>
      <c r="F9" s="120" t="s">
        <v>144</v>
      </c>
      <c r="G9" s="119"/>
      <c r="H9" s="119"/>
      <c r="I9" s="119"/>
      <c r="J9" s="131" t="s">
        <v>145</v>
      </c>
      <c r="K9" s="114"/>
      <c r="L9" s="114"/>
    </row>
    <row r="10" ht="14.25">
      <c r="A10" s="112" t="s">
        <v>161</v>
      </c>
      <c r="B10" s="119">
        <v>10031468</v>
      </c>
      <c r="C10" s="119" t="s">
        <v>162</v>
      </c>
      <c r="D10" s="119" t="s">
        <v>163</v>
      </c>
      <c r="E10" s="119" t="s">
        <v>143</v>
      </c>
      <c r="F10" s="120" t="s">
        <v>144</v>
      </c>
      <c r="G10" s="119"/>
      <c r="H10" s="119"/>
      <c r="I10" s="119"/>
      <c r="J10" s="131"/>
      <c r="K10" s="114"/>
      <c r="L10" s="114"/>
    </row>
    <row r="11" ht="14.25">
      <c r="A11" s="112" t="s">
        <v>164</v>
      </c>
      <c r="B11" s="119">
        <v>10031469</v>
      </c>
      <c r="C11" s="119" t="s">
        <v>162</v>
      </c>
      <c r="D11" s="119" t="s">
        <v>165</v>
      </c>
      <c r="E11" s="119" t="s">
        <v>143</v>
      </c>
      <c r="F11" s="120" t="s">
        <v>144</v>
      </c>
      <c r="G11" s="119"/>
      <c r="H11" s="119"/>
      <c r="I11" s="119"/>
      <c r="J11" s="131"/>
      <c r="K11" s="114"/>
      <c r="L11" s="114"/>
    </row>
    <row r="12" ht="14.25">
      <c r="A12" s="112" t="s">
        <v>166</v>
      </c>
      <c r="B12" s="119">
        <v>10027275</v>
      </c>
      <c r="C12" s="119" t="s">
        <v>167</v>
      </c>
      <c r="D12" s="119" t="s">
        <v>142</v>
      </c>
      <c r="E12" s="119" t="s">
        <v>143</v>
      </c>
      <c r="F12" s="120" t="s">
        <v>144</v>
      </c>
      <c r="G12" s="119"/>
      <c r="H12" s="119"/>
      <c r="I12" s="119"/>
      <c r="J12" s="131"/>
      <c r="K12" s="114"/>
      <c r="L12" s="114"/>
    </row>
    <row r="13" ht="14.25">
      <c r="A13" s="112" t="s">
        <v>168</v>
      </c>
      <c r="B13" s="119">
        <v>10024251</v>
      </c>
      <c r="C13" s="119" t="s">
        <v>167</v>
      </c>
      <c r="D13" s="119" t="s">
        <v>169</v>
      </c>
      <c r="E13" s="119" t="s">
        <v>143</v>
      </c>
      <c r="F13" s="120" t="s">
        <v>144</v>
      </c>
      <c r="G13" s="119"/>
      <c r="H13" s="119"/>
      <c r="I13" s="119"/>
      <c r="J13" s="131"/>
      <c r="K13" s="114"/>
      <c r="L13" s="114"/>
    </row>
    <row r="14" ht="14.25">
      <c r="A14" s="112" t="s">
        <v>170</v>
      </c>
      <c r="B14" s="119">
        <v>10030661</v>
      </c>
      <c r="C14" s="119" t="s">
        <v>167</v>
      </c>
      <c r="D14" s="119" t="s">
        <v>147</v>
      </c>
      <c r="E14" s="119" t="s">
        <v>143</v>
      </c>
      <c r="F14" s="120" t="s">
        <v>144</v>
      </c>
      <c r="G14" s="119"/>
      <c r="H14" s="119"/>
      <c r="I14" s="119"/>
      <c r="J14" s="131"/>
      <c r="K14" s="114"/>
      <c r="L14" s="114"/>
    </row>
    <row r="15" ht="14.25">
      <c r="A15" s="112" t="s">
        <v>171</v>
      </c>
      <c r="B15" s="119">
        <v>10026879</v>
      </c>
      <c r="C15" s="119" t="s">
        <v>172</v>
      </c>
      <c r="D15" s="119" t="s">
        <v>173</v>
      </c>
      <c r="E15" s="119" t="s">
        <v>143</v>
      </c>
      <c r="F15" s="120" t="s">
        <v>144</v>
      </c>
      <c r="G15" s="119"/>
      <c r="H15" s="119"/>
      <c r="I15" s="119"/>
      <c r="J15" s="131"/>
      <c r="K15" s="114"/>
      <c r="L15" s="115" t="s">
        <v>174</v>
      </c>
    </row>
    <row r="16" ht="14.25">
      <c r="A16" s="111" t="s">
        <v>175</v>
      </c>
      <c r="B16" s="121">
        <v>10031088</v>
      </c>
      <c r="C16" s="119" t="s">
        <v>176</v>
      </c>
      <c r="D16" s="119" t="s">
        <v>177</v>
      </c>
      <c r="E16" s="119" t="s">
        <v>143</v>
      </c>
      <c r="F16" s="120" t="s">
        <v>144</v>
      </c>
      <c r="G16" s="119"/>
      <c r="H16" s="119"/>
      <c r="I16" s="119"/>
      <c r="J16" s="131"/>
      <c r="K16" s="114"/>
      <c r="L16" s="115" t="s">
        <v>178</v>
      </c>
    </row>
    <row r="17" ht="28.5">
      <c r="A17" s="110" t="s">
        <v>179</v>
      </c>
      <c r="B17" s="122">
        <v>10027340</v>
      </c>
      <c r="C17" s="123" t="s">
        <v>176</v>
      </c>
      <c r="D17" s="123" t="s">
        <v>180</v>
      </c>
      <c r="E17" s="123" t="s">
        <v>143</v>
      </c>
      <c r="F17" s="124" t="s">
        <v>144</v>
      </c>
      <c r="G17" s="119"/>
      <c r="H17" s="119"/>
      <c r="I17" s="119"/>
      <c r="J17" s="131"/>
      <c r="K17" s="114"/>
      <c r="L17" s="116" t="s">
        <v>181</v>
      </c>
    </row>
    <row r="18" ht="14.25">
      <c r="A18" s="110" t="s">
        <v>182</v>
      </c>
      <c r="B18" s="122">
        <v>10027271</v>
      </c>
      <c r="C18" s="123" t="s">
        <v>176</v>
      </c>
      <c r="D18" s="123" t="s">
        <v>183</v>
      </c>
      <c r="E18" s="123" t="s">
        <v>143</v>
      </c>
      <c r="F18" s="124" t="s">
        <v>144</v>
      </c>
      <c r="G18" s="119"/>
      <c r="H18" s="119"/>
      <c r="I18" s="119"/>
      <c r="J18" s="131"/>
      <c r="K18" s="114"/>
      <c r="L18" s="115" t="s">
        <v>184</v>
      </c>
    </row>
    <row r="19" ht="14.25">
      <c r="A19" s="110" t="s">
        <v>185</v>
      </c>
      <c r="B19" s="122">
        <v>10026709</v>
      </c>
      <c r="C19" s="123" t="s">
        <v>176</v>
      </c>
      <c r="D19" s="123" t="s">
        <v>186</v>
      </c>
      <c r="E19" s="123" t="s">
        <v>143</v>
      </c>
      <c r="F19" s="124" t="s">
        <v>144</v>
      </c>
      <c r="G19" s="119"/>
      <c r="H19" s="119"/>
      <c r="I19" s="119"/>
      <c r="J19" s="131"/>
      <c r="K19" s="114"/>
      <c r="L19" s="115" t="s">
        <v>187</v>
      </c>
    </row>
    <row r="20" ht="14.25">
      <c r="A20" s="110" t="s">
        <v>188</v>
      </c>
      <c r="B20" s="122">
        <v>10031385</v>
      </c>
      <c r="C20" s="123" t="s">
        <v>176</v>
      </c>
      <c r="D20" s="123" t="s">
        <v>189</v>
      </c>
      <c r="E20" s="123" t="s">
        <v>143</v>
      </c>
      <c r="F20" s="124" t="s">
        <v>144</v>
      </c>
      <c r="G20" s="119"/>
      <c r="H20" s="119"/>
      <c r="I20" s="119"/>
      <c r="J20" s="131"/>
      <c r="K20" s="114"/>
      <c r="L20" s="115" t="s">
        <v>190</v>
      </c>
    </row>
    <row r="21" ht="14.25">
      <c r="A21" s="109" t="s">
        <v>191</v>
      </c>
      <c r="B21" s="123">
        <v>10027269</v>
      </c>
      <c r="C21" s="123" t="s">
        <v>192</v>
      </c>
      <c r="D21" s="123" t="s">
        <v>193</v>
      </c>
      <c r="E21" s="123" t="s">
        <v>143</v>
      </c>
      <c r="F21" s="124" t="s">
        <v>144</v>
      </c>
      <c r="G21" s="119"/>
      <c r="H21" s="119"/>
      <c r="I21" s="119"/>
      <c r="J21" s="131" t="s">
        <v>194</v>
      </c>
      <c r="K21" s="114"/>
      <c r="L21" s="115" t="s">
        <v>195</v>
      </c>
    </row>
    <row r="22" ht="14.25">
      <c r="A22" s="109" t="s">
        <v>191</v>
      </c>
      <c r="B22" s="123" t="s">
        <v>196</v>
      </c>
      <c r="C22" s="123" t="s">
        <v>192</v>
      </c>
      <c r="D22" s="123" t="s">
        <v>193</v>
      </c>
      <c r="E22" s="123" t="s">
        <v>143</v>
      </c>
      <c r="F22" s="124" t="s">
        <v>197</v>
      </c>
      <c r="G22" s="119"/>
      <c r="H22" s="119"/>
      <c r="I22" s="119"/>
      <c r="J22" s="131" t="s">
        <v>198</v>
      </c>
      <c r="K22" s="114"/>
      <c r="L22" s="115" t="s">
        <v>199</v>
      </c>
    </row>
    <row r="23" ht="14.25">
      <c r="A23" s="109" t="s">
        <v>200</v>
      </c>
      <c r="B23" s="123">
        <v>10031384</v>
      </c>
      <c r="C23" s="123" t="s">
        <v>192</v>
      </c>
      <c r="D23" s="123" t="s">
        <v>201</v>
      </c>
      <c r="E23" s="123" t="s">
        <v>143</v>
      </c>
      <c r="F23" s="124" t="s">
        <v>144</v>
      </c>
      <c r="G23" s="119"/>
      <c r="H23" s="119"/>
      <c r="I23" s="119"/>
      <c r="J23" s="131" t="s">
        <v>202</v>
      </c>
      <c r="K23" s="114"/>
      <c r="L23" s="115" t="s">
        <v>203</v>
      </c>
    </row>
    <row r="24" ht="14.25">
      <c r="A24" s="109" t="s">
        <v>200</v>
      </c>
      <c r="B24" s="123" t="s">
        <v>196</v>
      </c>
      <c r="C24" s="123" t="s">
        <v>192</v>
      </c>
      <c r="D24" s="123" t="s">
        <v>201</v>
      </c>
      <c r="E24" s="123" t="s">
        <v>143</v>
      </c>
      <c r="F24" s="124" t="s">
        <v>197</v>
      </c>
      <c r="G24" s="119"/>
      <c r="H24" s="119"/>
      <c r="I24" s="119"/>
      <c r="J24" s="131" t="s">
        <v>204</v>
      </c>
      <c r="K24" s="114"/>
      <c r="L24" s="115" t="s">
        <v>205</v>
      </c>
    </row>
    <row r="25" ht="14.25">
      <c r="A25" s="109" t="s">
        <v>206</v>
      </c>
      <c r="B25" s="123">
        <v>10027273</v>
      </c>
      <c r="C25" s="123"/>
      <c r="D25" s="123" t="s">
        <v>207</v>
      </c>
      <c r="E25" s="123" t="s">
        <v>143</v>
      </c>
      <c r="F25" s="124" t="s">
        <v>144</v>
      </c>
      <c r="G25" s="119"/>
      <c r="H25" s="119"/>
      <c r="I25" s="119"/>
      <c r="J25" s="131" t="s">
        <v>208</v>
      </c>
      <c r="K25" s="114"/>
      <c r="L25" s="114"/>
    </row>
    <row r="26" ht="14.25">
      <c r="A26" s="109" t="s">
        <v>209</v>
      </c>
      <c r="B26" s="123"/>
      <c r="C26" s="123" t="s">
        <v>141</v>
      </c>
      <c r="D26" s="123" t="s">
        <v>169</v>
      </c>
      <c r="E26" s="123" t="s">
        <v>143</v>
      </c>
      <c r="F26" s="124" t="s">
        <v>144</v>
      </c>
      <c r="G26" s="119"/>
      <c r="H26" s="119"/>
      <c r="I26" s="119"/>
      <c r="J26" s="131"/>
      <c r="K26" s="114"/>
      <c r="L26" s="114"/>
    </row>
    <row r="27" ht="14.25">
      <c r="A27" s="109" t="s">
        <v>210</v>
      </c>
      <c r="B27" s="123">
        <v>10027420</v>
      </c>
      <c r="C27" s="123" t="s">
        <v>153</v>
      </c>
      <c r="D27" s="123" t="s">
        <v>211</v>
      </c>
      <c r="E27" s="123" t="s">
        <v>143</v>
      </c>
      <c r="F27" s="124" t="s">
        <v>144</v>
      </c>
      <c r="G27" s="119"/>
      <c r="H27" s="119"/>
      <c r="I27" s="119"/>
      <c r="J27" s="131"/>
      <c r="K27" s="114"/>
      <c r="L27" s="114"/>
    </row>
    <row r="28" ht="14.25">
      <c r="A28" s="109" t="s">
        <v>168</v>
      </c>
      <c r="B28" s="123">
        <v>10024251</v>
      </c>
      <c r="C28" s="123" t="s">
        <v>167</v>
      </c>
      <c r="D28" s="123" t="s">
        <v>169</v>
      </c>
      <c r="E28" s="123" t="s">
        <v>143</v>
      </c>
      <c r="F28" s="124" t="s">
        <v>144</v>
      </c>
      <c r="G28" s="119"/>
      <c r="H28" s="119"/>
      <c r="I28" s="119"/>
      <c r="J28" s="131"/>
      <c r="K28" s="114"/>
      <c r="L28" s="114"/>
    </row>
    <row r="29" ht="14.25">
      <c r="A29" s="112" t="s">
        <v>212</v>
      </c>
      <c r="B29" s="119"/>
      <c r="C29" s="119"/>
      <c r="D29" s="119" t="s">
        <v>213</v>
      </c>
      <c r="E29" s="123" t="s">
        <v>143</v>
      </c>
      <c r="F29" s="124" t="s">
        <v>144</v>
      </c>
      <c r="G29" s="119"/>
      <c r="H29" s="119"/>
      <c r="I29" s="119"/>
      <c r="J29" s="131"/>
      <c r="K29" s="114"/>
      <c r="L29" s="114"/>
    </row>
    <row r="30" ht="14.25">
      <c r="A30" s="112" t="s">
        <v>214</v>
      </c>
      <c r="B30" s="119"/>
      <c r="C30" s="119" t="s">
        <v>153</v>
      </c>
      <c r="D30" s="119" t="s">
        <v>211</v>
      </c>
      <c r="E30" s="123" t="s">
        <v>143</v>
      </c>
      <c r="F30" s="124" t="s">
        <v>144</v>
      </c>
      <c r="G30" s="119"/>
      <c r="H30" s="119"/>
      <c r="I30" s="119"/>
      <c r="J30" s="131"/>
      <c r="K30" s="114"/>
      <c r="L30" s="114"/>
    </row>
    <row r="31" ht="14.25">
      <c r="A31" s="108" t="s">
        <v>215</v>
      </c>
      <c r="B31" s="125"/>
      <c r="C31" s="119" t="s">
        <v>153</v>
      </c>
      <c r="D31" s="119" t="s">
        <v>216</v>
      </c>
      <c r="E31" s="123" t="s">
        <v>143</v>
      </c>
      <c r="F31" s="124" t="s">
        <v>144</v>
      </c>
      <c r="G31" s="119"/>
      <c r="H31" s="119"/>
      <c r="I31" s="119"/>
      <c r="J31" s="131"/>
      <c r="K31" s="114"/>
      <c r="L31" s="114"/>
    </row>
    <row r="32" ht="14.25">
      <c r="A32" s="112" t="s">
        <v>217</v>
      </c>
      <c r="B32" s="119"/>
      <c r="C32" s="119" t="s">
        <v>153</v>
      </c>
      <c r="D32" s="119" t="s">
        <v>218</v>
      </c>
      <c r="E32" s="123" t="s">
        <v>143</v>
      </c>
      <c r="F32" s="124" t="s">
        <v>144</v>
      </c>
      <c r="G32" s="119"/>
      <c r="H32" s="119"/>
      <c r="I32" s="119"/>
      <c r="J32" s="131"/>
      <c r="K32" s="114"/>
      <c r="L32" s="114"/>
    </row>
    <row r="33" ht="14.25">
      <c r="A33" s="112" t="s">
        <v>219</v>
      </c>
      <c r="B33" s="119"/>
      <c r="C33" s="119" t="s">
        <v>167</v>
      </c>
      <c r="D33" s="119" t="s">
        <v>220</v>
      </c>
      <c r="E33" s="123" t="s">
        <v>143</v>
      </c>
      <c r="F33" s="124" t="s">
        <v>144</v>
      </c>
      <c r="G33" s="119"/>
      <c r="H33" s="119"/>
      <c r="I33" s="119"/>
      <c r="J33" s="131"/>
    </row>
    <row r="34" ht="14.25">
      <c r="A34" s="112" t="s">
        <v>221</v>
      </c>
      <c r="B34" s="119"/>
      <c r="C34" s="119" t="s">
        <v>222</v>
      </c>
      <c r="D34" s="119" t="s">
        <v>223</v>
      </c>
      <c r="E34" s="123" t="s">
        <v>143</v>
      </c>
      <c r="F34" s="124" t="s">
        <v>144</v>
      </c>
      <c r="G34" s="119"/>
      <c r="H34" s="119"/>
      <c r="I34" s="119"/>
      <c r="J34" s="131"/>
    </row>
    <row r="35" ht="14.25">
      <c r="A35" s="112" t="s">
        <v>224</v>
      </c>
      <c r="B35" s="119"/>
      <c r="C35" s="119" t="s">
        <v>222</v>
      </c>
      <c r="D35" s="119" t="s">
        <v>225</v>
      </c>
      <c r="E35" s="123" t="s">
        <v>143</v>
      </c>
      <c r="F35" s="124" t="s">
        <v>144</v>
      </c>
      <c r="G35" s="119"/>
      <c r="H35" s="119"/>
      <c r="I35" s="119"/>
      <c r="J35" s="131"/>
    </row>
    <row r="36" ht="14.25">
      <c r="A36" s="112" t="s">
        <v>226</v>
      </c>
      <c r="B36" s="119"/>
      <c r="C36" s="119" t="s">
        <v>227</v>
      </c>
      <c r="D36" s="119" t="s">
        <v>228</v>
      </c>
      <c r="E36" s="123" t="s">
        <v>143</v>
      </c>
      <c r="F36" s="124" t="s">
        <v>144</v>
      </c>
      <c r="G36" s="119"/>
      <c r="H36" s="119"/>
      <c r="I36" s="119"/>
      <c r="J36" s="131"/>
    </row>
    <row r="37" ht="14.25">
      <c r="A37" s="107" t="s">
        <v>229</v>
      </c>
      <c r="B37" s="126"/>
      <c r="C37" s="126" t="s">
        <v>227</v>
      </c>
      <c r="D37" s="126" t="s">
        <v>230</v>
      </c>
      <c r="E37" s="127" t="s">
        <v>143</v>
      </c>
      <c r="F37" s="128" t="s">
        <v>144</v>
      </c>
      <c r="G37" s="126"/>
      <c r="H37" s="126"/>
      <c r="I37" s="126"/>
      <c r="J37" s="132"/>
    </row>
    <row r="38" ht="14.25">
      <c r="A38" s="112" t="s">
        <v>231</v>
      </c>
      <c r="B38" s="119"/>
      <c r="C38" s="119" t="s">
        <v>227</v>
      </c>
      <c r="D38" s="119" t="s">
        <v>230</v>
      </c>
      <c r="E38" s="123" t="s">
        <v>143</v>
      </c>
      <c r="F38" s="129" t="s">
        <v>144</v>
      </c>
      <c r="G38" s="119"/>
      <c r="H38" s="119"/>
      <c r="I38" s="119"/>
      <c r="J38" s="131"/>
    </row>
    <row r="39" ht="14.25">
      <c r="A39" s="112" t="s">
        <v>232</v>
      </c>
      <c r="B39" s="119"/>
      <c r="C39" s="119" t="s">
        <v>227</v>
      </c>
      <c r="D39" s="119" t="s">
        <v>233</v>
      </c>
      <c r="E39" s="123" t="s">
        <v>143</v>
      </c>
      <c r="F39" s="129" t="s">
        <v>144</v>
      </c>
      <c r="G39" s="119"/>
      <c r="H39" s="119"/>
      <c r="I39" s="119"/>
      <c r="J39" s="131"/>
    </row>
    <row r="40" ht="14.25">
      <c r="A40" s="112" t="s">
        <v>234</v>
      </c>
      <c r="B40" s="119"/>
      <c r="C40" s="119" t="s">
        <v>192</v>
      </c>
      <c r="D40" s="119" t="s">
        <v>235</v>
      </c>
      <c r="E40" s="123" t="s">
        <v>143</v>
      </c>
      <c r="F40" s="129" t="s">
        <v>144</v>
      </c>
      <c r="G40" s="119"/>
      <c r="H40" s="119"/>
      <c r="I40" s="119"/>
      <c r="J40" s="131"/>
    </row>
    <row r="41" ht="14.25">
      <c r="A41" s="112"/>
      <c r="B41" s="119"/>
      <c r="C41" s="119" t="s">
        <v>236</v>
      </c>
      <c r="D41" s="119" t="s">
        <v>236</v>
      </c>
      <c r="E41" s="123" t="s">
        <v>143</v>
      </c>
      <c r="F41" s="129" t="s">
        <v>144</v>
      </c>
      <c r="G41" s="119"/>
      <c r="H41" s="119"/>
      <c r="I41" s="119"/>
      <c r="J41" s="131"/>
    </row>
  </sheetData>
  <pageMargins left="0.7" right="0.7" top="0.75" bottom="0.75" header="0.3" footer="0.3"/>
  <headerFooter/>
  <drawing r:id="rId1"/>
  <tableParts count="1">
    <tablePart r:id="rId2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13"/>
  <dimension ref="A1:B188"/>
  <sheetViews>
    <sheetView workbookViewId="0">
      <selection activeCell="G54" sqref="G54"/>
    </sheetView>
  </sheetViews>
  <sheetFormatPr defaultRowHeight="12.75"/>
  <cols>
    <col min="1" max="1" bestFit="1" width="25.73046875" customWidth="1"/>
    <col min="2" max="2" bestFit="1" width="10.265625" customWidth="1"/>
  </cols>
  <sheetData>
    <row r="1" ht="14.25">
      <c r="A1" s="135" t="s">
        <v>237</v>
      </c>
      <c r="B1" s="136" t="s">
        <v>238</v>
      </c>
    </row>
    <row r="2" ht="14.25">
      <c r="A2" s="133">
        <v>736347</v>
      </c>
      <c r="B2" s="134" t="s">
        <v>239</v>
      </c>
    </row>
    <row r="3" ht="14.25">
      <c r="A3" s="133">
        <v>736349</v>
      </c>
      <c r="B3" s="134" t="s">
        <v>107</v>
      </c>
    </row>
    <row r="4" ht="14.25">
      <c r="A4" s="133">
        <v>736350</v>
      </c>
      <c r="B4" s="134" t="s">
        <v>239</v>
      </c>
    </row>
    <row r="5" ht="14.25">
      <c r="A5" s="133">
        <v>736854</v>
      </c>
      <c r="B5" s="134" t="s">
        <v>239</v>
      </c>
    </row>
    <row r="6" ht="14.25">
      <c r="A6" s="133">
        <v>737190</v>
      </c>
      <c r="B6" s="134" t="s">
        <v>107</v>
      </c>
    </row>
    <row r="7" ht="14.25">
      <c r="A7" s="133">
        <v>738187</v>
      </c>
      <c r="B7" s="134" t="s">
        <v>107</v>
      </c>
    </row>
    <row r="8" ht="14.25">
      <c r="A8" s="133">
        <v>738446</v>
      </c>
      <c r="B8" s="134" t="s">
        <v>239</v>
      </c>
    </row>
    <row r="9" ht="14.25">
      <c r="A9" s="133">
        <v>738447</v>
      </c>
      <c r="B9" s="134" t="s">
        <v>107</v>
      </c>
    </row>
    <row r="10" ht="14.25">
      <c r="A10" s="133">
        <v>738448</v>
      </c>
      <c r="B10" s="134" t="s">
        <v>107</v>
      </c>
    </row>
    <row r="11" ht="14.25">
      <c r="A11" s="133">
        <v>738449</v>
      </c>
      <c r="B11" s="134" t="s">
        <v>239</v>
      </c>
    </row>
    <row r="12" ht="14.25">
      <c r="A12" s="133">
        <v>738454</v>
      </c>
      <c r="B12" s="134" t="s">
        <v>239</v>
      </c>
    </row>
    <row r="13" ht="14.25">
      <c r="A13" s="133">
        <v>739489</v>
      </c>
      <c r="B13" s="134" t="s">
        <v>107</v>
      </c>
    </row>
    <row r="14" ht="14.25">
      <c r="A14" s="133">
        <v>739620</v>
      </c>
      <c r="B14" s="134" t="s">
        <v>239</v>
      </c>
    </row>
    <row r="15" ht="14.25">
      <c r="A15" s="133">
        <v>739622</v>
      </c>
      <c r="B15" s="134" t="s">
        <v>239</v>
      </c>
    </row>
    <row r="16" ht="14.25">
      <c r="A16" s="133">
        <v>739623</v>
      </c>
      <c r="B16" s="134" t="s">
        <v>239</v>
      </c>
    </row>
    <row r="17" ht="14.25">
      <c r="A17" s="133">
        <v>739624</v>
      </c>
      <c r="B17" s="134" t="s">
        <v>239</v>
      </c>
    </row>
    <row r="18" ht="14.25">
      <c r="A18" s="133">
        <v>739630</v>
      </c>
      <c r="B18" s="134" t="s">
        <v>239</v>
      </c>
    </row>
    <row r="19" ht="14.25">
      <c r="A19" s="133">
        <v>739636</v>
      </c>
      <c r="B19" s="134" t="s">
        <v>239</v>
      </c>
    </row>
    <row r="20" ht="14.25">
      <c r="A20" s="133">
        <v>739637</v>
      </c>
      <c r="B20" s="134" t="s">
        <v>239</v>
      </c>
    </row>
    <row r="21" ht="14.25">
      <c r="A21" s="133">
        <v>739640</v>
      </c>
      <c r="B21" s="134" t="s">
        <v>239</v>
      </c>
    </row>
    <row r="22" ht="14.25">
      <c r="A22" s="133">
        <v>739649</v>
      </c>
      <c r="B22" s="134" t="s">
        <v>239</v>
      </c>
    </row>
    <row r="23" ht="14.25">
      <c r="A23" s="133">
        <v>739650</v>
      </c>
      <c r="B23" s="134" t="s">
        <v>239</v>
      </c>
    </row>
    <row r="24" ht="14.25">
      <c r="A24" s="133">
        <v>739685</v>
      </c>
      <c r="B24" s="134" t="s">
        <v>239</v>
      </c>
    </row>
    <row r="25" ht="14.25">
      <c r="A25" s="133">
        <v>739686</v>
      </c>
      <c r="B25" s="134" t="s">
        <v>239</v>
      </c>
    </row>
    <row r="26" ht="14.25">
      <c r="A26" s="133">
        <v>741785</v>
      </c>
      <c r="B26" s="134" t="s">
        <v>107</v>
      </c>
    </row>
    <row r="27" ht="14.25">
      <c r="A27" s="133">
        <v>741794</v>
      </c>
      <c r="B27" s="134" t="s">
        <v>239</v>
      </c>
    </row>
    <row r="28" ht="14.25">
      <c r="A28" s="133">
        <v>742047</v>
      </c>
      <c r="B28" s="134" t="s">
        <v>239</v>
      </c>
    </row>
    <row r="29" ht="14.25">
      <c r="A29" s="133">
        <v>742192</v>
      </c>
      <c r="B29" s="134" t="s">
        <v>107</v>
      </c>
    </row>
    <row r="30" ht="14.25">
      <c r="A30" s="133">
        <v>742210</v>
      </c>
      <c r="B30" s="134" t="s">
        <v>239</v>
      </c>
    </row>
    <row r="31" ht="14.25">
      <c r="A31" s="133">
        <v>742211</v>
      </c>
      <c r="B31" s="134" t="s">
        <v>239</v>
      </c>
    </row>
    <row r="32" ht="14.25">
      <c r="A32" s="133">
        <v>742215</v>
      </c>
      <c r="B32" s="134" t="s">
        <v>239</v>
      </c>
    </row>
    <row r="33" ht="14.25">
      <c r="A33" s="133">
        <v>742241</v>
      </c>
      <c r="B33" s="134" t="s">
        <v>239</v>
      </c>
    </row>
    <row r="34" ht="14.25">
      <c r="A34" s="133">
        <v>742265</v>
      </c>
      <c r="B34" s="134" t="s">
        <v>239</v>
      </c>
    </row>
    <row r="35" ht="14.25">
      <c r="A35" s="133">
        <v>742266</v>
      </c>
      <c r="B35" s="134" t="s">
        <v>239</v>
      </c>
    </row>
    <row r="36" ht="14.25">
      <c r="A36" s="133">
        <v>742270</v>
      </c>
      <c r="B36" s="134" t="s">
        <v>239</v>
      </c>
    </row>
    <row r="37" ht="14.25">
      <c r="A37" s="133">
        <v>742290</v>
      </c>
      <c r="B37" s="134" t="s">
        <v>239</v>
      </c>
    </row>
    <row r="38" ht="14.25">
      <c r="A38" s="133">
        <v>5863903</v>
      </c>
      <c r="B38" s="134" t="s">
        <v>239</v>
      </c>
    </row>
    <row r="39" ht="14.25">
      <c r="A39" s="133">
        <v>5961300</v>
      </c>
      <c r="B39" s="134" t="s">
        <v>239</v>
      </c>
    </row>
    <row r="40" ht="14.25">
      <c r="A40" s="133">
        <v>80010173</v>
      </c>
      <c r="B40" s="134" t="s">
        <v>239</v>
      </c>
    </row>
    <row r="41" ht="14.25">
      <c r="A41" s="133">
        <v>80010204</v>
      </c>
      <c r="B41" s="134" t="s">
        <v>239</v>
      </c>
    </row>
    <row r="42" ht="14.25">
      <c r="A42" s="133">
        <v>80010248</v>
      </c>
      <c r="B42" s="134" t="s">
        <v>239</v>
      </c>
    </row>
    <row r="43" ht="14.25">
      <c r="A43" s="133">
        <v>80010249</v>
      </c>
      <c r="B43" s="134" t="s">
        <v>107</v>
      </c>
    </row>
    <row r="44" ht="14.25">
      <c r="A44" s="133">
        <v>80010274</v>
      </c>
      <c r="B44" s="134" t="s">
        <v>107</v>
      </c>
    </row>
    <row r="45" ht="14.25">
      <c r="A45" s="133">
        <v>80010292</v>
      </c>
      <c r="B45" s="134" t="s">
        <v>239</v>
      </c>
    </row>
    <row r="46" ht="14.25">
      <c r="A46" s="133">
        <v>80010302</v>
      </c>
      <c r="B46" s="134" t="s">
        <v>239</v>
      </c>
    </row>
    <row r="47" ht="14.25">
      <c r="A47" s="133">
        <v>80010307</v>
      </c>
      <c r="B47" s="134" t="s">
        <v>239</v>
      </c>
    </row>
    <row r="48" ht="14.25">
      <c r="A48" s="133">
        <v>80010454</v>
      </c>
      <c r="B48" s="134" t="s">
        <v>239</v>
      </c>
    </row>
    <row r="49" ht="14.25">
      <c r="A49" s="133">
        <v>80010456</v>
      </c>
      <c r="B49" s="134" t="s">
        <v>239</v>
      </c>
    </row>
    <row r="50" ht="14.25">
      <c r="A50" s="133">
        <v>80010465</v>
      </c>
      <c r="B50" s="134" t="s">
        <v>107</v>
      </c>
    </row>
    <row r="51" ht="14.25">
      <c r="A51" s="133">
        <v>80010492</v>
      </c>
      <c r="B51" s="134" t="s">
        <v>239</v>
      </c>
    </row>
    <row r="52" ht="14.25">
      <c r="A52" s="133">
        <v>80010517</v>
      </c>
      <c r="B52" s="134" t="s">
        <v>239</v>
      </c>
    </row>
    <row r="53" ht="14.25">
      <c r="A53" s="133">
        <v>80010622</v>
      </c>
      <c r="B53" s="134" t="s">
        <v>107</v>
      </c>
    </row>
    <row r="54" ht="14.25">
      <c r="A54" s="133">
        <v>80010656</v>
      </c>
      <c r="B54" s="134" t="s">
        <v>107</v>
      </c>
    </row>
    <row r="55" ht="14.25">
      <c r="A55" s="133">
        <v>80010677</v>
      </c>
      <c r="B55" s="134" t="s">
        <v>107</v>
      </c>
    </row>
    <row r="56" ht="14.25">
      <c r="A56" s="133">
        <v>80010681</v>
      </c>
      <c r="B56" s="134" t="s">
        <v>107</v>
      </c>
    </row>
    <row r="57" ht="14.25">
      <c r="A57" s="133">
        <v>80010682</v>
      </c>
      <c r="B57" s="134" t="s">
        <v>107</v>
      </c>
    </row>
    <row r="58" ht="14.25">
      <c r="A58" s="133">
        <v>80010692</v>
      </c>
      <c r="B58" s="134" t="s">
        <v>107</v>
      </c>
    </row>
    <row r="59" ht="14.25">
      <c r="A59" s="133">
        <v>80010710</v>
      </c>
      <c r="B59" s="134" t="s">
        <v>107</v>
      </c>
    </row>
    <row r="60" ht="14.25">
      <c r="A60" s="133">
        <v>80010748</v>
      </c>
      <c r="B60" s="134" t="s">
        <v>107</v>
      </c>
    </row>
    <row r="61" ht="14.25">
      <c r="A61" s="133">
        <v>80010761</v>
      </c>
      <c r="B61" s="134" t="s">
        <v>107</v>
      </c>
    </row>
    <row r="62" ht="14.25">
      <c r="A62" s="133">
        <v>80010776</v>
      </c>
      <c r="B62" s="134" t="s">
        <v>107</v>
      </c>
    </row>
    <row r="63" ht="14.25">
      <c r="A63" s="133">
        <v>80010825</v>
      </c>
      <c r="B63" s="134" t="s">
        <v>239</v>
      </c>
    </row>
    <row r="64" ht="14.25">
      <c r="A64" s="133">
        <v>80010826</v>
      </c>
      <c r="B64" s="134" t="s">
        <v>239</v>
      </c>
    </row>
    <row r="65" ht="14.25">
      <c r="A65" s="133">
        <v>80010864</v>
      </c>
      <c r="B65" s="134" t="s">
        <v>107</v>
      </c>
    </row>
    <row r="66" ht="14.25">
      <c r="A66" s="133">
        <v>80010865</v>
      </c>
      <c r="B66" s="134" t="s">
        <v>107</v>
      </c>
    </row>
    <row r="67" ht="14.25">
      <c r="A67" s="133">
        <v>80010899</v>
      </c>
      <c r="B67" s="134" t="s">
        <v>107</v>
      </c>
    </row>
    <row r="68" ht="14.25">
      <c r="A68" s="133">
        <v>80010992</v>
      </c>
      <c r="B68" s="134" t="s">
        <v>107</v>
      </c>
    </row>
    <row r="69" ht="14.25">
      <c r="A69" s="133">
        <v>80020872</v>
      </c>
      <c r="B69" s="134" t="s">
        <v>107</v>
      </c>
    </row>
    <row r="70" ht="14.25">
      <c r="A70" s="133">
        <v>80020892</v>
      </c>
      <c r="B70" s="134" t="s">
        <v>107</v>
      </c>
    </row>
    <row r="71" ht="14.25">
      <c r="A71" s="133">
        <v>80020899</v>
      </c>
      <c r="B71" s="134" t="s">
        <v>107</v>
      </c>
    </row>
    <row r="72" ht="14.25">
      <c r="A72" s="133" t="s">
        <v>240</v>
      </c>
      <c r="B72" s="134" t="s">
        <v>107</v>
      </c>
    </row>
    <row r="73" ht="14.25">
      <c r="A73" s="133" t="s">
        <v>241</v>
      </c>
      <c r="B73" s="134" t="s">
        <v>107</v>
      </c>
    </row>
    <row r="74" ht="14.25">
      <c r="A74" s="133" t="s">
        <v>242</v>
      </c>
      <c r="B74" s="134" t="s">
        <v>107</v>
      </c>
    </row>
    <row r="75" ht="14.25">
      <c r="A75" s="133" t="s">
        <v>243</v>
      </c>
      <c r="B75" s="134" t="s">
        <v>107</v>
      </c>
    </row>
    <row r="76" ht="14.25">
      <c r="A76" s="133" t="s">
        <v>244</v>
      </c>
      <c r="B76" s="134" t="s">
        <v>239</v>
      </c>
    </row>
    <row r="77" ht="14.25">
      <c r="A77" s="133" t="s">
        <v>245</v>
      </c>
      <c r="B77" s="134" t="s">
        <v>239</v>
      </c>
    </row>
    <row r="78" ht="14.25">
      <c r="A78" s="133" t="s">
        <v>246</v>
      </c>
      <c r="B78" s="134" t="s">
        <v>239</v>
      </c>
    </row>
    <row r="79" ht="14.25">
      <c r="A79" s="133" t="s">
        <v>247</v>
      </c>
      <c r="B79" s="134" t="s">
        <v>239</v>
      </c>
    </row>
    <row r="80" ht="14.25">
      <c r="A80" s="133" t="s">
        <v>248</v>
      </c>
      <c r="B80" s="134" t="s">
        <v>239</v>
      </c>
    </row>
    <row r="81" ht="14.25">
      <c r="A81" s="133" t="s">
        <v>249</v>
      </c>
      <c r="B81" s="134" t="s">
        <v>239</v>
      </c>
    </row>
    <row r="82" ht="14.25">
      <c r="A82" s="133" t="s">
        <v>250</v>
      </c>
      <c r="B82" s="134" t="s">
        <v>239</v>
      </c>
    </row>
    <row r="83" ht="14.25">
      <c r="A83" s="133" t="s">
        <v>251</v>
      </c>
      <c r="B83" s="134" t="s">
        <v>239</v>
      </c>
    </row>
    <row r="84" ht="14.25">
      <c r="A84" s="133" t="s">
        <v>252</v>
      </c>
      <c r="B84" s="134" t="s">
        <v>239</v>
      </c>
    </row>
    <row r="85" ht="14.25">
      <c r="A85" s="133" t="s">
        <v>253</v>
      </c>
      <c r="B85" s="134" t="s">
        <v>239</v>
      </c>
    </row>
    <row r="86" ht="14.25">
      <c r="A86" s="133" t="s">
        <v>254</v>
      </c>
      <c r="B86" s="134" t="s">
        <v>239</v>
      </c>
    </row>
    <row r="87" ht="14.25">
      <c r="A87" s="133" t="s">
        <v>255</v>
      </c>
      <c r="B87" s="134" t="s">
        <v>239</v>
      </c>
    </row>
    <row r="88" ht="14.25">
      <c r="A88" s="133" t="s">
        <v>256</v>
      </c>
      <c r="B88" s="134" t="s">
        <v>239</v>
      </c>
    </row>
    <row r="89" ht="14.25">
      <c r="A89" s="133" t="s">
        <v>257</v>
      </c>
      <c r="B89" s="134" t="s">
        <v>239</v>
      </c>
    </row>
    <row r="90" ht="14.25">
      <c r="A90" s="133" t="s">
        <v>258</v>
      </c>
      <c r="B90" s="134" t="s">
        <v>239</v>
      </c>
    </row>
    <row r="91" ht="14.25">
      <c r="A91" s="133" t="s">
        <v>259</v>
      </c>
      <c r="B91" s="134" t="s">
        <v>239</v>
      </c>
    </row>
    <row r="92" ht="14.25">
      <c r="A92" s="133" t="s">
        <v>260</v>
      </c>
      <c r="B92" s="134" t="s">
        <v>239</v>
      </c>
    </row>
    <row r="93" ht="14.25">
      <c r="A93" s="133" t="s">
        <v>261</v>
      </c>
      <c r="B93" s="134" t="s">
        <v>239</v>
      </c>
    </row>
    <row r="94" ht="14.25">
      <c r="A94" s="133" t="s">
        <v>262</v>
      </c>
      <c r="B94" s="134" t="s">
        <v>107</v>
      </c>
    </row>
    <row r="95" ht="14.25">
      <c r="A95" s="133" t="s">
        <v>263</v>
      </c>
      <c r="B95" s="134" t="s">
        <v>107</v>
      </c>
    </row>
    <row r="96" ht="14.25">
      <c r="A96" s="133" t="s">
        <v>264</v>
      </c>
      <c r="B96" s="134" t="s">
        <v>107</v>
      </c>
    </row>
    <row r="97" ht="14.25">
      <c r="A97" s="133" t="s">
        <v>265</v>
      </c>
      <c r="B97" s="134" t="s">
        <v>107</v>
      </c>
    </row>
    <row r="98" ht="14.25">
      <c r="A98" s="133" t="s">
        <v>266</v>
      </c>
      <c r="B98" s="134" t="s">
        <v>107</v>
      </c>
    </row>
    <row r="99" ht="14.25">
      <c r="A99" s="133" t="s">
        <v>267</v>
      </c>
      <c r="B99" s="134" t="s">
        <v>107</v>
      </c>
    </row>
    <row r="100" ht="14.25">
      <c r="A100" s="133" t="s">
        <v>268</v>
      </c>
      <c r="B100" s="134" t="s">
        <v>107</v>
      </c>
    </row>
    <row r="101" ht="14.25">
      <c r="A101" s="133" t="s">
        <v>173</v>
      </c>
      <c r="B101" s="134" t="s">
        <v>107</v>
      </c>
    </row>
    <row r="102" ht="14.25">
      <c r="A102" s="133" t="s">
        <v>269</v>
      </c>
      <c r="B102" s="134" t="s">
        <v>107</v>
      </c>
    </row>
    <row r="103" ht="14.25">
      <c r="A103" s="133" t="s">
        <v>270</v>
      </c>
      <c r="B103" s="134" t="s">
        <v>107</v>
      </c>
    </row>
    <row r="104" ht="14.25">
      <c r="A104" s="139" t="s">
        <v>271</v>
      </c>
      <c r="B104" s="140" t="s">
        <v>107</v>
      </c>
    </row>
    <row r="105" ht="14.25">
      <c r="A105" s="133" t="s">
        <v>272</v>
      </c>
      <c r="B105" s="134" t="s">
        <v>239</v>
      </c>
    </row>
    <row r="106" ht="14.25">
      <c r="A106" s="133" t="s">
        <v>273</v>
      </c>
      <c r="B106" s="134" t="s">
        <v>107</v>
      </c>
    </row>
    <row r="107" ht="14.25">
      <c r="A107" s="133" t="s">
        <v>274</v>
      </c>
      <c r="B107" s="134" t="s">
        <v>107</v>
      </c>
    </row>
    <row r="108" ht="14.25">
      <c r="A108" s="133" t="s">
        <v>275</v>
      </c>
      <c r="B108" s="134" t="s">
        <v>107</v>
      </c>
    </row>
    <row r="109" ht="14.25">
      <c r="A109" s="133" t="s">
        <v>276</v>
      </c>
      <c r="B109" s="134" t="s">
        <v>107</v>
      </c>
    </row>
    <row r="110" ht="14.25">
      <c r="A110" s="133" t="s">
        <v>277</v>
      </c>
      <c r="B110" s="134" t="s">
        <v>107</v>
      </c>
    </row>
    <row r="111" ht="14.25">
      <c r="A111" s="133" t="s">
        <v>278</v>
      </c>
      <c r="B111" s="134" t="s">
        <v>107</v>
      </c>
    </row>
    <row r="112" ht="14.25">
      <c r="A112" s="133" t="s">
        <v>279</v>
      </c>
      <c r="B112" s="134" t="s">
        <v>107</v>
      </c>
    </row>
    <row r="113" ht="14.25">
      <c r="A113" s="133" t="s">
        <v>280</v>
      </c>
      <c r="B113" s="134" t="s">
        <v>107</v>
      </c>
    </row>
    <row r="114" ht="14.25">
      <c r="A114" s="133" t="s">
        <v>281</v>
      </c>
      <c r="B114" s="134" t="s">
        <v>107</v>
      </c>
    </row>
    <row r="115" ht="14.25">
      <c r="A115" s="133" t="s">
        <v>282</v>
      </c>
      <c r="B115" s="134" t="s">
        <v>107</v>
      </c>
    </row>
    <row r="116" ht="14.25">
      <c r="A116" s="133" t="s">
        <v>283</v>
      </c>
      <c r="B116" s="134" t="s">
        <v>107</v>
      </c>
    </row>
    <row r="117" ht="14.25">
      <c r="A117" s="133" t="s">
        <v>284</v>
      </c>
      <c r="B117" s="134" t="s">
        <v>107</v>
      </c>
    </row>
    <row r="118" ht="14.25">
      <c r="A118" s="133" t="s">
        <v>285</v>
      </c>
      <c r="B118" s="134" t="s">
        <v>107</v>
      </c>
    </row>
    <row r="119" ht="14.25">
      <c r="A119" s="133" t="s">
        <v>286</v>
      </c>
      <c r="B119" s="134" t="s">
        <v>107</v>
      </c>
    </row>
    <row r="120" ht="14.25">
      <c r="A120" s="133" t="s">
        <v>287</v>
      </c>
      <c r="B120" s="134" t="s">
        <v>107</v>
      </c>
    </row>
    <row r="121" ht="14.25">
      <c r="A121" s="133" t="s">
        <v>288</v>
      </c>
      <c r="B121" s="134" t="s">
        <v>107</v>
      </c>
    </row>
    <row r="122" ht="14.25">
      <c r="A122" s="133" t="s">
        <v>289</v>
      </c>
      <c r="B122" s="134" t="s">
        <v>107</v>
      </c>
    </row>
    <row r="123" ht="14.25">
      <c r="A123" s="133" t="s">
        <v>290</v>
      </c>
      <c r="B123" s="134" t="s">
        <v>107</v>
      </c>
    </row>
    <row r="124" ht="14.25">
      <c r="A124" s="133" t="s">
        <v>291</v>
      </c>
      <c r="B124" s="134" t="s">
        <v>107</v>
      </c>
    </row>
    <row r="125" ht="14.25">
      <c r="A125" s="133" t="s">
        <v>292</v>
      </c>
      <c r="B125" s="134" t="s">
        <v>107</v>
      </c>
    </row>
    <row r="126" ht="14.25">
      <c r="A126" s="133" t="s">
        <v>293</v>
      </c>
      <c r="B126" s="134" t="s">
        <v>107</v>
      </c>
    </row>
    <row r="127" ht="14.25">
      <c r="A127" s="133" t="s">
        <v>294</v>
      </c>
      <c r="B127" s="134" t="s">
        <v>107</v>
      </c>
    </row>
    <row r="128" ht="14.25">
      <c r="A128" s="133" t="s">
        <v>295</v>
      </c>
      <c r="B128" s="134" t="s">
        <v>107</v>
      </c>
    </row>
    <row r="129" ht="14.25">
      <c r="A129" s="133" t="s">
        <v>296</v>
      </c>
      <c r="B129" s="134" t="s">
        <v>239</v>
      </c>
    </row>
    <row r="130" ht="14.25">
      <c r="A130" s="133" t="s">
        <v>297</v>
      </c>
      <c r="B130" s="134" t="s">
        <v>107</v>
      </c>
    </row>
    <row r="131" ht="14.25">
      <c r="A131" s="133" t="s">
        <v>49</v>
      </c>
      <c r="B131" s="134" t="s">
        <v>107</v>
      </c>
    </row>
    <row r="132" ht="14.25">
      <c r="A132" s="133" t="s">
        <v>298</v>
      </c>
      <c r="B132" s="134" t="s">
        <v>107</v>
      </c>
    </row>
    <row r="133" ht="14.25">
      <c r="A133" s="133" t="s">
        <v>299</v>
      </c>
      <c r="B133" s="134" t="s">
        <v>107</v>
      </c>
    </row>
    <row r="134" ht="14.25">
      <c r="A134" s="133" t="s">
        <v>300</v>
      </c>
      <c r="B134" s="134" t="s">
        <v>107</v>
      </c>
    </row>
    <row r="135" ht="14.25">
      <c r="A135" s="133" t="s">
        <v>301</v>
      </c>
      <c r="B135" s="134" t="s">
        <v>107</v>
      </c>
    </row>
    <row r="136" ht="14.25">
      <c r="A136" s="133" t="s">
        <v>302</v>
      </c>
      <c r="B136" s="134" t="s">
        <v>107</v>
      </c>
    </row>
    <row r="137" ht="14.25">
      <c r="A137" s="133" t="s">
        <v>303</v>
      </c>
      <c r="B137" s="134" t="s">
        <v>239</v>
      </c>
    </row>
    <row r="138" ht="14.25">
      <c r="A138" s="133" t="s">
        <v>304</v>
      </c>
      <c r="B138" s="134" t="s">
        <v>239</v>
      </c>
    </row>
    <row r="139" ht="14.25">
      <c r="A139" s="133" t="s">
        <v>305</v>
      </c>
      <c r="B139" s="134" t="s">
        <v>239</v>
      </c>
    </row>
    <row r="140" ht="14.25">
      <c r="A140" s="133" t="s">
        <v>306</v>
      </c>
      <c r="B140" s="134" t="s">
        <v>239</v>
      </c>
    </row>
    <row r="141" ht="14.25">
      <c r="A141" s="133" t="s">
        <v>307</v>
      </c>
      <c r="B141" s="134" t="s">
        <v>107</v>
      </c>
    </row>
    <row r="142" ht="14.25">
      <c r="A142" s="133" t="s">
        <v>308</v>
      </c>
      <c r="B142" s="134" t="s">
        <v>107</v>
      </c>
    </row>
    <row r="143" ht="14.25">
      <c r="A143" s="133" t="s">
        <v>309</v>
      </c>
      <c r="B143" s="134" t="s">
        <v>239</v>
      </c>
    </row>
    <row r="144" ht="14.25">
      <c r="A144" s="133" t="s">
        <v>310</v>
      </c>
      <c r="B144" s="134" t="s">
        <v>239</v>
      </c>
    </row>
    <row r="145" ht="14.25">
      <c r="A145" s="133" t="s">
        <v>311</v>
      </c>
      <c r="B145" s="134" t="s">
        <v>239</v>
      </c>
    </row>
    <row r="146" ht="14.25">
      <c r="A146" s="133" t="s">
        <v>312</v>
      </c>
      <c r="B146" s="134" t="s">
        <v>239</v>
      </c>
    </row>
    <row r="147" ht="14.25">
      <c r="A147" s="133" t="s">
        <v>313</v>
      </c>
      <c r="B147" s="134" t="s">
        <v>239</v>
      </c>
    </row>
    <row r="148" ht="14.25">
      <c r="A148" s="133" t="s">
        <v>314</v>
      </c>
      <c r="B148" s="134" t="s">
        <v>107</v>
      </c>
    </row>
    <row r="149" ht="14.25">
      <c r="A149" s="133" t="s">
        <v>315</v>
      </c>
      <c r="B149" s="134" t="s">
        <v>107</v>
      </c>
    </row>
    <row r="150" ht="14.25">
      <c r="A150" s="133" t="s">
        <v>316</v>
      </c>
      <c r="B150" s="134" t="s">
        <v>107</v>
      </c>
    </row>
    <row r="151" ht="14.25">
      <c r="A151" s="133" t="s">
        <v>317</v>
      </c>
      <c r="B151" s="134" t="s">
        <v>239</v>
      </c>
    </row>
    <row r="152" ht="14.25">
      <c r="A152" s="133" t="s">
        <v>318</v>
      </c>
      <c r="B152" s="134" t="s">
        <v>239</v>
      </c>
    </row>
    <row r="153" ht="14.25">
      <c r="A153" s="133" t="s">
        <v>319</v>
      </c>
      <c r="B153" s="134" t="s">
        <v>107</v>
      </c>
    </row>
    <row r="154" ht="14.25">
      <c r="A154" s="133" t="s">
        <v>320</v>
      </c>
      <c r="B154" s="134" t="s">
        <v>107</v>
      </c>
    </row>
    <row r="155" ht="14.25">
      <c r="A155" s="133" t="s">
        <v>321</v>
      </c>
      <c r="B155" s="134" t="s">
        <v>107</v>
      </c>
    </row>
    <row r="156" ht="14.25">
      <c r="A156" s="133" t="s">
        <v>322</v>
      </c>
      <c r="B156" s="134" t="s">
        <v>107</v>
      </c>
    </row>
    <row r="157" ht="14.25">
      <c r="A157" s="133" t="s">
        <v>323</v>
      </c>
      <c r="B157" s="134" t="s">
        <v>239</v>
      </c>
    </row>
    <row r="158" ht="14.25">
      <c r="A158" s="133" t="s">
        <v>324</v>
      </c>
      <c r="B158" s="134" t="s">
        <v>107</v>
      </c>
    </row>
    <row r="159" ht="14.25">
      <c r="A159" s="133" t="s">
        <v>325</v>
      </c>
      <c r="B159" s="134" t="s">
        <v>107</v>
      </c>
    </row>
    <row r="160" ht="14.25">
      <c r="A160" s="133" t="s">
        <v>326</v>
      </c>
      <c r="B160" s="134" t="s">
        <v>239</v>
      </c>
    </row>
    <row r="161" ht="14.25">
      <c r="A161" s="133" t="s">
        <v>327</v>
      </c>
      <c r="B161" s="134" t="s">
        <v>239</v>
      </c>
    </row>
    <row r="162" ht="14.25">
      <c r="A162" s="133" t="s">
        <v>328</v>
      </c>
      <c r="B162" s="134" t="s">
        <v>239</v>
      </c>
    </row>
    <row r="163" ht="14.25">
      <c r="A163" s="133" t="s">
        <v>329</v>
      </c>
      <c r="B163" s="134" t="s">
        <v>239</v>
      </c>
    </row>
    <row r="164" ht="14.25">
      <c r="A164" s="133" t="s">
        <v>330</v>
      </c>
      <c r="B164" s="134" t="s">
        <v>239</v>
      </c>
    </row>
    <row r="165" ht="14.25">
      <c r="A165" s="133" t="s">
        <v>331</v>
      </c>
      <c r="B165" s="134" t="s">
        <v>239</v>
      </c>
    </row>
    <row r="166" ht="14.25">
      <c r="A166" s="133" t="s">
        <v>332</v>
      </c>
      <c r="B166" s="134" t="s">
        <v>107</v>
      </c>
    </row>
    <row r="167" ht="14.25">
      <c r="A167" s="133" t="s">
        <v>333</v>
      </c>
      <c r="B167" s="134" t="s">
        <v>107</v>
      </c>
    </row>
    <row r="168" ht="14.25">
      <c r="A168" s="133" t="s">
        <v>334</v>
      </c>
      <c r="B168" s="134" t="s">
        <v>107</v>
      </c>
    </row>
    <row r="169" ht="14.25">
      <c r="A169" s="133" t="s">
        <v>335</v>
      </c>
      <c r="B169" s="134" t="s">
        <v>239</v>
      </c>
    </row>
    <row r="170" ht="14.25">
      <c r="A170" s="133" t="s">
        <v>336</v>
      </c>
      <c r="B170" s="134" t="s">
        <v>239</v>
      </c>
    </row>
    <row r="171" ht="14.25">
      <c r="A171" s="133" t="s">
        <v>337</v>
      </c>
      <c r="B171" s="134" t="s">
        <v>239</v>
      </c>
    </row>
    <row r="172" ht="14.25">
      <c r="A172" s="133" t="s">
        <v>338</v>
      </c>
      <c r="B172" s="134" t="s">
        <v>239</v>
      </c>
    </row>
    <row r="173" ht="14.25">
      <c r="A173" s="133" t="s">
        <v>339</v>
      </c>
      <c r="B173" s="134" t="s">
        <v>107</v>
      </c>
    </row>
    <row r="174" ht="14.25">
      <c r="A174" s="133" t="s">
        <v>340</v>
      </c>
      <c r="B174" s="134" t="s">
        <v>107</v>
      </c>
    </row>
    <row r="175" ht="14.25">
      <c r="A175" s="133" t="s">
        <v>341</v>
      </c>
      <c r="B175" s="134" t="s">
        <v>107</v>
      </c>
    </row>
    <row r="176" ht="14.25">
      <c r="A176" s="133" t="s">
        <v>342</v>
      </c>
      <c r="B176" s="134" t="s">
        <v>107</v>
      </c>
    </row>
    <row r="177" ht="14.25">
      <c r="A177" s="133" t="s">
        <v>343</v>
      </c>
      <c r="B177" s="134" t="s">
        <v>107</v>
      </c>
    </row>
    <row r="178" ht="14.25">
      <c r="A178" s="133" t="s">
        <v>344</v>
      </c>
      <c r="B178" s="134" t="s">
        <v>107</v>
      </c>
    </row>
    <row r="179" ht="14.25">
      <c r="A179" s="133" t="s">
        <v>345</v>
      </c>
      <c r="B179" s="134" t="s">
        <v>107</v>
      </c>
    </row>
    <row r="180" ht="14.25">
      <c r="A180" s="133" t="s">
        <v>346</v>
      </c>
      <c r="B180" s="134" t="s">
        <v>239</v>
      </c>
    </row>
    <row r="181" ht="14.25">
      <c r="A181" s="133" t="s">
        <v>347</v>
      </c>
      <c r="B181" s="134" t="s">
        <v>239</v>
      </c>
    </row>
    <row r="182" ht="14.25">
      <c r="A182" s="133" t="s">
        <v>348</v>
      </c>
      <c r="B182" s="134" t="s">
        <v>239</v>
      </c>
    </row>
    <row r="183" ht="14.25">
      <c r="A183" s="133" t="s">
        <v>349</v>
      </c>
      <c r="B183" s="134" t="s">
        <v>239</v>
      </c>
    </row>
    <row r="184" ht="14.25">
      <c r="A184" s="133" t="s">
        <v>350</v>
      </c>
      <c r="B184" s="134" t="s">
        <v>107</v>
      </c>
    </row>
    <row r="185" ht="14.25">
      <c r="A185" s="133" t="s">
        <v>351</v>
      </c>
      <c r="B185" s="134" t="s">
        <v>239</v>
      </c>
    </row>
    <row r="186" ht="14.25">
      <c r="A186" s="133" t="s">
        <v>352</v>
      </c>
      <c r="B186" s="134" t="s">
        <v>107</v>
      </c>
    </row>
    <row r="187" ht="14.25">
      <c r="A187" s="133" t="s">
        <v>353</v>
      </c>
      <c r="B187" s="134" t="s">
        <v>107</v>
      </c>
    </row>
    <row r="188" ht="14.25">
      <c r="A188" s="137" t="s">
        <v>354</v>
      </c>
      <c r="B188" s="138" t="s">
        <v>239</v>
      </c>
    </row>
  </sheetData>
  <pageMargins left="0.7" right="0.7" top="0.75" bottom="0.75" header="0.3" footer="0.3"/>
  <headerFooter/>
  <tableParts count="1">
    <tablePart r:id="rId1"/>
  </tableParts>
</worksheet>
</file>

<file path=xl/worksheets/sheet31.xml><?xml version="1.0" encoding="utf-8"?>
<worksheet xmlns:r="http://schemas.openxmlformats.org/officeDocument/2006/relationships" xmlns="http://schemas.openxmlformats.org/spreadsheetml/2006/main" xmlns:xr="http://schemas.microsoft.com/office/spreadsheetml/2014/revision" xmlns:mc="http://schemas.openxmlformats.org/markup-compatibility/2006" mc:Ignorable="xr">
  <sheetPr codeName="Antennas"/>
  <dimension ref="A1:J269"/>
  <sheetViews>
    <sheetView workbookViewId="0"/>
  </sheetViews>
  <sheetFormatPr defaultRowHeight="15"/>
  <sheetData>
    <row r="1">
      <c r="A1" s="0" t="s">
        <v>240</v>
      </c>
      <c r="B1" s="0" t="s">
        <v>355</v>
      </c>
      <c r="C1" s="0" t="s">
        <v>355</v>
      </c>
    </row>
    <row r="2">
      <c r="A2" s="0" t="s">
        <v>241</v>
      </c>
      <c r="B2" s="0" t="s">
        <v>356</v>
      </c>
      <c r="C2" s="0" t="s">
        <v>356</v>
      </c>
    </row>
    <row r="3">
      <c r="A3" s="0" t="s">
        <v>357</v>
      </c>
      <c r="B3" s="0" t="s">
        <v>54</v>
      </c>
    </row>
    <row r="4">
      <c r="A4" s="0" t="s">
        <v>358</v>
      </c>
      <c r="B4" s="0" t="s">
        <v>359</v>
      </c>
      <c r="C4" s="0" t="s">
        <v>360</v>
      </c>
    </row>
    <row r="5">
      <c r="A5" s="0" t="s">
        <v>361</v>
      </c>
      <c r="B5" s="0" t="s">
        <v>359</v>
      </c>
      <c r="C5" s="0" t="s">
        <v>360</v>
      </c>
      <c r="D5" s="0" t="s">
        <v>360</v>
      </c>
    </row>
    <row r="6">
      <c r="A6" s="0" t="s">
        <v>362</v>
      </c>
      <c r="B6" s="0" t="s">
        <v>54</v>
      </c>
      <c r="C6" s="0" t="s">
        <v>363</v>
      </c>
      <c r="D6" s="0" t="s">
        <v>54</v>
      </c>
      <c r="E6" s="0" t="s">
        <v>363</v>
      </c>
    </row>
    <row r="7">
      <c r="A7" s="0" t="s">
        <v>364</v>
      </c>
      <c r="B7" s="0" t="s">
        <v>363</v>
      </c>
      <c r="C7" s="0" t="s">
        <v>363</v>
      </c>
      <c r="D7" s="0" t="s">
        <v>365</v>
      </c>
      <c r="E7" s="0" t="s">
        <v>365</v>
      </c>
    </row>
    <row r="8">
      <c r="A8" s="0" t="s">
        <v>366</v>
      </c>
      <c r="B8" s="0" t="s">
        <v>54</v>
      </c>
      <c r="C8" s="0" t="s">
        <v>363</v>
      </c>
      <c r="D8" s="0" t="s">
        <v>54</v>
      </c>
      <c r="E8" s="0" t="s">
        <v>54</v>
      </c>
      <c r="F8" s="0" t="s">
        <v>363</v>
      </c>
    </row>
    <row r="9">
      <c r="A9" s="0" t="s">
        <v>367</v>
      </c>
      <c r="B9" s="0" t="s">
        <v>54</v>
      </c>
      <c r="C9" s="0" t="s">
        <v>368</v>
      </c>
      <c r="D9" s="0" t="s">
        <v>363</v>
      </c>
      <c r="E9" s="0" t="s">
        <v>54</v>
      </c>
      <c r="F9" s="0" t="s">
        <v>54</v>
      </c>
      <c r="G9" s="0" t="s">
        <v>363</v>
      </c>
    </row>
    <row r="10">
      <c r="A10" s="0" t="s">
        <v>242</v>
      </c>
      <c r="B10" s="0" t="s">
        <v>369</v>
      </c>
      <c r="C10" s="0" t="s">
        <v>369</v>
      </c>
      <c r="D10" s="0" t="s">
        <v>369</v>
      </c>
      <c r="E10" s="0" t="s">
        <v>369</v>
      </c>
      <c r="F10" s="0" t="s">
        <v>369</v>
      </c>
    </row>
    <row r="11">
      <c r="A11" s="0" t="s">
        <v>370</v>
      </c>
      <c r="B11" s="0" t="s">
        <v>371</v>
      </c>
      <c r="C11" s="0" t="s">
        <v>371</v>
      </c>
      <c r="D11" s="0" t="s">
        <v>371</v>
      </c>
      <c r="E11" s="0" t="s">
        <v>371</v>
      </c>
      <c r="F11" s="0" t="s">
        <v>371</v>
      </c>
    </row>
    <row r="12">
      <c r="A12" s="0" t="s">
        <v>372</v>
      </c>
      <c r="B12" s="0" t="s">
        <v>355</v>
      </c>
    </row>
    <row r="13">
      <c r="A13" s="0" t="s">
        <v>373</v>
      </c>
      <c r="B13" s="0" t="s">
        <v>374</v>
      </c>
    </row>
    <row r="14">
      <c r="A14" s="0" t="s">
        <v>375</v>
      </c>
      <c r="B14" s="0" t="s">
        <v>374</v>
      </c>
    </row>
    <row r="15">
      <c r="A15" s="0" t="s">
        <v>376</v>
      </c>
      <c r="B15" s="0" t="s">
        <v>374</v>
      </c>
    </row>
    <row r="16">
      <c r="A16" s="0" t="s">
        <v>377</v>
      </c>
      <c r="B16" s="0" t="s">
        <v>378</v>
      </c>
    </row>
    <row r="17">
      <c r="A17" s="0" t="s">
        <v>379</v>
      </c>
      <c r="B17" s="0" t="s">
        <v>380</v>
      </c>
    </row>
    <row r="18">
      <c r="A18" s="0" t="s">
        <v>381</v>
      </c>
      <c r="B18" s="0" t="s">
        <v>380</v>
      </c>
    </row>
    <row r="19">
      <c r="A19" s="0" t="s">
        <v>382</v>
      </c>
      <c r="B19" s="0" t="s">
        <v>383</v>
      </c>
    </row>
    <row r="20">
      <c r="A20" s="0" t="s">
        <v>384</v>
      </c>
      <c r="B20" s="0" t="s">
        <v>383</v>
      </c>
    </row>
    <row r="21">
      <c r="A21" s="0" t="s">
        <v>385</v>
      </c>
      <c r="B21" s="0" t="s">
        <v>386</v>
      </c>
    </row>
    <row r="22">
      <c r="A22" s="0" t="s">
        <v>387</v>
      </c>
      <c r="B22" s="0" t="s">
        <v>386</v>
      </c>
    </row>
    <row r="23">
      <c r="A23" s="0" t="s">
        <v>388</v>
      </c>
      <c r="B23" s="0" t="s">
        <v>389</v>
      </c>
    </row>
    <row r="24">
      <c r="A24" s="0" t="s">
        <v>390</v>
      </c>
      <c r="B24" s="0" t="s">
        <v>391</v>
      </c>
    </row>
    <row r="25">
      <c r="A25" s="0" t="s">
        <v>392</v>
      </c>
      <c r="B25" s="0" t="s">
        <v>360</v>
      </c>
    </row>
    <row r="26">
      <c r="A26" s="0" t="s">
        <v>393</v>
      </c>
      <c r="B26" s="0" t="s">
        <v>394</v>
      </c>
    </row>
    <row r="27">
      <c r="A27" s="0" t="s">
        <v>395</v>
      </c>
      <c r="B27" s="0" t="s">
        <v>396</v>
      </c>
    </row>
    <row r="28">
      <c r="A28" s="0" t="s">
        <v>397</v>
      </c>
      <c r="B28" s="0" t="s">
        <v>398</v>
      </c>
    </row>
    <row r="29">
      <c r="A29" s="0" t="s">
        <v>399</v>
      </c>
      <c r="B29" s="0" t="s">
        <v>398</v>
      </c>
    </row>
    <row r="30">
      <c r="A30" s="0" t="s">
        <v>400</v>
      </c>
      <c r="B30" s="0" t="s">
        <v>398</v>
      </c>
    </row>
    <row r="31">
      <c r="A31" s="0" t="s">
        <v>401</v>
      </c>
      <c r="B31" s="0" t="s">
        <v>398</v>
      </c>
    </row>
    <row r="32">
      <c r="A32" s="0" t="s">
        <v>402</v>
      </c>
      <c r="B32" s="0" t="s">
        <v>374</v>
      </c>
    </row>
    <row r="33">
      <c r="A33" s="0" t="s">
        <v>403</v>
      </c>
      <c r="B33" s="0" t="s">
        <v>398</v>
      </c>
    </row>
    <row r="34">
      <c r="A34" s="0" t="s">
        <v>404</v>
      </c>
      <c r="B34" s="0" t="s">
        <v>398</v>
      </c>
    </row>
    <row r="35">
      <c r="A35" s="0" t="s">
        <v>405</v>
      </c>
      <c r="B35" s="0" t="s">
        <v>398</v>
      </c>
    </row>
    <row r="36">
      <c r="A36" s="0" t="s">
        <v>406</v>
      </c>
      <c r="B36" s="0" t="s">
        <v>407</v>
      </c>
    </row>
    <row r="37">
      <c r="A37" s="0" t="s">
        <v>408</v>
      </c>
      <c r="B37" s="0" t="s">
        <v>398</v>
      </c>
    </row>
    <row r="38">
      <c r="A38" s="0" t="s">
        <v>409</v>
      </c>
      <c r="B38" s="0" t="s">
        <v>398</v>
      </c>
    </row>
    <row r="39">
      <c r="A39" s="0" t="s">
        <v>410</v>
      </c>
      <c r="B39" s="0" t="s">
        <v>398</v>
      </c>
    </row>
    <row r="40">
      <c r="A40" s="0" t="s">
        <v>411</v>
      </c>
      <c r="B40" s="0" t="s">
        <v>398</v>
      </c>
    </row>
    <row r="41">
      <c r="A41" s="0" t="s">
        <v>412</v>
      </c>
      <c r="B41" s="0" t="s">
        <v>398</v>
      </c>
    </row>
    <row r="42">
      <c r="A42" s="0" t="s">
        <v>413</v>
      </c>
      <c r="B42" s="0" t="s">
        <v>394</v>
      </c>
    </row>
    <row r="43">
      <c r="A43" s="0" t="s">
        <v>414</v>
      </c>
      <c r="B43" s="0" t="s">
        <v>389</v>
      </c>
    </row>
    <row r="44">
      <c r="A44" s="0" t="s">
        <v>415</v>
      </c>
      <c r="B44" s="0" t="s">
        <v>374</v>
      </c>
    </row>
    <row r="45">
      <c r="A45" s="0" t="s">
        <v>416</v>
      </c>
      <c r="B45" s="0" t="s">
        <v>374</v>
      </c>
    </row>
    <row r="46">
      <c r="A46" s="0" t="s">
        <v>417</v>
      </c>
      <c r="B46" s="0" t="s">
        <v>374</v>
      </c>
    </row>
    <row r="47">
      <c r="A47" s="0" t="s">
        <v>418</v>
      </c>
      <c r="B47" s="0" t="s">
        <v>360</v>
      </c>
    </row>
    <row r="48">
      <c r="A48" s="0" t="s">
        <v>419</v>
      </c>
      <c r="B48" s="0" t="s">
        <v>389</v>
      </c>
    </row>
    <row r="49">
      <c r="A49" s="0" t="s">
        <v>420</v>
      </c>
      <c r="B49" s="0" t="s">
        <v>383</v>
      </c>
    </row>
    <row r="50">
      <c r="A50" s="0" t="s">
        <v>421</v>
      </c>
      <c r="B50" s="0" t="s">
        <v>422</v>
      </c>
    </row>
    <row r="51">
      <c r="A51" s="0" t="s">
        <v>243</v>
      </c>
      <c r="B51" s="0" t="s">
        <v>423</v>
      </c>
    </row>
    <row r="52">
      <c r="A52" s="0" t="s">
        <v>424</v>
      </c>
      <c r="B52" s="0" t="s">
        <v>425</v>
      </c>
    </row>
    <row r="53">
      <c r="A53" s="0" t="s">
        <v>426</v>
      </c>
      <c r="B53" s="0" t="s">
        <v>360</v>
      </c>
    </row>
    <row r="54">
      <c r="A54" s="0" t="s">
        <v>427</v>
      </c>
      <c r="B54" s="0" t="s">
        <v>360</v>
      </c>
    </row>
    <row r="55">
      <c r="A55" s="0" t="s">
        <v>428</v>
      </c>
      <c r="B55" s="0" t="s">
        <v>360</v>
      </c>
    </row>
    <row r="56">
      <c r="A56" s="0" t="s">
        <v>429</v>
      </c>
      <c r="B56" s="0" t="s">
        <v>391</v>
      </c>
    </row>
    <row r="57">
      <c r="A57" s="0" t="s">
        <v>244</v>
      </c>
      <c r="B57" s="0" t="s">
        <v>430</v>
      </c>
    </row>
    <row r="58">
      <c r="A58" s="0" t="s">
        <v>431</v>
      </c>
      <c r="B58" s="0" t="s">
        <v>432</v>
      </c>
    </row>
    <row r="59">
      <c r="A59" s="0" t="s">
        <v>433</v>
      </c>
      <c r="B59" s="0" t="s">
        <v>371</v>
      </c>
      <c r="C59" s="0" t="s">
        <v>407</v>
      </c>
    </row>
    <row r="60">
      <c r="A60" s="0" t="s">
        <v>434</v>
      </c>
      <c r="B60" s="0" t="s">
        <v>360</v>
      </c>
      <c r="C60" s="0" t="s">
        <v>407</v>
      </c>
      <c r="D60" s="0" t="s">
        <v>360</v>
      </c>
    </row>
    <row r="61">
      <c r="A61" s="0" t="s">
        <v>245</v>
      </c>
      <c r="B61" s="0" t="s">
        <v>371</v>
      </c>
      <c r="C61" s="0" t="s">
        <v>355</v>
      </c>
    </row>
    <row r="62">
      <c r="A62" s="0" t="s">
        <v>435</v>
      </c>
      <c r="B62" s="0" t="s">
        <v>360</v>
      </c>
      <c r="C62" s="0" t="s">
        <v>407</v>
      </c>
    </row>
    <row r="63">
      <c r="A63" s="0" t="s">
        <v>246</v>
      </c>
      <c r="B63" s="0" t="s">
        <v>371</v>
      </c>
      <c r="C63" s="0" t="s">
        <v>355</v>
      </c>
    </row>
    <row r="64">
      <c r="A64" s="0" t="s">
        <v>436</v>
      </c>
      <c r="B64" s="0" t="s">
        <v>407</v>
      </c>
      <c r="C64" s="0" t="s">
        <v>371</v>
      </c>
    </row>
    <row r="65">
      <c r="A65" s="0" t="s">
        <v>247</v>
      </c>
      <c r="B65" s="0" t="s">
        <v>371</v>
      </c>
      <c r="C65" s="0" t="s">
        <v>355</v>
      </c>
    </row>
    <row r="66">
      <c r="A66" s="0" t="s">
        <v>248</v>
      </c>
      <c r="B66" s="0" t="s">
        <v>371</v>
      </c>
      <c r="C66" s="0" t="s">
        <v>355</v>
      </c>
    </row>
    <row r="67">
      <c r="A67" s="0" t="s">
        <v>249</v>
      </c>
      <c r="B67" s="0" t="s">
        <v>371</v>
      </c>
      <c r="C67" s="0" t="s">
        <v>355</v>
      </c>
    </row>
    <row r="68">
      <c r="A68" s="0" t="s">
        <v>437</v>
      </c>
      <c r="B68" s="0" t="s">
        <v>380</v>
      </c>
      <c r="C68" s="0" t="s">
        <v>398</v>
      </c>
      <c r="D68" s="0" t="s">
        <v>438</v>
      </c>
    </row>
    <row r="69">
      <c r="A69" s="0" t="s">
        <v>250</v>
      </c>
      <c r="B69" s="0" t="s">
        <v>438</v>
      </c>
      <c r="C69" s="0" t="s">
        <v>380</v>
      </c>
      <c r="D69" s="0" t="s">
        <v>355</v>
      </c>
    </row>
    <row r="70">
      <c r="A70" s="0" t="s">
        <v>439</v>
      </c>
      <c r="B70" s="0" t="s">
        <v>380</v>
      </c>
      <c r="C70" s="0" t="s">
        <v>398</v>
      </c>
      <c r="D70" s="0" t="s">
        <v>438</v>
      </c>
    </row>
    <row r="71">
      <c r="A71" s="0" t="s">
        <v>440</v>
      </c>
      <c r="B71" s="0" t="s">
        <v>438</v>
      </c>
      <c r="C71" s="0" t="s">
        <v>380</v>
      </c>
      <c r="D71" s="0" t="s">
        <v>355</v>
      </c>
    </row>
    <row r="72">
      <c r="A72" s="0" t="s">
        <v>441</v>
      </c>
      <c r="B72" s="0" t="s">
        <v>380</v>
      </c>
      <c r="C72" s="0" t="s">
        <v>398</v>
      </c>
      <c r="D72" s="0" t="s">
        <v>438</v>
      </c>
    </row>
    <row r="73">
      <c r="A73" s="0" t="s">
        <v>442</v>
      </c>
      <c r="B73" s="0" t="s">
        <v>383</v>
      </c>
    </row>
    <row r="74">
      <c r="A74" s="0" t="s">
        <v>443</v>
      </c>
      <c r="B74" s="0" t="s">
        <v>371</v>
      </c>
      <c r="C74" s="0" t="s">
        <v>355</v>
      </c>
    </row>
    <row r="75">
      <c r="A75" s="0" t="s">
        <v>251</v>
      </c>
      <c r="B75" s="0" t="s">
        <v>371</v>
      </c>
      <c r="C75" s="0" t="s">
        <v>355</v>
      </c>
    </row>
    <row r="76">
      <c r="A76" s="0" t="s">
        <v>444</v>
      </c>
      <c r="B76" s="0" t="s">
        <v>369</v>
      </c>
    </row>
    <row r="77">
      <c r="A77" s="0" t="s">
        <v>445</v>
      </c>
      <c r="B77" s="0" t="s">
        <v>446</v>
      </c>
    </row>
    <row r="78">
      <c r="A78" s="0" t="s">
        <v>447</v>
      </c>
      <c r="B78" s="0" t="s">
        <v>398</v>
      </c>
    </row>
    <row r="79">
      <c r="A79" s="0" t="s">
        <v>448</v>
      </c>
      <c r="B79" s="0" t="s">
        <v>449</v>
      </c>
    </row>
    <row r="80">
      <c r="A80" s="0" t="s">
        <v>450</v>
      </c>
      <c r="B80" s="0" t="s">
        <v>451</v>
      </c>
    </row>
    <row r="81">
      <c r="A81" s="0" t="s">
        <v>452</v>
      </c>
      <c r="B81" s="0" t="s">
        <v>374</v>
      </c>
      <c r="C81" s="0" t="s">
        <v>438</v>
      </c>
    </row>
    <row r="82">
      <c r="A82" s="0" t="s">
        <v>252</v>
      </c>
      <c r="B82" s="0" t="s">
        <v>371</v>
      </c>
      <c r="C82" s="0" t="s">
        <v>355</v>
      </c>
      <c r="D82" s="0" t="s">
        <v>371</v>
      </c>
    </row>
    <row r="83">
      <c r="A83" s="0" t="s">
        <v>453</v>
      </c>
      <c r="B83" s="0" t="s">
        <v>398</v>
      </c>
      <c r="C83" s="0" t="s">
        <v>371</v>
      </c>
      <c r="D83" s="0" t="s">
        <v>371</v>
      </c>
    </row>
    <row r="84">
      <c r="A84" s="0" t="s">
        <v>253</v>
      </c>
      <c r="B84" s="0" t="s">
        <v>355</v>
      </c>
      <c r="C84" s="0" t="s">
        <v>371</v>
      </c>
      <c r="D84" s="0" t="s">
        <v>371</v>
      </c>
    </row>
    <row r="85">
      <c r="A85" s="0" t="s">
        <v>254</v>
      </c>
      <c r="B85" s="0" t="s">
        <v>355</v>
      </c>
      <c r="C85" s="0" t="s">
        <v>371</v>
      </c>
      <c r="D85" s="0" t="s">
        <v>371</v>
      </c>
    </row>
    <row r="86">
      <c r="A86" s="0" t="s">
        <v>255</v>
      </c>
      <c r="B86" s="0" t="s">
        <v>371</v>
      </c>
      <c r="C86" s="0" t="s">
        <v>371</v>
      </c>
      <c r="D86" s="0" t="s">
        <v>355</v>
      </c>
    </row>
    <row r="87">
      <c r="A87" s="0" t="s">
        <v>454</v>
      </c>
      <c r="B87" s="0" t="s">
        <v>398</v>
      </c>
    </row>
    <row r="88">
      <c r="A88" s="0" t="s">
        <v>455</v>
      </c>
      <c r="B88" s="0" t="s">
        <v>398</v>
      </c>
    </row>
    <row r="89">
      <c r="A89" s="0" t="s">
        <v>256</v>
      </c>
      <c r="B89" s="0" t="s">
        <v>355</v>
      </c>
    </row>
    <row r="90">
      <c r="A90" s="0" t="s">
        <v>257</v>
      </c>
      <c r="B90" s="0" t="s">
        <v>355</v>
      </c>
    </row>
    <row r="91">
      <c r="A91" s="0" t="s">
        <v>456</v>
      </c>
      <c r="B91" s="0" t="s">
        <v>355</v>
      </c>
    </row>
    <row r="92">
      <c r="A92" s="0" t="s">
        <v>258</v>
      </c>
      <c r="B92" s="0" t="s">
        <v>355</v>
      </c>
    </row>
    <row r="93">
      <c r="A93" s="0" t="s">
        <v>457</v>
      </c>
      <c r="B93" s="0" t="s">
        <v>360</v>
      </c>
    </row>
    <row r="94">
      <c r="A94" s="0" t="s">
        <v>458</v>
      </c>
      <c r="B94" s="0" t="s">
        <v>371</v>
      </c>
    </row>
    <row r="95">
      <c r="A95" s="0" t="s">
        <v>459</v>
      </c>
      <c r="B95" s="0" t="s">
        <v>360</v>
      </c>
    </row>
    <row r="96">
      <c r="A96" s="0" t="s">
        <v>460</v>
      </c>
      <c r="B96" s="0" t="s">
        <v>461</v>
      </c>
    </row>
    <row r="97">
      <c r="A97" s="0" t="s">
        <v>462</v>
      </c>
      <c r="B97" s="0" t="s">
        <v>398</v>
      </c>
    </row>
    <row r="98">
      <c r="A98" s="0" t="s">
        <v>259</v>
      </c>
      <c r="B98" s="0" t="s">
        <v>355</v>
      </c>
    </row>
    <row r="99">
      <c r="A99" s="0" t="s">
        <v>463</v>
      </c>
      <c r="B99" s="0" t="s">
        <v>464</v>
      </c>
    </row>
    <row r="100">
      <c r="A100" s="0" t="s">
        <v>465</v>
      </c>
      <c r="B100" s="0" t="s">
        <v>371</v>
      </c>
      <c r="C100" s="0" t="s">
        <v>398</v>
      </c>
      <c r="D100" s="0" t="s">
        <v>371</v>
      </c>
    </row>
    <row r="101">
      <c r="A101" s="0" t="s">
        <v>466</v>
      </c>
      <c r="B101" s="0" t="s">
        <v>407</v>
      </c>
    </row>
    <row r="102">
      <c r="A102" s="0" t="s">
        <v>467</v>
      </c>
      <c r="B102" s="0" t="s">
        <v>407</v>
      </c>
      <c r="C102" s="0" t="s">
        <v>407</v>
      </c>
    </row>
    <row r="103">
      <c r="A103" s="0" t="s">
        <v>260</v>
      </c>
      <c r="B103" s="0" t="s">
        <v>407</v>
      </c>
      <c r="C103" s="0" t="s">
        <v>407</v>
      </c>
    </row>
    <row r="104">
      <c r="A104" s="0" t="s">
        <v>468</v>
      </c>
      <c r="B104" s="0" t="s">
        <v>369</v>
      </c>
      <c r="C104" s="0" t="s">
        <v>369</v>
      </c>
    </row>
    <row r="105">
      <c r="A105" s="0" t="s">
        <v>261</v>
      </c>
      <c r="B105" s="0" t="s">
        <v>355</v>
      </c>
    </row>
    <row r="106">
      <c r="A106" s="0" t="s">
        <v>469</v>
      </c>
      <c r="B106" s="0" t="s">
        <v>54</v>
      </c>
      <c r="C106" s="0" t="s">
        <v>54</v>
      </c>
    </row>
    <row r="107">
      <c r="A107" s="0" t="s">
        <v>470</v>
      </c>
      <c r="B107" s="0" t="s">
        <v>471</v>
      </c>
    </row>
    <row r="108">
      <c r="A108" s="0" t="s">
        <v>472</v>
      </c>
      <c r="B108" s="0" t="s">
        <v>369</v>
      </c>
      <c r="C108" s="0" t="s">
        <v>355</v>
      </c>
    </row>
    <row r="109">
      <c r="A109" s="0" t="s">
        <v>473</v>
      </c>
      <c r="B109" s="0" t="s">
        <v>369</v>
      </c>
      <c r="C109" s="0" t="s">
        <v>355</v>
      </c>
    </row>
    <row r="110">
      <c r="A110" s="0" t="s">
        <v>262</v>
      </c>
      <c r="B110" s="0" t="s">
        <v>363</v>
      </c>
      <c r="C110" s="0" t="s">
        <v>369</v>
      </c>
    </row>
    <row r="111">
      <c r="A111" s="0" t="s">
        <v>474</v>
      </c>
      <c r="B111" s="0" t="s">
        <v>430</v>
      </c>
    </row>
    <row r="112">
      <c r="A112" s="0" t="s">
        <v>475</v>
      </c>
      <c r="B112" s="0" t="s">
        <v>369</v>
      </c>
    </row>
    <row r="113">
      <c r="A113" s="0" t="s">
        <v>476</v>
      </c>
      <c r="B113" s="0" t="s">
        <v>369</v>
      </c>
      <c r="C113" s="0" t="s">
        <v>369</v>
      </c>
    </row>
    <row r="114">
      <c r="A114" s="0" t="s">
        <v>477</v>
      </c>
      <c r="B114" s="0" t="s">
        <v>369</v>
      </c>
      <c r="C114" s="0" t="s">
        <v>369</v>
      </c>
      <c r="D114" s="0" t="s">
        <v>355</v>
      </c>
    </row>
    <row r="115">
      <c r="A115" s="0" t="s">
        <v>263</v>
      </c>
      <c r="B115" s="0" t="s">
        <v>363</v>
      </c>
      <c r="C115" s="0" t="s">
        <v>369</v>
      </c>
      <c r="D115" s="0" t="s">
        <v>369</v>
      </c>
    </row>
    <row r="116">
      <c r="A116" s="0" t="s">
        <v>478</v>
      </c>
      <c r="B116" s="0" t="s">
        <v>369</v>
      </c>
      <c r="C116" s="0" t="s">
        <v>369</v>
      </c>
      <c r="D116" s="0" t="s">
        <v>355</v>
      </c>
    </row>
    <row r="117">
      <c r="A117" s="0" t="s">
        <v>264</v>
      </c>
      <c r="B117" s="0" t="s">
        <v>363</v>
      </c>
      <c r="C117" s="0" t="s">
        <v>369</v>
      </c>
      <c r="D117" s="0" t="s">
        <v>369</v>
      </c>
    </row>
    <row r="118">
      <c r="A118" s="0" t="s">
        <v>479</v>
      </c>
      <c r="B118" s="0" t="s">
        <v>464</v>
      </c>
    </row>
    <row r="119">
      <c r="A119" s="0" t="s">
        <v>480</v>
      </c>
      <c r="B119" s="0" t="s">
        <v>481</v>
      </c>
    </row>
    <row r="120">
      <c r="A120" s="0" t="s">
        <v>482</v>
      </c>
      <c r="B120" s="0" t="s">
        <v>369</v>
      </c>
    </row>
    <row r="121">
      <c r="A121" s="0" t="s">
        <v>483</v>
      </c>
      <c r="B121" s="0" t="s">
        <v>363</v>
      </c>
      <c r="C121" s="0" t="s">
        <v>54</v>
      </c>
    </row>
    <row r="122">
      <c r="A122" s="0" t="s">
        <v>484</v>
      </c>
      <c r="B122" s="0" t="s">
        <v>371</v>
      </c>
      <c r="C122" s="0" t="s">
        <v>355</v>
      </c>
      <c r="D122" s="0" t="s">
        <v>371</v>
      </c>
      <c r="E122" s="0" t="s">
        <v>355</v>
      </c>
    </row>
    <row r="123">
      <c r="A123" s="0" t="s">
        <v>485</v>
      </c>
      <c r="B123" s="0" t="s">
        <v>371</v>
      </c>
      <c r="C123" s="0" t="s">
        <v>355</v>
      </c>
      <c r="D123" s="0" t="s">
        <v>371</v>
      </c>
      <c r="E123" s="0" t="s">
        <v>355</v>
      </c>
    </row>
    <row r="124">
      <c r="A124" s="0" t="s">
        <v>486</v>
      </c>
      <c r="B124" s="0" t="s">
        <v>464</v>
      </c>
    </row>
    <row r="125">
      <c r="A125" s="0" t="s">
        <v>487</v>
      </c>
      <c r="B125" s="0" t="s">
        <v>464</v>
      </c>
    </row>
    <row r="126">
      <c r="A126" s="0" t="s">
        <v>488</v>
      </c>
      <c r="B126" s="0" t="s">
        <v>489</v>
      </c>
      <c r="C126" s="0" t="s">
        <v>54</v>
      </c>
      <c r="D126" s="0" t="s">
        <v>54</v>
      </c>
    </row>
    <row r="127">
      <c r="A127" s="0" t="s">
        <v>490</v>
      </c>
      <c r="B127" s="0" t="s">
        <v>363</v>
      </c>
      <c r="C127" s="0" t="s">
        <v>54</v>
      </c>
      <c r="D127" s="0" t="s">
        <v>54</v>
      </c>
    </row>
    <row r="128">
      <c r="A128" s="0" t="s">
        <v>265</v>
      </c>
      <c r="B128" s="0" t="s">
        <v>363</v>
      </c>
      <c r="C128" s="0" t="s">
        <v>369</v>
      </c>
      <c r="D128" s="0" t="s">
        <v>369</v>
      </c>
      <c r="E128" s="0" t="s">
        <v>369</v>
      </c>
      <c r="F128" s="0" t="s">
        <v>369</v>
      </c>
    </row>
    <row r="129">
      <c r="A129" s="0" t="s">
        <v>491</v>
      </c>
      <c r="B129" s="0" t="s">
        <v>492</v>
      </c>
      <c r="C129" s="0" t="s">
        <v>359</v>
      </c>
      <c r="D129" s="0" t="s">
        <v>369</v>
      </c>
      <c r="E129" s="0" t="s">
        <v>369</v>
      </c>
      <c r="F129" s="0" t="s">
        <v>369</v>
      </c>
      <c r="G129" s="0" t="s">
        <v>369</v>
      </c>
    </row>
    <row r="130">
      <c r="A130" s="0" t="s">
        <v>493</v>
      </c>
      <c r="B130" s="0" t="s">
        <v>363</v>
      </c>
      <c r="C130" s="0" t="s">
        <v>363</v>
      </c>
    </row>
    <row r="131">
      <c r="A131" s="0" t="s">
        <v>494</v>
      </c>
      <c r="B131" s="0" t="s">
        <v>495</v>
      </c>
      <c r="C131" s="0" t="s">
        <v>495</v>
      </c>
      <c r="D131" s="0" t="s">
        <v>54</v>
      </c>
      <c r="E131" s="0" t="s">
        <v>54</v>
      </c>
    </row>
    <row r="132">
      <c r="A132" s="0" t="s">
        <v>496</v>
      </c>
      <c r="B132" s="0" t="s">
        <v>54</v>
      </c>
      <c r="C132" s="0" t="s">
        <v>54</v>
      </c>
      <c r="D132" s="0" t="s">
        <v>363</v>
      </c>
      <c r="E132" s="0" t="s">
        <v>363</v>
      </c>
      <c r="F132" s="0" t="s">
        <v>54</v>
      </c>
      <c r="G132" s="0" t="s">
        <v>54</v>
      </c>
    </row>
    <row r="133">
      <c r="A133" s="0" t="s">
        <v>497</v>
      </c>
      <c r="B133" s="0" t="s">
        <v>363</v>
      </c>
      <c r="C133" s="0" t="s">
        <v>363</v>
      </c>
      <c r="D133" s="0" t="s">
        <v>54</v>
      </c>
      <c r="E133" s="0" t="s">
        <v>54</v>
      </c>
      <c r="F133" s="0" t="s">
        <v>54</v>
      </c>
      <c r="G133" s="0" t="s">
        <v>54</v>
      </c>
    </row>
    <row r="134">
      <c r="A134" s="0" t="s">
        <v>498</v>
      </c>
      <c r="B134" s="0" t="s">
        <v>363</v>
      </c>
      <c r="C134" s="0" t="s">
        <v>54</v>
      </c>
      <c r="D134" s="0" t="s">
        <v>54</v>
      </c>
      <c r="E134" s="0" t="s">
        <v>54</v>
      </c>
    </row>
    <row r="135">
      <c r="A135" s="0" t="s">
        <v>499</v>
      </c>
      <c r="B135" s="0" t="s">
        <v>363</v>
      </c>
      <c r="C135" s="0" t="s">
        <v>54</v>
      </c>
      <c r="D135" s="0" t="s">
        <v>54</v>
      </c>
      <c r="E135" s="0" t="s">
        <v>54</v>
      </c>
      <c r="F135" s="0" t="s">
        <v>54</v>
      </c>
    </row>
    <row r="136">
      <c r="A136" s="0" t="s">
        <v>500</v>
      </c>
      <c r="B136" s="0" t="s">
        <v>492</v>
      </c>
      <c r="C136" s="0" t="s">
        <v>359</v>
      </c>
      <c r="D136" s="0" t="s">
        <v>501</v>
      </c>
      <c r="E136" s="0" t="s">
        <v>501</v>
      </c>
      <c r="F136" s="0" t="s">
        <v>501</v>
      </c>
      <c r="G136" s="0" t="s">
        <v>501</v>
      </c>
    </row>
    <row r="137">
      <c r="A137" s="0" t="s">
        <v>502</v>
      </c>
      <c r="B137" s="0" t="s">
        <v>363</v>
      </c>
      <c r="C137" s="0" t="s">
        <v>363</v>
      </c>
      <c r="D137" s="0" t="s">
        <v>365</v>
      </c>
      <c r="E137" s="0" t="s">
        <v>365</v>
      </c>
    </row>
    <row r="138">
      <c r="A138" s="0" t="s">
        <v>503</v>
      </c>
      <c r="B138" s="0" t="s">
        <v>495</v>
      </c>
      <c r="C138" s="0" t="s">
        <v>495</v>
      </c>
      <c r="D138" s="0" t="s">
        <v>365</v>
      </c>
      <c r="E138" s="0" t="s">
        <v>365</v>
      </c>
    </row>
    <row r="139">
      <c r="A139" s="0" t="s">
        <v>504</v>
      </c>
      <c r="B139" s="0" t="s">
        <v>363</v>
      </c>
      <c r="C139" s="0" t="s">
        <v>363</v>
      </c>
      <c r="D139" s="0" t="s">
        <v>54</v>
      </c>
      <c r="E139" s="0" t="s">
        <v>54</v>
      </c>
      <c r="F139" s="0" t="s">
        <v>54</v>
      </c>
      <c r="G139" s="0" t="s">
        <v>54</v>
      </c>
    </row>
    <row r="140">
      <c r="A140" s="0" t="s">
        <v>505</v>
      </c>
      <c r="B140" s="0" t="s">
        <v>363</v>
      </c>
      <c r="C140" s="0" t="s">
        <v>363</v>
      </c>
      <c r="D140" s="0" t="s">
        <v>365</v>
      </c>
      <c r="E140" s="0" t="s">
        <v>54</v>
      </c>
      <c r="F140" s="0" t="s">
        <v>365</v>
      </c>
      <c r="G140" s="0" t="s">
        <v>54</v>
      </c>
    </row>
    <row r="141">
      <c r="A141" s="0" t="s">
        <v>266</v>
      </c>
      <c r="B141" s="0" t="s">
        <v>55</v>
      </c>
      <c r="C141" s="0" t="s">
        <v>54</v>
      </c>
      <c r="D141" s="0" t="s">
        <v>54</v>
      </c>
      <c r="E141" s="0" t="s">
        <v>54</v>
      </c>
      <c r="F141" s="0" t="s">
        <v>54</v>
      </c>
      <c r="G141" s="0" t="s">
        <v>506</v>
      </c>
    </row>
    <row r="142">
      <c r="A142" s="0" t="s">
        <v>267</v>
      </c>
      <c r="B142" s="0" t="s">
        <v>55</v>
      </c>
      <c r="C142" s="0" t="s">
        <v>54</v>
      </c>
      <c r="D142" s="0" t="s">
        <v>54</v>
      </c>
      <c r="E142" s="0" t="s">
        <v>54</v>
      </c>
      <c r="F142" s="0" t="s">
        <v>54</v>
      </c>
      <c r="G142" s="0" t="s">
        <v>506</v>
      </c>
    </row>
    <row r="143">
      <c r="A143" s="0" t="s">
        <v>507</v>
      </c>
      <c r="B143" s="0" t="s">
        <v>55</v>
      </c>
      <c r="C143" s="0" t="s">
        <v>55</v>
      </c>
      <c r="D143" s="0" t="s">
        <v>54</v>
      </c>
      <c r="E143" s="0" t="s">
        <v>365</v>
      </c>
      <c r="F143" s="0" t="s">
        <v>365</v>
      </c>
      <c r="G143" s="0" t="s">
        <v>54</v>
      </c>
      <c r="H143" s="0" t="s">
        <v>508</v>
      </c>
    </row>
    <row r="144">
      <c r="A144" s="0" t="s">
        <v>509</v>
      </c>
      <c r="B144" s="0" t="s">
        <v>55</v>
      </c>
      <c r="C144" s="0" t="s">
        <v>55</v>
      </c>
      <c r="D144" s="0" t="s">
        <v>54</v>
      </c>
      <c r="E144" s="0" t="s">
        <v>365</v>
      </c>
      <c r="F144" s="0" t="s">
        <v>365</v>
      </c>
      <c r="G144" s="0" t="s">
        <v>54</v>
      </c>
      <c r="H144" s="0" t="s">
        <v>508</v>
      </c>
    </row>
    <row r="145">
      <c r="A145" s="0" t="s">
        <v>268</v>
      </c>
      <c r="B145" s="0" t="s">
        <v>360</v>
      </c>
    </row>
    <row r="146">
      <c r="A146" s="0" t="s">
        <v>510</v>
      </c>
      <c r="B146" s="0" t="s">
        <v>369</v>
      </c>
    </row>
    <row r="147">
      <c r="A147" s="0" t="s">
        <v>511</v>
      </c>
      <c r="B147" s="0" t="s">
        <v>55</v>
      </c>
    </row>
    <row r="148">
      <c r="A148" s="0" t="s">
        <v>512</v>
      </c>
      <c r="B148" s="0" t="s">
        <v>55</v>
      </c>
    </row>
    <row r="149">
      <c r="A149" s="0" t="s">
        <v>173</v>
      </c>
      <c r="B149" s="0" t="s">
        <v>513</v>
      </c>
    </row>
    <row r="150">
      <c r="A150" s="0" t="s">
        <v>269</v>
      </c>
      <c r="B150" s="0" t="s">
        <v>514</v>
      </c>
    </row>
    <row r="151">
      <c r="A151" s="0" t="s">
        <v>163</v>
      </c>
      <c r="B151" s="0" t="s">
        <v>515</v>
      </c>
    </row>
    <row r="152">
      <c r="A152" s="0" t="s">
        <v>270</v>
      </c>
      <c r="B152" s="0" t="s">
        <v>514</v>
      </c>
    </row>
    <row r="153">
      <c r="A153" s="0" t="s">
        <v>271</v>
      </c>
      <c r="B153" s="0" t="s">
        <v>516</v>
      </c>
    </row>
    <row r="154">
      <c r="A154" s="0" t="s">
        <v>517</v>
      </c>
      <c r="B154" s="0" t="s">
        <v>363</v>
      </c>
      <c r="C154" s="0" t="s">
        <v>369</v>
      </c>
    </row>
    <row r="155">
      <c r="A155" s="0" t="s">
        <v>272</v>
      </c>
      <c r="B155" s="0" t="s">
        <v>371</v>
      </c>
      <c r="C155" s="0" t="s">
        <v>355</v>
      </c>
    </row>
    <row r="156">
      <c r="A156" s="0" t="s">
        <v>273</v>
      </c>
      <c r="B156" s="0" t="s">
        <v>55</v>
      </c>
      <c r="C156" s="0" t="s">
        <v>55</v>
      </c>
    </row>
    <row r="157">
      <c r="A157" s="0" t="s">
        <v>274</v>
      </c>
      <c r="B157" s="0" t="s">
        <v>55</v>
      </c>
      <c r="C157" s="0" t="s">
        <v>369</v>
      </c>
    </row>
    <row r="158">
      <c r="A158" s="0" t="s">
        <v>275</v>
      </c>
      <c r="B158" s="0" t="s">
        <v>55</v>
      </c>
      <c r="C158" s="0" t="s">
        <v>369</v>
      </c>
    </row>
    <row r="159">
      <c r="A159" s="0" t="s">
        <v>276</v>
      </c>
      <c r="B159" s="0" t="s">
        <v>54</v>
      </c>
      <c r="C159" s="0" t="s">
        <v>54</v>
      </c>
    </row>
    <row r="160">
      <c r="A160" s="0" t="s">
        <v>277</v>
      </c>
      <c r="B160" s="0" t="s">
        <v>55</v>
      </c>
      <c r="C160" s="0" t="s">
        <v>55</v>
      </c>
      <c r="D160" s="0" t="s">
        <v>54</v>
      </c>
      <c r="E160" s="0" t="s">
        <v>54</v>
      </c>
      <c r="F160" s="0" t="s">
        <v>54</v>
      </c>
      <c r="G160" s="0" t="s">
        <v>54</v>
      </c>
    </row>
    <row r="161">
      <c r="A161" s="0" t="s">
        <v>278</v>
      </c>
      <c r="B161" s="0" t="s">
        <v>359</v>
      </c>
      <c r="C161" s="0" t="s">
        <v>518</v>
      </c>
      <c r="D161" s="0" t="s">
        <v>54</v>
      </c>
      <c r="E161" s="0" t="s">
        <v>365</v>
      </c>
      <c r="F161" s="0" t="s">
        <v>54</v>
      </c>
      <c r="G161" s="0" t="s">
        <v>55</v>
      </c>
      <c r="H161" s="0" t="s">
        <v>54</v>
      </c>
      <c r="I161" s="0" t="s">
        <v>54</v>
      </c>
    </row>
    <row r="162">
      <c r="A162" s="0" t="s">
        <v>519</v>
      </c>
      <c r="B162" s="0" t="s">
        <v>55</v>
      </c>
      <c r="C162" s="0" t="s">
        <v>55</v>
      </c>
      <c r="D162" s="0" t="s">
        <v>54</v>
      </c>
      <c r="E162" s="0" t="s">
        <v>54</v>
      </c>
      <c r="F162" s="0" t="s">
        <v>365</v>
      </c>
      <c r="G162" s="0" t="s">
        <v>365</v>
      </c>
      <c r="H162" s="0" t="s">
        <v>54</v>
      </c>
      <c r="I162" s="0" t="s">
        <v>54</v>
      </c>
    </row>
    <row r="163">
      <c r="A163" s="0" t="s">
        <v>279</v>
      </c>
      <c r="B163" s="0" t="s">
        <v>54</v>
      </c>
      <c r="C163" s="0" t="s">
        <v>54</v>
      </c>
      <c r="D163" s="0" t="s">
        <v>55</v>
      </c>
      <c r="E163" s="0" t="s">
        <v>54</v>
      </c>
      <c r="F163" s="0" t="s">
        <v>54</v>
      </c>
    </row>
    <row r="164">
      <c r="A164" s="0" t="s">
        <v>520</v>
      </c>
      <c r="B164" s="0" t="s">
        <v>55</v>
      </c>
      <c r="C164" s="0" t="s">
        <v>55</v>
      </c>
      <c r="D164" s="0" t="s">
        <v>54</v>
      </c>
      <c r="E164" s="0" t="s">
        <v>54</v>
      </c>
    </row>
    <row r="165">
      <c r="A165" s="0" t="s">
        <v>280</v>
      </c>
      <c r="B165" s="0" t="s">
        <v>55</v>
      </c>
      <c r="C165" s="0" t="s">
        <v>55</v>
      </c>
      <c r="D165" s="0" t="s">
        <v>54</v>
      </c>
      <c r="E165" s="0" t="s">
        <v>54</v>
      </c>
    </row>
    <row r="166">
      <c r="A166" s="0" t="s">
        <v>281</v>
      </c>
      <c r="B166" s="0" t="s">
        <v>55</v>
      </c>
      <c r="C166" s="0" t="s">
        <v>55</v>
      </c>
      <c r="D166" s="0" t="s">
        <v>54</v>
      </c>
      <c r="E166" s="0" t="s">
        <v>54</v>
      </c>
    </row>
    <row r="167">
      <c r="A167" s="0" t="s">
        <v>282</v>
      </c>
      <c r="B167" s="0" t="s">
        <v>54</v>
      </c>
      <c r="C167" s="0" t="s">
        <v>55</v>
      </c>
      <c r="D167" s="0" t="s">
        <v>55</v>
      </c>
      <c r="E167" s="0" t="s">
        <v>54</v>
      </c>
    </row>
    <row r="168">
      <c r="A168" s="0" t="s">
        <v>283</v>
      </c>
      <c r="B168" s="0" t="s">
        <v>54</v>
      </c>
      <c r="C168" s="0" t="s">
        <v>55</v>
      </c>
      <c r="D168" s="0" t="s">
        <v>55</v>
      </c>
      <c r="E168" s="0" t="s">
        <v>54</v>
      </c>
    </row>
    <row r="169">
      <c r="A169" s="0" t="s">
        <v>284</v>
      </c>
      <c r="B169" s="0" t="s">
        <v>55</v>
      </c>
      <c r="C169" s="0" t="s">
        <v>55</v>
      </c>
      <c r="D169" s="0" t="s">
        <v>54</v>
      </c>
      <c r="E169" s="0" t="s">
        <v>54</v>
      </c>
    </row>
    <row r="170">
      <c r="A170" s="0" t="s">
        <v>285</v>
      </c>
      <c r="B170" s="0" t="s">
        <v>521</v>
      </c>
      <c r="C170" s="0" t="s">
        <v>359</v>
      </c>
      <c r="D170" s="0" t="s">
        <v>369</v>
      </c>
      <c r="E170" s="0" t="s">
        <v>369</v>
      </c>
    </row>
    <row r="171">
      <c r="A171" s="0" t="s">
        <v>522</v>
      </c>
      <c r="B171" s="0" t="s">
        <v>55</v>
      </c>
      <c r="C171" s="0" t="s">
        <v>55</v>
      </c>
      <c r="D171" s="0" t="s">
        <v>365</v>
      </c>
      <c r="E171" s="0" t="s">
        <v>365</v>
      </c>
    </row>
    <row r="172">
      <c r="A172" s="0" t="s">
        <v>286</v>
      </c>
      <c r="B172" s="0" t="s">
        <v>55</v>
      </c>
      <c r="C172" s="0" t="s">
        <v>54</v>
      </c>
      <c r="D172" s="0" t="s">
        <v>54</v>
      </c>
      <c r="E172" s="0" t="s">
        <v>54</v>
      </c>
    </row>
    <row r="173">
      <c r="A173" s="0" t="s">
        <v>287</v>
      </c>
      <c r="B173" s="0" t="s">
        <v>54</v>
      </c>
      <c r="C173" s="0" t="s">
        <v>54</v>
      </c>
      <c r="D173" s="0" t="s">
        <v>55</v>
      </c>
      <c r="E173" s="0" t="s">
        <v>54</v>
      </c>
      <c r="F173" s="0" t="s">
        <v>54</v>
      </c>
      <c r="G173" s="0" t="s">
        <v>523</v>
      </c>
    </row>
    <row r="174">
      <c r="A174" s="0" t="s">
        <v>288</v>
      </c>
      <c r="B174" s="0" t="s">
        <v>55</v>
      </c>
      <c r="C174" s="0" t="s">
        <v>55</v>
      </c>
      <c r="D174" s="0" t="s">
        <v>54</v>
      </c>
      <c r="E174" s="0" t="s">
        <v>54</v>
      </c>
      <c r="F174" s="0" t="s">
        <v>54</v>
      </c>
      <c r="G174" s="0" t="s">
        <v>54</v>
      </c>
    </row>
    <row r="175">
      <c r="A175" s="0" t="s">
        <v>289</v>
      </c>
      <c r="B175" s="0" t="s">
        <v>54</v>
      </c>
      <c r="C175" s="0" t="s">
        <v>54</v>
      </c>
      <c r="D175" s="0" t="s">
        <v>55</v>
      </c>
      <c r="E175" s="0" t="s">
        <v>54</v>
      </c>
      <c r="F175" s="0" t="s">
        <v>54</v>
      </c>
      <c r="G175" s="0" t="s">
        <v>55</v>
      </c>
    </row>
    <row r="176">
      <c r="A176" s="0" t="s">
        <v>290</v>
      </c>
      <c r="B176" s="0" t="s">
        <v>55</v>
      </c>
      <c r="C176" s="0" t="s">
        <v>55</v>
      </c>
      <c r="D176" s="0" t="s">
        <v>54</v>
      </c>
      <c r="E176" s="0" t="s">
        <v>54</v>
      </c>
      <c r="F176" s="0" t="s">
        <v>54</v>
      </c>
      <c r="G176" s="0" t="s">
        <v>54</v>
      </c>
    </row>
    <row r="177">
      <c r="A177" s="0" t="s">
        <v>291</v>
      </c>
      <c r="B177" s="0" t="s">
        <v>55</v>
      </c>
      <c r="C177" s="0" t="s">
        <v>55</v>
      </c>
      <c r="D177" s="0" t="s">
        <v>54</v>
      </c>
      <c r="E177" s="0" t="s">
        <v>54</v>
      </c>
      <c r="F177" s="0" t="s">
        <v>54</v>
      </c>
      <c r="G177" s="0" t="s">
        <v>54</v>
      </c>
    </row>
    <row r="178">
      <c r="A178" s="0" t="s">
        <v>292</v>
      </c>
      <c r="B178" s="0" t="s">
        <v>524</v>
      </c>
      <c r="C178" s="0" t="s">
        <v>525</v>
      </c>
      <c r="D178" s="0" t="s">
        <v>518</v>
      </c>
      <c r="E178" s="0" t="s">
        <v>54</v>
      </c>
      <c r="F178" s="0" t="s">
        <v>365</v>
      </c>
      <c r="G178" s="0" t="s">
        <v>359</v>
      </c>
    </row>
    <row r="179">
      <c r="A179" s="0" t="s">
        <v>293</v>
      </c>
      <c r="B179" s="0" t="s">
        <v>524</v>
      </c>
      <c r="C179" s="0" t="s">
        <v>525</v>
      </c>
      <c r="D179" s="0" t="s">
        <v>518</v>
      </c>
      <c r="E179" s="0" t="s">
        <v>54</v>
      </c>
      <c r="F179" s="0" t="s">
        <v>365</v>
      </c>
      <c r="G179" s="0" t="s">
        <v>359</v>
      </c>
    </row>
    <row r="180">
      <c r="A180" s="0" t="s">
        <v>294</v>
      </c>
      <c r="B180" s="0" t="s">
        <v>55</v>
      </c>
      <c r="C180" s="0" t="s">
        <v>55</v>
      </c>
      <c r="D180" s="0" t="s">
        <v>365</v>
      </c>
      <c r="E180" s="0" t="s">
        <v>365</v>
      </c>
      <c r="F180" s="0" t="s">
        <v>54</v>
      </c>
      <c r="G180" s="0" t="s">
        <v>54</v>
      </c>
    </row>
    <row r="181">
      <c r="A181" s="0" t="s">
        <v>526</v>
      </c>
      <c r="B181" s="0" t="s">
        <v>55</v>
      </c>
      <c r="C181" s="0" t="s">
        <v>55</v>
      </c>
      <c r="D181" s="0" t="s">
        <v>365</v>
      </c>
      <c r="E181" s="0" t="s">
        <v>54</v>
      </c>
      <c r="F181" s="0" t="s">
        <v>54</v>
      </c>
      <c r="G181" s="0" t="s">
        <v>365</v>
      </c>
    </row>
    <row r="182">
      <c r="A182" s="0" t="s">
        <v>295</v>
      </c>
      <c r="B182" s="0" t="s">
        <v>55</v>
      </c>
      <c r="C182" s="0" t="s">
        <v>365</v>
      </c>
      <c r="D182" s="0" t="s">
        <v>54</v>
      </c>
      <c r="E182" s="0" t="s">
        <v>54</v>
      </c>
      <c r="F182" s="0" t="s">
        <v>365</v>
      </c>
      <c r="G182" s="0" t="s">
        <v>55</v>
      </c>
    </row>
    <row r="183">
      <c r="A183" s="0" t="s">
        <v>296</v>
      </c>
      <c r="B183" s="0" t="s">
        <v>374</v>
      </c>
    </row>
    <row r="184">
      <c r="A184" s="0" t="s">
        <v>527</v>
      </c>
      <c r="B184" s="0" t="s">
        <v>506</v>
      </c>
      <c r="C184" s="0" t="s">
        <v>506</v>
      </c>
      <c r="D184" s="0" t="s">
        <v>506</v>
      </c>
      <c r="E184" s="0" t="s">
        <v>506</v>
      </c>
    </row>
    <row r="185">
      <c r="A185" s="0" t="s">
        <v>528</v>
      </c>
      <c r="B185" s="0" t="s">
        <v>55</v>
      </c>
      <c r="C185" s="0" t="s">
        <v>369</v>
      </c>
      <c r="D185" s="0" t="s">
        <v>369</v>
      </c>
    </row>
    <row r="186">
      <c r="A186" s="0" t="s">
        <v>297</v>
      </c>
      <c r="B186" s="0" t="s">
        <v>54</v>
      </c>
      <c r="C186" s="0" t="s">
        <v>55</v>
      </c>
      <c r="D186" s="0" t="s">
        <v>54</v>
      </c>
    </row>
    <row r="187">
      <c r="A187" s="0" t="s">
        <v>49</v>
      </c>
      <c r="B187" s="0" t="s">
        <v>54</v>
      </c>
      <c r="C187" s="0" t="s">
        <v>55</v>
      </c>
      <c r="D187" s="0" t="s">
        <v>54</v>
      </c>
    </row>
    <row r="188">
      <c r="A188" s="0" t="s">
        <v>298</v>
      </c>
      <c r="B188" s="0" t="s">
        <v>55</v>
      </c>
      <c r="C188" s="0" t="s">
        <v>369</v>
      </c>
      <c r="D188" s="0" t="s">
        <v>369</v>
      </c>
    </row>
    <row r="189">
      <c r="A189" s="0" t="s">
        <v>299</v>
      </c>
      <c r="B189" s="0" t="s">
        <v>54</v>
      </c>
      <c r="C189" s="0" t="s">
        <v>55</v>
      </c>
      <c r="D189" s="0" t="s">
        <v>54</v>
      </c>
    </row>
    <row r="190">
      <c r="A190" s="0" t="s">
        <v>529</v>
      </c>
      <c r="B190" s="0" t="s">
        <v>55</v>
      </c>
      <c r="C190" s="0" t="s">
        <v>54</v>
      </c>
      <c r="D190" s="0" t="s">
        <v>54</v>
      </c>
    </row>
    <row r="191">
      <c r="A191" s="0" t="s">
        <v>300</v>
      </c>
      <c r="B191" s="0" t="s">
        <v>530</v>
      </c>
    </row>
    <row r="192">
      <c r="A192" s="0" t="s">
        <v>301</v>
      </c>
      <c r="B192" s="0" t="s">
        <v>380</v>
      </c>
      <c r="C192" s="0" t="s">
        <v>438</v>
      </c>
    </row>
    <row r="193">
      <c r="A193" s="0" t="s">
        <v>531</v>
      </c>
      <c r="B193" s="0" t="s">
        <v>380</v>
      </c>
      <c r="C193" s="0" t="s">
        <v>438</v>
      </c>
      <c r="D193" s="0" t="s">
        <v>54</v>
      </c>
    </row>
    <row r="194">
      <c r="A194" s="0" t="s">
        <v>302</v>
      </c>
      <c r="B194" s="0" t="s">
        <v>532</v>
      </c>
    </row>
    <row r="195">
      <c r="A195" s="0" t="s">
        <v>303</v>
      </c>
      <c r="B195" s="0" t="s">
        <v>360</v>
      </c>
    </row>
    <row r="196">
      <c r="A196" s="0" t="s">
        <v>304</v>
      </c>
      <c r="B196" s="0" t="s">
        <v>371</v>
      </c>
      <c r="C196" s="0" t="s">
        <v>371</v>
      </c>
    </row>
    <row r="197">
      <c r="A197" s="0" t="s">
        <v>305</v>
      </c>
      <c r="B197" s="0" t="s">
        <v>371</v>
      </c>
      <c r="C197" s="0" t="s">
        <v>371</v>
      </c>
    </row>
    <row r="198">
      <c r="A198" s="0" t="s">
        <v>306</v>
      </c>
      <c r="B198" s="0" t="s">
        <v>371</v>
      </c>
      <c r="C198" s="0" t="s">
        <v>355</v>
      </c>
      <c r="D198" s="0" t="s">
        <v>371</v>
      </c>
    </row>
    <row r="199">
      <c r="A199" s="0" t="s">
        <v>307</v>
      </c>
      <c r="B199" s="0" t="s">
        <v>369</v>
      </c>
      <c r="C199" s="0" t="s">
        <v>369</v>
      </c>
    </row>
    <row r="200">
      <c r="A200" s="0" t="s">
        <v>533</v>
      </c>
      <c r="B200" s="0" t="s">
        <v>369</v>
      </c>
      <c r="C200" s="0" t="s">
        <v>369</v>
      </c>
      <c r="D200" s="0" t="s">
        <v>369</v>
      </c>
    </row>
    <row r="201">
      <c r="A201" s="0" t="s">
        <v>308</v>
      </c>
      <c r="B201" s="0" t="s">
        <v>363</v>
      </c>
      <c r="C201" s="0" t="s">
        <v>54</v>
      </c>
      <c r="D201" s="0" t="s">
        <v>54</v>
      </c>
    </row>
    <row r="202">
      <c r="A202" s="0" t="s">
        <v>309</v>
      </c>
      <c r="B202" s="0" t="s">
        <v>371</v>
      </c>
    </row>
    <row r="203">
      <c r="A203" s="0" t="s">
        <v>310</v>
      </c>
      <c r="B203" s="0" t="s">
        <v>371</v>
      </c>
    </row>
    <row r="204">
      <c r="A204" s="0" t="s">
        <v>311</v>
      </c>
      <c r="B204" s="0" t="s">
        <v>360</v>
      </c>
    </row>
    <row r="205">
      <c r="A205" s="0" t="s">
        <v>312</v>
      </c>
      <c r="B205" s="0" t="s">
        <v>360</v>
      </c>
    </row>
    <row r="206">
      <c r="A206" s="0" t="s">
        <v>534</v>
      </c>
      <c r="B206" s="0" t="s">
        <v>360</v>
      </c>
    </row>
    <row r="207">
      <c r="A207" s="0" t="s">
        <v>535</v>
      </c>
      <c r="B207" s="0" t="s">
        <v>360</v>
      </c>
      <c r="C207" s="0" t="s">
        <v>360</v>
      </c>
    </row>
    <row r="208">
      <c r="A208" s="0" t="s">
        <v>536</v>
      </c>
      <c r="B208" s="0" t="s">
        <v>360</v>
      </c>
    </row>
    <row r="209">
      <c r="A209" s="0" t="s">
        <v>313</v>
      </c>
      <c r="B209" s="0" t="s">
        <v>360</v>
      </c>
    </row>
    <row r="210">
      <c r="A210" s="0" t="s">
        <v>314</v>
      </c>
      <c r="B210" s="0" t="s">
        <v>54</v>
      </c>
      <c r="C210" s="0" t="s">
        <v>363</v>
      </c>
      <c r="D210" s="0" t="s">
        <v>54</v>
      </c>
    </row>
    <row r="211">
      <c r="A211" s="0" t="s">
        <v>537</v>
      </c>
      <c r="B211" s="0" t="s">
        <v>54</v>
      </c>
      <c r="C211" s="0" t="s">
        <v>363</v>
      </c>
      <c r="D211" s="0" t="s">
        <v>54</v>
      </c>
    </row>
    <row r="212">
      <c r="A212" s="0" t="s">
        <v>315</v>
      </c>
      <c r="B212" s="0" t="s">
        <v>538</v>
      </c>
    </row>
    <row r="213">
      <c r="A213" s="0" t="s">
        <v>539</v>
      </c>
      <c r="B213" s="0" t="s">
        <v>355</v>
      </c>
      <c r="C213" s="0" t="s">
        <v>540</v>
      </c>
      <c r="D213" s="0" t="s">
        <v>540</v>
      </c>
      <c r="E213" s="0" t="s">
        <v>54</v>
      </c>
      <c r="F213" s="0" t="s">
        <v>54</v>
      </c>
    </row>
    <row r="214">
      <c r="A214" s="0" t="s">
        <v>316</v>
      </c>
      <c r="B214" s="0" t="s">
        <v>425</v>
      </c>
    </row>
    <row r="215">
      <c r="A215" s="0" t="s">
        <v>317</v>
      </c>
      <c r="B215" s="0" t="s">
        <v>374</v>
      </c>
    </row>
    <row r="216">
      <c r="A216" s="0" t="s">
        <v>318</v>
      </c>
      <c r="B216" s="0" t="s">
        <v>407</v>
      </c>
      <c r="C216" s="0" t="s">
        <v>541</v>
      </c>
    </row>
    <row r="217">
      <c r="A217" s="0" t="s">
        <v>542</v>
      </c>
      <c r="B217" s="0" t="s">
        <v>360</v>
      </c>
      <c r="C217" s="0" t="s">
        <v>398</v>
      </c>
      <c r="D217" s="0" t="s">
        <v>360</v>
      </c>
    </row>
    <row r="218">
      <c r="A218" s="0" t="s">
        <v>319</v>
      </c>
      <c r="B218" s="0" t="s">
        <v>360</v>
      </c>
      <c r="C218" s="0" t="s">
        <v>355</v>
      </c>
      <c r="D218" s="0" t="s">
        <v>360</v>
      </c>
    </row>
    <row r="219">
      <c r="A219" s="0" t="s">
        <v>320</v>
      </c>
      <c r="B219" s="0" t="s">
        <v>489</v>
      </c>
      <c r="C219" s="0" t="s">
        <v>369</v>
      </c>
      <c r="D219" s="0" t="s">
        <v>369</v>
      </c>
    </row>
    <row r="220">
      <c r="A220" s="0" t="s">
        <v>321</v>
      </c>
      <c r="B220" s="0" t="s">
        <v>363</v>
      </c>
      <c r="C220" s="0" t="s">
        <v>543</v>
      </c>
      <c r="D220" s="0" t="s">
        <v>543</v>
      </c>
      <c r="E220" s="0" t="s">
        <v>54</v>
      </c>
      <c r="F220" s="0" t="s">
        <v>54</v>
      </c>
    </row>
    <row r="221">
      <c r="A221" s="0" t="s">
        <v>322</v>
      </c>
      <c r="B221" s="0" t="s">
        <v>363</v>
      </c>
      <c r="C221" s="0" t="s">
        <v>54</v>
      </c>
      <c r="D221" s="0" t="s">
        <v>54</v>
      </c>
      <c r="E221" s="0" t="s">
        <v>54</v>
      </c>
      <c r="F221" s="0" t="s">
        <v>54</v>
      </c>
    </row>
    <row r="222">
      <c r="A222" s="0" t="s">
        <v>544</v>
      </c>
      <c r="B222" s="0" t="s">
        <v>371</v>
      </c>
      <c r="C222" s="0" t="s">
        <v>355</v>
      </c>
      <c r="D222" s="0" t="s">
        <v>371</v>
      </c>
    </row>
    <row r="223">
      <c r="A223" s="0" t="s">
        <v>323</v>
      </c>
      <c r="B223" s="0" t="s">
        <v>371</v>
      </c>
      <c r="C223" s="0" t="s">
        <v>371</v>
      </c>
      <c r="D223" s="0" t="s">
        <v>355</v>
      </c>
    </row>
    <row r="224">
      <c r="A224" s="0" t="s">
        <v>324</v>
      </c>
      <c r="B224" s="0" t="s">
        <v>363</v>
      </c>
      <c r="C224" s="0" t="s">
        <v>369</v>
      </c>
      <c r="D224" s="0" t="s">
        <v>369</v>
      </c>
    </row>
    <row r="225">
      <c r="A225" s="0" t="s">
        <v>325</v>
      </c>
      <c r="B225" s="0" t="s">
        <v>360</v>
      </c>
      <c r="C225" s="0" t="s">
        <v>525</v>
      </c>
    </row>
    <row r="226">
      <c r="A226" s="0" t="s">
        <v>545</v>
      </c>
      <c r="B226" s="0" t="s">
        <v>369</v>
      </c>
    </row>
    <row r="227">
      <c r="A227" s="0" t="s">
        <v>326</v>
      </c>
      <c r="B227" s="0" t="s">
        <v>355</v>
      </c>
    </row>
    <row r="228">
      <c r="A228" s="0" t="s">
        <v>546</v>
      </c>
      <c r="B228" s="0" t="s">
        <v>369</v>
      </c>
      <c r="C228" s="0" t="s">
        <v>355</v>
      </c>
    </row>
    <row r="229">
      <c r="A229" s="0" t="s">
        <v>327</v>
      </c>
      <c r="B229" s="0" t="s">
        <v>371</v>
      </c>
      <c r="C229" s="0" t="s">
        <v>355</v>
      </c>
    </row>
    <row r="230">
      <c r="A230" s="0" t="s">
        <v>328</v>
      </c>
      <c r="B230" s="0" t="s">
        <v>371</v>
      </c>
      <c r="C230" s="0" t="s">
        <v>371</v>
      </c>
      <c r="D230" s="0" t="s">
        <v>355</v>
      </c>
    </row>
    <row r="231">
      <c r="A231" s="0" t="s">
        <v>547</v>
      </c>
      <c r="B231" s="0" t="s">
        <v>369</v>
      </c>
      <c r="C231" s="0" t="s">
        <v>355</v>
      </c>
      <c r="D231" s="0" t="s">
        <v>369</v>
      </c>
    </row>
    <row r="232">
      <c r="A232" s="0" t="s">
        <v>329</v>
      </c>
      <c r="B232" s="0" t="s">
        <v>371</v>
      </c>
      <c r="C232" s="0" t="s">
        <v>371</v>
      </c>
      <c r="D232" s="0" t="s">
        <v>355</v>
      </c>
    </row>
    <row r="233">
      <c r="A233" s="0" t="s">
        <v>330</v>
      </c>
      <c r="B233" s="0" t="s">
        <v>371</v>
      </c>
      <c r="C233" s="0" t="s">
        <v>371</v>
      </c>
      <c r="D233" s="0" t="s">
        <v>355</v>
      </c>
    </row>
    <row r="234">
      <c r="A234" s="0" t="s">
        <v>548</v>
      </c>
      <c r="B234" s="0" t="s">
        <v>355</v>
      </c>
      <c r="C234" s="0" t="s">
        <v>371</v>
      </c>
    </row>
    <row r="235">
      <c r="A235" s="0" t="s">
        <v>549</v>
      </c>
      <c r="B235" s="0" t="s">
        <v>355</v>
      </c>
      <c r="C235" s="0" t="s">
        <v>371</v>
      </c>
    </row>
    <row r="236">
      <c r="A236" s="0" t="s">
        <v>550</v>
      </c>
      <c r="B236" s="0" t="s">
        <v>359</v>
      </c>
      <c r="C236" s="0" t="s">
        <v>360</v>
      </c>
    </row>
    <row r="237">
      <c r="A237" s="0" t="s">
        <v>551</v>
      </c>
      <c r="B237" s="0" t="s">
        <v>389</v>
      </c>
    </row>
    <row r="238">
      <c r="A238" s="0" t="s">
        <v>552</v>
      </c>
      <c r="B238" s="0" t="s">
        <v>495</v>
      </c>
      <c r="C238" s="0" t="s">
        <v>495</v>
      </c>
      <c r="D238" s="0" t="s">
        <v>369</v>
      </c>
      <c r="E238" s="0" t="s">
        <v>369</v>
      </c>
    </row>
    <row r="239">
      <c r="A239" s="0" t="s">
        <v>331</v>
      </c>
      <c r="B239" s="0" t="s">
        <v>355</v>
      </c>
    </row>
    <row r="240">
      <c r="A240" s="0" t="s">
        <v>332</v>
      </c>
      <c r="B240" s="0" t="s">
        <v>360</v>
      </c>
    </row>
    <row r="241">
      <c r="A241" s="0" t="s">
        <v>333</v>
      </c>
      <c r="B241" s="0" t="s">
        <v>360</v>
      </c>
    </row>
    <row r="242">
      <c r="A242" s="0" t="s">
        <v>334</v>
      </c>
      <c r="B242" s="0" t="s">
        <v>360</v>
      </c>
    </row>
    <row r="243">
      <c r="A243" s="0" t="s">
        <v>553</v>
      </c>
      <c r="B243" s="0" t="s">
        <v>554</v>
      </c>
    </row>
    <row r="244">
      <c r="A244" s="0" t="s">
        <v>335</v>
      </c>
      <c r="B244" s="0" t="s">
        <v>407</v>
      </c>
      <c r="C244" s="0" t="s">
        <v>360</v>
      </c>
      <c r="D244" s="0" t="s">
        <v>407</v>
      </c>
      <c r="E244" s="0" t="s">
        <v>360</v>
      </c>
    </row>
    <row r="245">
      <c r="A245" s="0" t="s">
        <v>336</v>
      </c>
      <c r="B245" s="0" t="s">
        <v>398</v>
      </c>
      <c r="C245" s="0" t="s">
        <v>398</v>
      </c>
    </row>
    <row r="246">
      <c r="A246" s="0" t="s">
        <v>555</v>
      </c>
      <c r="B246" s="0" t="s">
        <v>407</v>
      </c>
      <c r="C246" s="0" t="s">
        <v>360</v>
      </c>
    </row>
    <row r="247">
      <c r="A247" s="0" t="s">
        <v>337</v>
      </c>
      <c r="B247" s="0" t="s">
        <v>360</v>
      </c>
      <c r="C247" s="0" t="s">
        <v>407</v>
      </c>
      <c r="D247" s="0" t="s">
        <v>360</v>
      </c>
    </row>
    <row r="248">
      <c r="A248" s="0" t="s">
        <v>338</v>
      </c>
      <c r="B248" s="0" t="s">
        <v>360</v>
      </c>
      <c r="C248" s="0" t="s">
        <v>360</v>
      </c>
      <c r="D248" s="0" t="s">
        <v>407</v>
      </c>
    </row>
    <row r="249">
      <c r="A249" s="0" t="s">
        <v>556</v>
      </c>
      <c r="B249" s="0" t="s">
        <v>495</v>
      </c>
      <c r="C249" s="0" t="s">
        <v>495</v>
      </c>
      <c r="D249" s="0" t="s">
        <v>495</v>
      </c>
      <c r="E249" s="0" t="s">
        <v>54</v>
      </c>
      <c r="F249" s="0" t="s">
        <v>54</v>
      </c>
      <c r="G249" s="0" t="s">
        <v>54</v>
      </c>
      <c r="H249" s="0" t="s">
        <v>54</v>
      </c>
      <c r="I249" s="0" t="s">
        <v>54</v>
      </c>
      <c r="J249" s="0" t="s">
        <v>54</v>
      </c>
    </row>
    <row r="250">
      <c r="A250" s="0" t="s">
        <v>339</v>
      </c>
      <c r="B250" s="0" t="s">
        <v>495</v>
      </c>
      <c r="C250" s="0" t="s">
        <v>495</v>
      </c>
      <c r="D250" s="0" t="s">
        <v>54</v>
      </c>
      <c r="E250" s="0" t="s">
        <v>54</v>
      </c>
      <c r="F250" s="0" t="s">
        <v>54</v>
      </c>
      <c r="G250" s="0" t="s">
        <v>54</v>
      </c>
    </row>
    <row r="251">
      <c r="A251" s="0" t="s">
        <v>341</v>
      </c>
      <c r="B251" s="0" t="s">
        <v>495</v>
      </c>
      <c r="C251" s="0" t="s">
        <v>495</v>
      </c>
      <c r="D251" s="0" t="s">
        <v>540</v>
      </c>
      <c r="E251" s="0" t="s">
        <v>540</v>
      </c>
      <c r="F251" s="0" t="s">
        <v>525</v>
      </c>
      <c r="G251" s="0" t="s">
        <v>365</v>
      </c>
      <c r="H251" s="0" t="s">
        <v>365</v>
      </c>
      <c r="I251" s="0" t="s">
        <v>525</v>
      </c>
    </row>
    <row r="252">
      <c r="A252" s="0" t="s">
        <v>342</v>
      </c>
      <c r="B252" s="0" t="s">
        <v>495</v>
      </c>
      <c r="C252" s="0" t="s">
        <v>495</v>
      </c>
      <c r="D252" s="0" t="s">
        <v>540</v>
      </c>
      <c r="E252" s="0" t="s">
        <v>540</v>
      </c>
      <c r="F252" s="0" t="s">
        <v>525</v>
      </c>
      <c r="G252" s="0" t="s">
        <v>365</v>
      </c>
      <c r="H252" s="0" t="s">
        <v>525</v>
      </c>
      <c r="I252" s="0" t="s">
        <v>365</v>
      </c>
    </row>
    <row r="253">
      <c r="A253" s="0" t="s">
        <v>343</v>
      </c>
      <c r="B253" s="0" t="s">
        <v>495</v>
      </c>
      <c r="C253" s="0" t="s">
        <v>540</v>
      </c>
      <c r="D253" s="0" t="s">
        <v>540</v>
      </c>
      <c r="E253" s="0" t="s">
        <v>54</v>
      </c>
      <c r="F253" s="0" t="s">
        <v>54</v>
      </c>
    </row>
    <row r="254">
      <c r="A254" s="0" t="s">
        <v>344</v>
      </c>
      <c r="B254" s="0" t="s">
        <v>495</v>
      </c>
      <c r="C254" s="0" t="s">
        <v>54</v>
      </c>
      <c r="D254" s="0" t="s">
        <v>54</v>
      </c>
      <c r="E254" s="0" t="s">
        <v>54</v>
      </c>
      <c r="F254" s="0" t="s">
        <v>54</v>
      </c>
    </row>
    <row r="255">
      <c r="A255" s="0" t="s">
        <v>345</v>
      </c>
      <c r="B255" s="0" t="s">
        <v>495</v>
      </c>
      <c r="C255" s="0" t="s">
        <v>54</v>
      </c>
      <c r="D255" s="0" t="s">
        <v>54</v>
      </c>
      <c r="E255" s="0" t="s">
        <v>54</v>
      </c>
      <c r="F255" s="0" t="s">
        <v>54</v>
      </c>
    </row>
    <row r="256">
      <c r="A256" s="0" t="s">
        <v>557</v>
      </c>
      <c r="B256" s="0" t="s">
        <v>495</v>
      </c>
      <c r="C256" s="0" t="s">
        <v>495</v>
      </c>
      <c r="D256" s="0" t="s">
        <v>54</v>
      </c>
      <c r="E256" s="0" t="s">
        <v>365</v>
      </c>
      <c r="F256" s="0" t="s">
        <v>365</v>
      </c>
      <c r="G256" s="0" t="s">
        <v>54</v>
      </c>
    </row>
    <row r="257">
      <c r="A257" s="0" t="s">
        <v>346</v>
      </c>
      <c r="B257" s="0" t="s">
        <v>407</v>
      </c>
      <c r="C257" s="0" t="s">
        <v>371</v>
      </c>
      <c r="D257" s="0" t="s">
        <v>371</v>
      </c>
    </row>
    <row r="258">
      <c r="A258" s="0" t="s">
        <v>347</v>
      </c>
      <c r="B258" s="0" t="s">
        <v>360</v>
      </c>
      <c r="C258" s="0" t="s">
        <v>407</v>
      </c>
      <c r="D258" s="0" t="s">
        <v>360</v>
      </c>
      <c r="E258" s="0" t="s">
        <v>407</v>
      </c>
    </row>
    <row r="259">
      <c r="A259" s="0" t="s">
        <v>348</v>
      </c>
      <c r="B259" s="0" t="s">
        <v>355</v>
      </c>
      <c r="C259" s="0" t="s">
        <v>360</v>
      </c>
      <c r="D259" s="0" t="s">
        <v>360</v>
      </c>
    </row>
    <row r="260">
      <c r="A260" s="0" t="s">
        <v>349</v>
      </c>
      <c r="B260" s="0" t="s">
        <v>355</v>
      </c>
      <c r="C260" s="0" t="s">
        <v>360</v>
      </c>
      <c r="D260" s="0" t="s">
        <v>360</v>
      </c>
    </row>
    <row r="261">
      <c r="A261" s="0" t="s">
        <v>558</v>
      </c>
      <c r="B261" s="0" t="s">
        <v>363</v>
      </c>
      <c r="C261" s="0" t="s">
        <v>369</v>
      </c>
      <c r="D261" s="0" t="s">
        <v>369</v>
      </c>
    </row>
    <row r="262">
      <c r="A262" s="0" t="s">
        <v>350</v>
      </c>
      <c r="B262" s="0" t="s">
        <v>363</v>
      </c>
      <c r="C262" s="0" t="s">
        <v>363</v>
      </c>
      <c r="D262" s="0" t="s">
        <v>369</v>
      </c>
      <c r="E262" s="0" t="s">
        <v>369</v>
      </c>
      <c r="F262" s="0" t="s">
        <v>369</v>
      </c>
      <c r="G262" s="0" t="s">
        <v>369</v>
      </c>
    </row>
    <row r="263">
      <c r="A263" s="0" t="s">
        <v>559</v>
      </c>
      <c r="B263" s="0" t="s">
        <v>360</v>
      </c>
      <c r="C263" s="0" t="s">
        <v>398</v>
      </c>
      <c r="D263" s="0" t="s">
        <v>360</v>
      </c>
      <c r="E263" s="0" t="s">
        <v>398</v>
      </c>
    </row>
    <row r="264">
      <c r="A264" s="0" t="s">
        <v>351</v>
      </c>
      <c r="B264" s="0" t="s">
        <v>380</v>
      </c>
      <c r="C264" s="0" t="s">
        <v>374</v>
      </c>
      <c r="D264" s="0" t="s">
        <v>380</v>
      </c>
      <c r="E264" s="0" t="s">
        <v>374</v>
      </c>
      <c r="F264" s="0" t="s">
        <v>438</v>
      </c>
    </row>
    <row r="265">
      <c r="A265" s="0" t="s">
        <v>352</v>
      </c>
      <c r="B265" s="0" t="s">
        <v>54</v>
      </c>
    </row>
    <row r="266">
      <c r="A266" s="0" t="s">
        <v>353</v>
      </c>
      <c r="B266" s="0" t="s">
        <v>54</v>
      </c>
    </row>
    <row r="267">
      <c r="A267" s="0" t="s">
        <v>560</v>
      </c>
      <c r="B267" s="0" t="s">
        <v>54</v>
      </c>
      <c r="C267" s="0" t="s">
        <v>54</v>
      </c>
    </row>
    <row r="268">
      <c r="A268" s="0" t="s">
        <v>354</v>
      </c>
      <c r="B268" s="0" t="s">
        <v>360</v>
      </c>
    </row>
    <row r="269">
      <c r="A269" s="0" t="s">
        <v>561</v>
      </c>
      <c r="B269" s="0" t="s">
        <v>530</v>
      </c>
    </row>
  </sheetData>
  <headerFooter/>
</worksheet>
</file>

<file path=xl/worksheets/sheet32.xml><?xml version="1.0" encoding="utf-8"?>
<worksheet xmlns:r="http://schemas.openxmlformats.org/officeDocument/2006/relationships" xmlns="http://schemas.openxmlformats.org/spreadsheetml/2006/main" xmlns:xr="http://schemas.microsoft.com/office/spreadsheetml/2014/revision" xmlns:mc="http://schemas.openxmlformats.org/markup-compatibility/2006" mc:Ignorable="xr">
  <sheetPr codeName="AntennasPortName"/>
  <dimension ref="A1:J269"/>
  <sheetViews>
    <sheetView workbookViewId="0"/>
  </sheetViews>
  <sheetFormatPr defaultRowHeight="15"/>
  <sheetData>
    <row r="1">
      <c r="A1" s="0" t="s">
        <v>240</v>
      </c>
      <c r="B1" s="0" t="s">
        <v>951</v>
      </c>
      <c r="C1" s="0" t="s">
        <v>952</v>
      </c>
    </row>
    <row r="2">
      <c r="A2" s="0" t="s">
        <v>241</v>
      </c>
      <c r="B2" s="0" t="s">
        <v>953</v>
      </c>
      <c r="C2" s="0" t="s">
        <v>954</v>
      </c>
    </row>
    <row r="3">
      <c r="A3" s="0" t="s">
        <v>357</v>
      </c>
      <c r="B3" s="0" t="s">
        <v>530</v>
      </c>
    </row>
    <row r="4">
      <c r="A4" s="0" t="s">
        <v>358</v>
      </c>
      <c r="B4" s="0" t="s">
        <v>530</v>
      </c>
      <c r="C4" s="0" t="s">
        <v>530</v>
      </c>
    </row>
    <row r="5">
      <c r="A5" s="0" t="s">
        <v>361</v>
      </c>
      <c r="B5" s="0" t="s">
        <v>530</v>
      </c>
      <c r="C5" s="0" t="s">
        <v>530</v>
      </c>
      <c r="D5" s="0" t="s">
        <v>530</v>
      </c>
    </row>
    <row r="6">
      <c r="A6" s="0" t="s">
        <v>362</v>
      </c>
      <c r="B6" s="0" t="s">
        <v>955</v>
      </c>
      <c r="C6" s="0" t="s">
        <v>956</v>
      </c>
      <c r="D6" s="0" t="s">
        <v>957</v>
      </c>
      <c r="E6" s="0" t="s">
        <v>958</v>
      </c>
    </row>
    <row r="7">
      <c r="A7" s="0" t="s">
        <v>364</v>
      </c>
      <c r="B7" s="0" t="s">
        <v>958</v>
      </c>
      <c r="C7" s="0" t="s">
        <v>956</v>
      </c>
      <c r="D7" s="0" t="s">
        <v>957</v>
      </c>
      <c r="E7" s="0" t="s">
        <v>955</v>
      </c>
    </row>
    <row r="8">
      <c r="A8" s="0" t="s">
        <v>366</v>
      </c>
      <c r="B8" s="0" t="s">
        <v>959</v>
      </c>
      <c r="C8" s="0" t="s">
        <v>956</v>
      </c>
      <c r="D8" s="0" t="s">
        <v>955</v>
      </c>
      <c r="E8" s="0" t="s">
        <v>957</v>
      </c>
      <c r="F8" s="0" t="s">
        <v>958</v>
      </c>
    </row>
    <row r="9">
      <c r="A9" s="0" t="s">
        <v>367</v>
      </c>
      <c r="B9" s="0" t="s">
        <v>960</v>
      </c>
      <c r="C9" s="0" t="s">
        <v>959</v>
      </c>
      <c r="D9" s="0" t="s">
        <v>956</v>
      </c>
      <c r="E9" s="0" t="s">
        <v>955</v>
      </c>
      <c r="F9" s="0" t="s">
        <v>957</v>
      </c>
      <c r="G9" s="0" t="s">
        <v>958</v>
      </c>
    </row>
    <row r="10">
      <c r="A10" s="0" t="s">
        <v>242</v>
      </c>
      <c r="B10" s="0" t="s">
        <v>961</v>
      </c>
      <c r="C10" s="0" t="s">
        <v>962</v>
      </c>
      <c r="D10" s="0" t="s">
        <v>963</v>
      </c>
      <c r="E10" s="0" t="s">
        <v>964</v>
      </c>
      <c r="F10" s="0" t="s">
        <v>965</v>
      </c>
    </row>
    <row r="11">
      <c r="A11" s="0" t="s">
        <v>370</v>
      </c>
      <c r="B11" s="0" t="s">
        <v>530</v>
      </c>
      <c r="C11" s="0" t="s">
        <v>530</v>
      </c>
      <c r="D11" s="0" t="s">
        <v>530</v>
      </c>
      <c r="E11" s="0" t="s">
        <v>530</v>
      </c>
      <c r="F11" s="0" t="s">
        <v>530</v>
      </c>
    </row>
    <row r="12">
      <c r="A12" s="0" t="s">
        <v>372</v>
      </c>
      <c r="B12" s="0" t="s">
        <v>530</v>
      </c>
    </row>
    <row r="13">
      <c r="A13" s="0" t="s">
        <v>373</v>
      </c>
      <c r="B13" s="0" t="s">
        <v>530</v>
      </c>
    </row>
    <row r="14">
      <c r="A14" s="0" t="s">
        <v>375</v>
      </c>
      <c r="B14" s="0" t="s">
        <v>530</v>
      </c>
    </row>
    <row r="15">
      <c r="A15" s="0" t="s">
        <v>376</v>
      </c>
      <c r="B15" s="0" t="s">
        <v>530</v>
      </c>
    </row>
    <row r="16">
      <c r="A16" s="0" t="s">
        <v>377</v>
      </c>
      <c r="B16" s="0" t="s">
        <v>530</v>
      </c>
    </row>
    <row r="17">
      <c r="A17" s="0" t="s">
        <v>379</v>
      </c>
      <c r="B17" s="0" t="s">
        <v>530</v>
      </c>
    </row>
    <row r="18">
      <c r="A18" s="0" t="s">
        <v>381</v>
      </c>
      <c r="B18" s="0" t="s">
        <v>530</v>
      </c>
    </row>
    <row r="19">
      <c r="A19" s="0" t="s">
        <v>382</v>
      </c>
      <c r="B19" s="0" t="s">
        <v>530</v>
      </c>
    </row>
    <row r="20">
      <c r="A20" s="0" t="s">
        <v>384</v>
      </c>
      <c r="B20" s="0" t="s">
        <v>530</v>
      </c>
    </row>
    <row r="21">
      <c r="A21" s="0" t="s">
        <v>385</v>
      </c>
      <c r="B21" s="0" t="s">
        <v>530</v>
      </c>
    </row>
    <row r="22">
      <c r="A22" s="0" t="s">
        <v>387</v>
      </c>
      <c r="B22" s="0" t="s">
        <v>530</v>
      </c>
    </row>
    <row r="23">
      <c r="A23" s="0" t="s">
        <v>388</v>
      </c>
      <c r="B23" s="0" t="s">
        <v>530</v>
      </c>
    </row>
    <row r="24">
      <c r="A24" s="0" t="s">
        <v>390</v>
      </c>
      <c r="B24" s="0" t="s">
        <v>530</v>
      </c>
    </row>
    <row r="25">
      <c r="A25" s="0" t="s">
        <v>392</v>
      </c>
      <c r="B25" s="0" t="s">
        <v>530</v>
      </c>
    </row>
    <row r="26">
      <c r="A26" s="0" t="s">
        <v>393</v>
      </c>
      <c r="B26" s="0" t="s">
        <v>530</v>
      </c>
    </row>
    <row r="27">
      <c r="A27" s="0" t="s">
        <v>395</v>
      </c>
      <c r="B27" s="0" t="s">
        <v>530</v>
      </c>
    </row>
    <row r="28">
      <c r="A28" s="0" t="s">
        <v>397</v>
      </c>
      <c r="B28" s="0" t="s">
        <v>530</v>
      </c>
    </row>
    <row r="29">
      <c r="A29" s="0" t="s">
        <v>399</v>
      </c>
      <c r="B29" s="0" t="s">
        <v>530</v>
      </c>
    </row>
    <row r="30">
      <c r="A30" s="0" t="s">
        <v>400</v>
      </c>
      <c r="B30" s="0" t="s">
        <v>530</v>
      </c>
    </row>
    <row r="31">
      <c r="A31" s="0" t="s">
        <v>401</v>
      </c>
      <c r="B31" s="0" t="s">
        <v>530</v>
      </c>
    </row>
    <row r="32">
      <c r="A32" s="0" t="s">
        <v>402</v>
      </c>
      <c r="B32" s="0" t="s">
        <v>530</v>
      </c>
    </row>
    <row r="33">
      <c r="A33" s="0" t="s">
        <v>403</v>
      </c>
      <c r="B33" s="0" t="s">
        <v>530</v>
      </c>
    </row>
    <row r="34">
      <c r="A34" s="0" t="s">
        <v>404</v>
      </c>
      <c r="B34" s="0" t="s">
        <v>530</v>
      </c>
    </row>
    <row r="35">
      <c r="A35" s="0" t="s">
        <v>405</v>
      </c>
      <c r="B35" s="0" t="s">
        <v>530</v>
      </c>
    </row>
    <row r="36">
      <c r="A36" s="0" t="s">
        <v>406</v>
      </c>
      <c r="B36" s="0" t="s">
        <v>530</v>
      </c>
    </row>
    <row r="37">
      <c r="A37" s="0" t="s">
        <v>408</v>
      </c>
      <c r="B37" s="0" t="s">
        <v>530</v>
      </c>
    </row>
    <row r="38">
      <c r="A38" s="0" t="s">
        <v>409</v>
      </c>
      <c r="B38" s="0" t="s">
        <v>530</v>
      </c>
    </row>
    <row r="39">
      <c r="A39" s="0" t="s">
        <v>410</v>
      </c>
      <c r="B39" s="0" t="s">
        <v>530</v>
      </c>
    </row>
    <row r="40">
      <c r="A40" s="0" t="s">
        <v>411</v>
      </c>
      <c r="B40" s="0" t="s">
        <v>530</v>
      </c>
    </row>
    <row r="41">
      <c r="A41" s="0" t="s">
        <v>412</v>
      </c>
      <c r="B41" s="0" t="s">
        <v>530</v>
      </c>
    </row>
    <row r="42">
      <c r="A42" s="0" t="s">
        <v>413</v>
      </c>
      <c r="B42" s="0" t="s">
        <v>530</v>
      </c>
    </row>
    <row r="43">
      <c r="A43" s="0" t="s">
        <v>414</v>
      </c>
      <c r="B43" s="0" t="s">
        <v>530</v>
      </c>
    </row>
    <row r="44">
      <c r="A44" s="0" t="s">
        <v>415</v>
      </c>
      <c r="B44" s="0" t="s">
        <v>530</v>
      </c>
    </row>
    <row r="45">
      <c r="A45" s="0" t="s">
        <v>416</v>
      </c>
      <c r="B45" s="0" t="s">
        <v>530</v>
      </c>
    </row>
    <row r="46">
      <c r="A46" s="0" t="s">
        <v>417</v>
      </c>
      <c r="B46" s="0" t="s">
        <v>530</v>
      </c>
    </row>
    <row r="47">
      <c r="A47" s="0" t="s">
        <v>418</v>
      </c>
      <c r="B47" s="0" t="s">
        <v>530</v>
      </c>
    </row>
    <row r="48">
      <c r="A48" s="0" t="s">
        <v>419</v>
      </c>
      <c r="B48" s="0" t="s">
        <v>530</v>
      </c>
    </row>
    <row r="49">
      <c r="A49" s="0" t="s">
        <v>420</v>
      </c>
      <c r="B49" s="0" t="s">
        <v>530</v>
      </c>
    </row>
    <row r="50">
      <c r="A50" s="0" t="s">
        <v>421</v>
      </c>
      <c r="B50" s="0" t="s">
        <v>530</v>
      </c>
    </row>
    <row r="51">
      <c r="A51" s="0" t="s">
        <v>243</v>
      </c>
      <c r="B51" s="0" t="s">
        <v>530</v>
      </c>
    </row>
    <row r="52">
      <c r="A52" s="0" t="s">
        <v>424</v>
      </c>
      <c r="B52" s="0" t="s">
        <v>530</v>
      </c>
    </row>
    <row r="53">
      <c r="A53" s="0" t="s">
        <v>426</v>
      </c>
      <c r="B53" s="0" t="s">
        <v>530</v>
      </c>
    </row>
    <row r="54">
      <c r="A54" s="0" t="s">
        <v>427</v>
      </c>
      <c r="B54" s="0" t="s">
        <v>530</v>
      </c>
    </row>
    <row r="55">
      <c r="A55" s="0" t="s">
        <v>428</v>
      </c>
      <c r="B55" s="0" t="s">
        <v>530</v>
      </c>
    </row>
    <row r="56">
      <c r="A56" s="0" t="s">
        <v>429</v>
      </c>
      <c r="B56" s="0" t="s">
        <v>530</v>
      </c>
    </row>
    <row r="57">
      <c r="A57" s="0" t="s">
        <v>244</v>
      </c>
      <c r="B57" s="0" t="s">
        <v>530</v>
      </c>
    </row>
    <row r="58">
      <c r="A58" s="0" t="s">
        <v>431</v>
      </c>
      <c r="B58" s="0" t="s">
        <v>530</v>
      </c>
    </row>
    <row r="59">
      <c r="A59" s="0" t="s">
        <v>433</v>
      </c>
      <c r="B59" s="0" t="s">
        <v>530</v>
      </c>
      <c r="C59" s="0" t="s">
        <v>530</v>
      </c>
    </row>
    <row r="60">
      <c r="A60" s="0" t="s">
        <v>434</v>
      </c>
      <c r="B60" s="0" t="s">
        <v>530</v>
      </c>
      <c r="C60" s="0" t="s">
        <v>530</v>
      </c>
      <c r="D60" s="0" t="s">
        <v>530</v>
      </c>
    </row>
    <row r="61">
      <c r="A61" s="0" t="s">
        <v>245</v>
      </c>
      <c r="B61" s="0" t="s">
        <v>530</v>
      </c>
      <c r="C61" s="0" t="s">
        <v>530</v>
      </c>
    </row>
    <row r="62">
      <c r="A62" s="0" t="s">
        <v>435</v>
      </c>
      <c r="B62" s="0" t="s">
        <v>530</v>
      </c>
      <c r="C62" s="0" t="s">
        <v>530</v>
      </c>
    </row>
    <row r="63">
      <c r="A63" s="0" t="s">
        <v>246</v>
      </c>
      <c r="B63" s="0" t="s">
        <v>530</v>
      </c>
      <c r="C63" s="0" t="s">
        <v>530</v>
      </c>
    </row>
    <row r="64">
      <c r="A64" s="0" t="s">
        <v>436</v>
      </c>
      <c r="B64" s="0" t="s">
        <v>530</v>
      </c>
      <c r="C64" s="0" t="s">
        <v>530</v>
      </c>
    </row>
    <row r="65">
      <c r="A65" s="0" t="s">
        <v>247</v>
      </c>
      <c r="B65" s="0" t="s">
        <v>530</v>
      </c>
      <c r="C65" s="0" t="s">
        <v>530</v>
      </c>
    </row>
    <row r="66">
      <c r="A66" s="0" t="s">
        <v>248</v>
      </c>
      <c r="B66" s="0" t="s">
        <v>530</v>
      </c>
      <c r="C66" s="0" t="s">
        <v>530</v>
      </c>
    </row>
    <row r="67">
      <c r="A67" s="0" t="s">
        <v>249</v>
      </c>
      <c r="B67" s="0" t="s">
        <v>530</v>
      </c>
      <c r="C67" s="0" t="s">
        <v>530</v>
      </c>
    </row>
    <row r="68">
      <c r="A68" s="0" t="s">
        <v>437</v>
      </c>
      <c r="B68" s="0" t="s">
        <v>530</v>
      </c>
      <c r="C68" s="0" t="s">
        <v>530</v>
      </c>
      <c r="D68" s="0" t="s">
        <v>530</v>
      </c>
    </row>
    <row r="69">
      <c r="A69" s="0" t="s">
        <v>250</v>
      </c>
      <c r="B69" s="0" t="s">
        <v>530</v>
      </c>
      <c r="C69" s="0" t="s">
        <v>530</v>
      </c>
      <c r="D69" s="0" t="s">
        <v>530</v>
      </c>
    </row>
    <row r="70">
      <c r="A70" s="0" t="s">
        <v>439</v>
      </c>
      <c r="B70" s="0" t="s">
        <v>530</v>
      </c>
      <c r="C70" s="0" t="s">
        <v>530</v>
      </c>
      <c r="D70" s="0" t="s">
        <v>530</v>
      </c>
    </row>
    <row r="71">
      <c r="A71" s="0" t="s">
        <v>440</v>
      </c>
      <c r="B71" s="0" t="s">
        <v>530</v>
      </c>
      <c r="C71" s="0" t="s">
        <v>530</v>
      </c>
      <c r="D71" s="0" t="s">
        <v>530</v>
      </c>
    </row>
    <row r="72">
      <c r="A72" s="0" t="s">
        <v>441</v>
      </c>
      <c r="B72" s="0" t="s">
        <v>530</v>
      </c>
      <c r="C72" s="0" t="s">
        <v>530</v>
      </c>
      <c r="D72" s="0" t="s">
        <v>530</v>
      </c>
    </row>
    <row r="73">
      <c r="A73" s="0" t="s">
        <v>442</v>
      </c>
      <c r="B73" s="0" t="s">
        <v>530</v>
      </c>
    </row>
    <row r="74">
      <c r="A74" s="0" t="s">
        <v>443</v>
      </c>
      <c r="B74" s="0" t="s">
        <v>530</v>
      </c>
      <c r="C74" s="0" t="s">
        <v>530</v>
      </c>
    </row>
    <row r="75">
      <c r="A75" s="0" t="s">
        <v>251</v>
      </c>
      <c r="B75" s="0" t="s">
        <v>530</v>
      </c>
      <c r="C75" s="0" t="s">
        <v>530</v>
      </c>
    </row>
    <row r="76">
      <c r="A76" s="0" t="s">
        <v>444</v>
      </c>
      <c r="B76" s="0" t="s">
        <v>530</v>
      </c>
    </row>
    <row r="77">
      <c r="A77" s="0" t="s">
        <v>445</v>
      </c>
      <c r="B77" s="0" t="s">
        <v>530</v>
      </c>
    </row>
    <row r="78">
      <c r="A78" s="0" t="s">
        <v>447</v>
      </c>
      <c r="B78" s="0" t="s">
        <v>530</v>
      </c>
    </row>
    <row r="79">
      <c r="A79" s="0" t="s">
        <v>448</v>
      </c>
      <c r="B79" s="0" t="s">
        <v>530</v>
      </c>
    </row>
    <row r="80">
      <c r="A80" s="0" t="s">
        <v>450</v>
      </c>
      <c r="B80" s="0" t="s">
        <v>530</v>
      </c>
    </row>
    <row r="81">
      <c r="A81" s="0" t="s">
        <v>452</v>
      </c>
      <c r="B81" s="0" t="s">
        <v>530</v>
      </c>
      <c r="C81" s="0" t="s">
        <v>530</v>
      </c>
    </row>
    <row r="82">
      <c r="A82" s="0" t="s">
        <v>252</v>
      </c>
      <c r="B82" s="0" t="s">
        <v>530</v>
      </c>
      <c r="C82" s="0" t="s">
        <v>530</v>
      </c>
      <c r="D82" s="0" t="s">
        <v>530</v>
      </c>
    </row>
    <row r="83">
      <c r="A83" s="0" t="s">
        <v>453</v>
      </c>
      <c r="B83" s="0" t="s">
        <v>530</v>
      </c>
      <c r="C83" s="0" t="s">
        <v>530</v>
      </c>
      <c r="D83" s="0" t="s">
        <v>530</v>
      </c>
    </row>
    <row r="84">
      <c r="A84" s="0" t="s">
        <v>253</v>
      </c>
      <c r="B84" s="0" t="s">
        <v>530</v>
      </c>
      <c r="C84" s="0" t="s">
        <v>530</v>
      </c>
      <c r="D84" s="0" t="s">
        <v>530</v>
      </c>
    </row>
    <row r="85">
      <c r="A85" s="0" t="s">
        <v>254</v>
      </c>
      <c r="B85" s="0" t="s">
        <v>530</v>
      </c>
      <c r="C85" s="0" t="s">
        <v>530</v>
      </c>
      <c r="D85" s="0" t="s">
        <v>530</v>
      </c>
    </row>
    <row r="86">
      <c r="A86" s="0" t="s">
        <v>255</v>
      </c>
      <c r="B86" s="0" t="s">
        <v>530</v>
      </c>
      <c r="C86" s="0" t="s">
        <v>530</v>
      </c>
      <c r="D86" s="0" t="s">
        <v>530</v>
      </c>
    </row>
    <row r="87">
      <c r="A87" s="0" t="s">
        <v>454</v>
      </c>
      <c r="B87" s="0" t="s">
        <v>530</v>
      </c>
    </row>
    <row r="88">
      <c r="A88" s="0" t="s">
        <v>455</v>
      </c>
      <c r="B88" s="0" t="s">
        <v>530</v>
      </c>
    </row>
    <row r="89">
      <c r="A89" s="0" t="s">
        <v>256</v>
      </c>
      <c r="B89" s="0" t="s">
        <v>530</v>
      </c>
    </row>
    <row r="90">
      <c r="A90" s="0" t="s">
        <v>257</v>
      </c>
      <c r="B90" s="0" t="s">
        <v>530</v>
      </c>
    </row>
    <row r="91">
      <c r="A91" s="0" t="s">
        <v>456</v>
      </c>
      <c r="B91" s="0" t="s">
        <v>530</v>
      </c>
    </row>
    <row r="92">
      <c r="A92" s="0" t="s">
        <v>258</v>
      </c>
      <c r="B92" s="0" t="s">
        <v>530</v>
      </c>
    </row>
    <row r="93">
      <c r="A93" s="0" t="s">
        <v>457</v>
      </c>
      <c r="B93" s="0" t="s">
        <v>530</v>
      </c>
    </row>
    <row r="94">
      <c r="A94" s="0" t="s">
        <v>458</v>
      </c>
      <c r="B94" s="0" t="s">
        <v>530</v>
      </c>
    </row>
    <row r="95">
      <c r="A95" s="0" t="s">
        <v>459</v>
      </c>
      <c r="B95" s="0" t="s">
        <v>530</v>
      </c>
    </row>
    <row r="96">
      <c r="A96" s="0" t="s">
        <v>460</v>
      </c>
      <c r="B96" s="0" t="s">
        <v>530</v>
      </c>
    </row>
    <row r="97">
      <c r="A97" s="0" t="s">
        <v>462</v>
      </c>
      <c r="B97" s="0" t="s">
        <v>530</v>
      </c>
    </row>
    <row r="98">
      <c r="A98" s="0" t="s">
        <v>259</v>
      </c>
      <c r="B98" s="0" t="s">
        <v>530</v>
      </c>
    </row>
    <row r="99">
      <c r="A99" s="0" t="s">
        <v>463</v>
      </c>
      <c r="B99" s="0" t="s">
        <v>530</v>
      </c>
    </row>
    <row r="100">
      <c r="A100" s="0" t="s">
        <v>465</v>
      </c>
      <c r="B100" s="0" t="s">
        <v>530</v>
      </c>
      <c r="C100" s="0" t="s">
        <v>530</v>
      </c>
      <c r="D100" s="0" t="s">
        <v>530</v>
      </c>
    </row>
    <row r="101">
      <c r="A101" s="0" t="s">
        <v>466</v>
      </c>
      <c r="B101" s="0" t="s">
        <v>530</v>
      </c>
    </row>
    <row r="102">
      <c r="A102" s="0" t="s">
        <v>467</v>
      </c>
      <c r="B102" s="0" t="s">
        <v>530</v>
      </c>
      <c r="C102" s="0" t="s">
        <v>530</v>
      </c>
    </row>
    <row r="103">
      <c r="A103" s="0" t="s">
        <v>260</v>
      </c>
      <c r="B103" s="0" t="s">
        <v>530</v>
      </c>
      <c r="C103" s="0" t="s">
        <v>530</v>
      </c>
    </row>
    <row r="104">
      <c r="A104" s="0" t="s">
        <v>468</v>
      </c>
      <c r="B104" s="0" t="s">
        <v>530</v>
      </c>
      <c r="C104" s="0" t="s">
        <v>530</v>
      </c>
    </row>
    <row r="105">
      <c r="A105" s="0" t="s">
        <v>261</v>
      </c>
      <c r="B105" s="0" t="s">
        <v>530</v>
      </c>
    </row>
    <row r="106">
      <c r="A106" s="0" t="s">
        <v>469</v>
      </c>
      <c r="B106" s="0" t="s">
        <v>957</v>
      </c>
      <c r="C106" s="0" t="s">
        <v>955</v>
      </c>
    </row>
    <row r="107">
      <c r="A107" s="0" t="s">
        <v>470</v>
      </c>
      <c r="B107" s="0" t="s">
        <v>530</v>
      </c>
    </row>
    <row r="108">
      <c r="A108" s="0" t="s">
        <v>472</v>
      </c>
      <c r="B108" s="0" t="s">
        <v>530</v>
      </c>
      <c r="C108" s="0" t="s">
        <v>530</v>
      </c>
    </row>
    <row r="109">
      <c r="A109" s="0" t="s">
        <v>473</v>
      </c>
      <c r="B109" s="0" t="s">
        <v>957</v>
      </c>
      <c r="C109" s="0" t="s">
        <v>958</v>
      </c>
    </row>
    <row r="110">
      <c r="A110" s="0" t="s">
        <v>262</v>
      </c>
      <c r="B110" s="0" t="s">
        <v>958</v>
      </c>
      <c r="C110" s="0" t="s">
        <v>957</v>
      </c>
    </row>
    <row r="111">
      <c r="A111" s="0" t="s">
        <v>474</v>
      </c>
      <c r="B111" s="0" t="s">
        <v>530</v>
      </c>
    </row>
    <row r="112">
      <c r="A112" s="0" t="s">
        <v>475</v>
      </c>
      <c r="B112" s="0" t="s">
        <v>530</v>
      </c>
    </row>
    <row r="113">
      <c r="A113" s="0" t="s">
        <v>476</v>
      </c>
      <c r="B113" s="0" t="s">
        <v>957</v>
      </c>
      <c r="C113" s="0" t="s">
        <v>955</v>
      </c>
    </row>
    <row r="114">
      <c r="A114" s="0" t="s">
        <v>477</v>
      </c>
      <c r="B114" s="0" t="s">
        <v>530</v>
      </c>
      <c r="C114" s="0" t="s">
        <v>530</v>
      </c>
      <c r="D114" s="0" t="s">
        <v>530</v>
      </c>
    </row>
    <row r="115">
      <c r="A115" s="0" t="s">
        <v>263</v>
      </c>
      <c r="B115" s="0" t="s">
        <v>958</v>
      </c>
      <c r="C115" s="0" t="s">
        <v>957</v>
      </c>
      <c r="D115" s="0" t="s">
        <v>955</v>
      </c>
    </row>
    <row r="116">
      <c r="A116" s="0" t="s">
        <v>478</v>
      </c>
      <c r="B116" s="0" t="s">
        <v>530</v>
      </c>
      <c r="C116" s="0" t="s">
        <v>530</v>
      </c>
      <c r="D116" s="0" t="s">
        <v>530</v>
      </c>
    </row>
    <row r="117">
      <c r="A117" s="0" t="s">
        <v>264</v>
      </c>
      <c r="B117" s="0" t="s">
        <v>958</v>
      </c>
      <c r="C117" s="0" t="s">
        <v>957</v>
      </c>
      <c r="D117" s="0" t="s">
        <v>955</v>
      </c>
    </row>
    <row r="118">
      <c r="A118" s="0" t="s">
        <v>479</v>
      </c>
      <c r="B118" s="0" t="s">
        <v>530</v>
      </c>
    </row>
    <row r="119">
      <c r="A119" s="0" t="s">
        <v>480</v>
      </c>
      <c r="B119" s="0" t="s">
        <v>530</v>
      </c>
    </row>
    <row r="120">
      <c r="A120" s="0" t="s">
        <v>482</v>
      </c>
      <c r="B120" s="0" t="s">
        <v>530</v>
      </c>
    </row>
    <row r="121">
      <c r="A121" s="0" t="s">
        <v>483</v>
      </c>
      <c r="B121" s="0" t="s">
        <v>530</v>
      </c>
      <c r="C121" s="0" t="s">
        <v>530</v>
      </c>
    </row>
    <row r="122">
      <c r="A122" s="0" t="s">
        <v>484</v>
      </c>
      <c r="B122" s="0" t="s">
        <v>530</v>
      </c>
      <c r="C122" s="0" t="s">
        <v>530</v>
      </c>
      <c r="D122" s="0" t="s">
        <v>530</v>
      </c>
      <c r="E122" s="0" t="s">
        <v>530</v>
      </c>
    </row>
    <row r="123">
      <c r="A123" s="0" t="s">
        <v>485</v>
      </c>
      <c r="B123" s="0" t="s">
        <v>966</v>
      </c>
      <c r="C123" s="0" t="s">
        <v>956</v>
      </c>
      <c r="D123" s="0" t="s">
        <v>967</v>
      </c>
      <c r="E123" s="0" t="s">
        <v>958</v>
      </c>
    </row>
    <row r="124">
      <c r="A124" s="0" t="s">
        <v>486</v>
      </c>
      <c r="B124" s="0" t="s">
        <v>530</v>
      </c>
    </row>
    <row r="125">
      <c r="A125" s="0" t="s">
        <v>487</v>
      </c>
      <c r="B125" s="0" t="s">
        <v>530</v>
      </c>
    </row>
    <row r="126">
      <c r="A126" s="0" t="s">
        <v>488</v>
      </c>
      <c r="B126" s="0" t="s">
        <v>958</v>
      </c>
      <c r="C126" s="0" t="s">
        <v>955</v>
      </c>
      <c r="D126" s="0" t="s">
        <v>957</v>
      </c>
    </row>
    <row r="127">
      <c r="A127" s="0" t="s">
        <v>490</v>
      </c>
      <c r="B127" s="0" t="s">
        <v>958</v>
      </c>
      <c r="C127" s="0" t="s">
        <v>957</v>
      </c>
      <c r="D127" s="0" t="s">
        <v>955</v>
      </c>
    </row>
    <row r="128">
      <c r="A128" s="0" t="s">
        <v>265</v>
      </c>
      <c r="B128" s="0" t="s">
        <v>958</v>
      </c>
      <c r="C128" s="0" t="s">
        <v>957</v>
      </c>
      <c r="D128" s="0" t="s">
        <v>955</v>
      </c>
      <c r="E128" s="0" t="s">
        <v>959</v>
      </c>
      <c r="F128" s="0" t="s">
        <v>960</v>
      </c>
    </row>
    <row r="129">
      <c r="A129" s="0" t="s">
        <v>491</v>
      </c>
      <c r="B129" s="0" t="s">
        <v>958</v>
      </c>
      <c r="C129" s="0" t="s">
        <v>956</v>
      </c>
      <c r="D129" s="0" t="s">
        <v>957</v>
      </c>
      <c r="E129" s="0" t="s">
        <v>955</v>
      </c>
      <c r="F129" s="0" t="s">
        <v>959</v>
      </c>
      <c r="G129" s="0" t="s">
        <v>960</v>
      </c>
    </row>
    <row r="130">
      <c r="A130" s="0" t="s">
        <v>493</v>
      </c>
      <c r="B130" s="0" t="s">
        <v>958</v>
      </c>
      <c r="C130" s="0" t="s">
        <v>956</v>
      </c>
    </row>
    <row r="131">
      <c r="A131" s="0" t="s">
        <v>494</v>
      </c>
      <c r="B131" s="0" t="s">
        <v>958</v>
      </c>
      <c r="C131" s="0" t="s">
        <v>956</v>
      </c>
      <c r="D131" s="0" t="s">
        <v>957</v>
      </c>
      <c r="E131" s="0" t="s">
        <v>955</v>
      </c>
    </row>
    <row r="132">
      <c r="A132" s="0" t="s">
        <v>496</v>
      </c>
      <c r="B132" s="0" t="s">
        <v>959</v>
      </c>
      <c r="C132" s="0" t="s">
        <v>960</v>
      </c>
      <c r="D132" s="0" t="s">
        <v>956</v>
      </c>
      <c r="E132" s="0" t="s">
        <v>958</v>
      </c>
      <c r="F132" s="0" t="s">
        <v>957</v>
      </c>
      <c r="G132" s="0" t="s">
        <v>955</v>
      </c>
    </row>
    <row r="133">
      <c r="A133" s="0" t="s">
        <v>497</v>
      </c>
      <c r="B133" s="0" t="s">
        <v>958</v>
      </c>
      <c r="C133" s="0" t="s">
        <v>956</v>
      </c>
      <c r="D133" s="0" t="s">
        <v>957</v>
      </c>
      <c r="E133" s="0" t="s">
        <v>955</v>
      </c>
      <c r="F133" s="0" t="s">
        <v>959</v>
      </c>
      <c r="G133" s="0" t="s">
        <v>960</v>
      </c>
    </row>
    <row r="134">
      <c r="A134" s="0" t="s">
        <v>498</v>
      </c>
      <c r="B134" s="0" t="s">
        <v>958</v>
      </c>
      <c r="C134" s="0" t="s">
        <v>957</v>
      </c>
      <c r="D134" s="0" t="s">
        <v>955</v>
      </c>
      <c r="E134" s="0" t="s">
        <v>959</v>
      </c>
    </row>
    <row r="135">
      <c r="A135" s="0" t="s">
        <v>499</v>
      </c>
      <c r="B135" s="0" t="s">
        <v>958</v>
      </c>
      <c r="C135" s="0" t="s">
        <v>957</v>
      </c>
      <c r="D135" s="0" t="s">
        <v>955</v>
      </c>
      <c r="E135" s="0" t="s">
        <v>959</v>
      </c>
      <c r="F135" s="0" t="s">
        <v>960</v>
      </c>
    </row>
    <row r="136">
      <c r="A136" s="0" t="s">
        <v>500</v>
      </c>
      <c r="B136" s="0" t="s">
        <v>958</v>
      </c>
      <c r="C136" s="0" t="s">
        <v>956</v>
      </c>
      <c r="D136" s="0" t="s">
        <v>957</v>
      </c>
      <c r="E136" s="0" t="s">
        <v>955</v>
      </c>
      <c r="F136" s="0" t="s">
        <v>959</v>
      </c>
      <c r="G136" s="0" t="s">
        <v>960</v>
      </c>
    </row>
    <row r="137">
      <c r="A137" s="0" t="s">
        <v>502</v>
      </c>
      <c r="B137" s="0" t="s">
        <v>958</v>
      </c>
      <c r="C137" s="0" t="s">
        <v>956</v>
      </c>
      <c r="D137" s="0" t="s">
        <v>957</v>
      </c>
      <c r="E137" s="0" t="s">
        <v>955</v>
      </c>
    </row>
    <row r="138">
      <c r="A138" s="0" t="s">
        <v>503</v>
      </c>
      <c r="B138" s="0" t="s">
        <v>958</v>
      </c>
      <c r="C138" s="0" t="s">
        <v>956</v>
      </c>
      <c r="D138" s="0" t="s">
        <v>957</v>
      </c>
      <c r="E138" s="0" t="s">
        <v>955</v>
      </c>
    </row>
    <row r="139">
      <c r="A139" s="0" t="s">
        <v>504</v>
      </c>
      <c r="B139" s="0" t="s">
        <v>958</v>
      </c>
      <c r="C139" s="0" t="s">
        <v>956</v>
      </c>
      <c r="D139" s="0" t="s">
        <v>957</v>
      </c>
      <c r="E139" s="0" t="s">
        <v>955</v>
      </c>
      <c r="F139" s="0" t="s">
        <v>959</v>
      </c>
      <c r="G139" s="0" t="s">
        <v>960</v>
      </c>
    </row>
    <row r="140">
      <c r="A140" s="0" t="s">
        <v>505</v>
      </c>
      <c r="B140" s="0" t="s">
        <v>958</v>
      </c>
      <c r="C140" s="0" t="s">
        <v>956</v>
      </c>
      <c r="D140" s="0" t="s">
        <v>957</v>
      </c>
      <c r="E140" s="0" t="s">
        <v>955</v>
      </c>
      <c r="F140" s="0" t="s">
        <v>959</v>
      </c>
      <c r="G140" s="0" t="s">
        <v>960</v>
      </c>
    </row>
    <row r="141">
      <c r="A141" s="0" t="s">
        <v>266</v>
      </c>
      <c r="B141" s="0" t="s">
        <v>52</v>
      </c>
      <c r="C141" s="0" t="s">
        <v>968</v>
      </c>
      <c r="D141" s="0" t="s">
        <v>969</v>
      </c>
      <c r="E141" s="0" t="s">
        <v>970</v>
      </c>
      <c r="F141" s="0" t="s">
        <v>971</v>
      </c>
      <c r="G141" s="0" t="s">
        <v>972</v>
      </c>
    </row>
    <row r="142">
      <c r="A142" s="0" t="s">
        <v>267</v>
      </c>
      <c r="B142" s="0" t="s">
        <v>52</v>
      </c>
      <c r="C142" s="0" t="s">
        <v>968</v>
      </c>
      <c r="D142" s="0" t="s">
        <v>969</v>
      </c>
      <c r="E142" s="0" t="s">
        <v>970</v>
      </c>
      <c r="F142" s="0" t="s">
        <v>971</v>
      </c>
      <c r="G142" s="0" t="s">
        <v>972</v>
      </c>
    </row>
    <row r="143">
      <c r="A143" s="0" t="s">
        <v>507</v>
      </c>
      <c r="B143" s="0" t="s">
        <v>973</v>
      </c>
      <c r="C143" s="0" t="s">
        <v>974</v>
      </c>
      <c r="D143" s="0" t="s">
        <v>53</v>
      </c>
      <c r="E143" s="0" t="s">
        <v>975</v>
      </c>
      <c r="F143" s="0" t="s">
        <v>976</v>
      </c>
      <c r="G143" s="0" t="s">
        <v>977</v>
      </c>
      <c r="H143" s="0" t="s">
        <v>972</v>
      </c>
    </row>
    <row r="144">
      <c r="A144" s="0" t="s">
        <v>509</v>
      </c>
      <c r="B144" s="0" t="s">
        <v>973</v>
      </c>
      <c r="C144" s="0" t="s">
        <v>974</v>
      </c>
      <c r="D144" s="0" t="s">
        <v>53</v>
      </c>
      <c r="E144" s="0" t="s">
        <v>975</v>
      </c>
      <c r="F144" s="0" t="s">
        <v>976</v>
      </c>
      <c r="G144" s="0" t="s">
        <v>977</v>
      </c>
      <c r="H144" s="0" t="s">
        <v>972</v>
      </c>
    </row>
    <row r="145">
      <c r="A145" s="0" t="s">
        <v>268</v>
      </c>
      <c r="B145" s="0" t="s">
        <v>530</v>
      </c>
    </row>
    <row r="146">
      <c r="A146" s="0" t="s">
        <v>510</v>
      </c>
      <c r="B146" s="0" t="s">
        <v>530</v>
      </c>
    </row>
    <row r="147">
      <c r="A147" s="0" t="s">
        <v>511</v>
      </c>
      <c r="B147" s="0" t="s">
        <v>978</v>
      </c>
    </row>
    <row r="148">
      <c r="A148" s="0" t="s">
        <v>512</v>
      </c>
      <c r="B148" s="0" t="s">
        <v>978</v>
      </c>
    </row>
    <row r="149">
      <c r="A149" s="0" t="s">
        <v>173</v>
      </c>
      <c r="B149" s="0" t="s">
        <v>530</v>
      </c>
    </row>
    <row r="150">
      <c r="A150" s="0" t="s">
        <v>269</v>
      </c>
      <c r="B150" s="0" t="s">
        <v>530</v>
      </c>
    </row>
    <row r="151">
      <c r="A151" s="0" t="s">
        <v>163</v>
      </c>
      <c r="B151" s="0" t="s">
        <v>530</v>
      </c>
    </row>
    <row r="152">
      <c r="A152" s="0" t="s">
        <v>270</v>
      </c>
      <c r="B152" s="0" t="s">
        <v>530</v>
      </c>
    </row>
    <row r="153">
      <c r="A153" s="0" t="s">
        <v>271</v>
      </c>
      <c r="B153" s="0" t="s">
        <v>530</v>
      </c>
    </row>
    <row r="154">
      <c r="A154" s="0" t="s">
        <v>517</v>
      </c>
      <c r="B154" s="0" t="s">
        <v>958</v>
      </c>
      <c r="C154" s="0" t="s">
        <v>957</v>
      </c>
    </row>
    <row r="155">
      <c r="A155" s="0" t="s">
        <v>272</v>
      </c>
      <c r="B155" s="0" t="s">
        <v>530</v>
      </c>
      <c r="C155" s="0" t="s">
        <v>530</v>
      </c>
    </row>
    <row r="156">
      <c r="A156" s="0" t="s">
        <v>273</v>
      </c>
      <c r="B156" s="0" t="s">
        <v>973</v>
      </c>
      <c r="C156" s="0" t="s">
        <v>974</v>
      </c>
    </row>
    <row r="157">
      <c r="A157" s="0" t="s">
        <v>274</v>
      </c>
      <c r="B157" s="0" t="s">
        <v>978</v>
      </c>
      <c r="C157" s="0" t="s">
        <v>979</v>
      </c>
    </row>
    <row r="158">
      <c r="A158" s="0" t="s">
        <v>275</v>
      </c>
      <c r="B158" s="0" t="s">
        <v>978</v>
      </c>
      <c r="C158" s="0" t="s">
        <v>979</v>
      </c>
    </row>
    <row r="159">
      <c r="A159" s="0" t="s">
        <v>276</v>
      </c>
      <c r="B159" s="0" t="s">
        <v>53</v>
      </c>
      <c r="C159" s="0" t="s">
        <v>51</v>
      </c>
    </row>
    <row r="160">
      <c r="A160" s="0" t="s">
        <v>277</v>
      </c>
      <c r="B160" s="0" t="s">
        <v>52</v>
      </c>
      <c r="C160" s="0" t="s">
        <v>980</v>
      </c>
      <c r="D160" s="0" t="s">
        <v>968</v>
      </c>
      <c r="E160" s="0" t="s">
        <v>969</v>
      </c>
      <c r="F160" s="0" t="s">
        <v>970</v>
      </c>
      <c r="G160" s="0" t="s">
        <v>971</v>
      </c>
    </row>
    <row r="161">
      <c r="A161" s="0" t="s">
        <v>278</v>
      </c>
      <c r="B161" s="0" t="s">
        <v>981</v>
      </c>
      <c r="C161" s="0" t="s">
        <v>973</v>
      </c>
      <c r="D161" s="0" t="s">
        <v>982</v>
      </c>
      <c r="E161" s="0" t="s">
        <v>983</v>
      </c>
      <c r="F161" s="0" t="s">
        <v>984</v>
      </c>
      <c r="G161" s="0" t="s">
        <v>985</v>
      </c>
      <c r="H161" s="0" t="s">
        <v>986</v>
      </c>
      <c r="I161" s="0" t="s">
        <v>987</v>
      </c>
    </row>
    <row r="162">
      <c r="A162" s="0" t="s">
        <v>519</v>
      </c>
      <c r="B162" s="0" t="s">
        <v>973</v>
      </c>
      <c r="C162" s="0" t="s">
        <v>974</v>
      </c>
      <c r="D162" s="0" t="s">
        <v>982</v>
      </c>
      <c r="E162" s="0" t="s">
        <v>987</v>
      </c>
      <c r="F162" s="0" t="s">
        <v>988</v>
      </c>
      <c r="G162" s="0" t="s">
        <v>989</v>
      </c>
      <c r="H162" s="0" t="s">
        <v>990</v>
      </c>
      <c r="I162" s="0" t="s">
        <v>991</v>
      </c>
    </row>
    <row r="163">
      <c r="A163" s="0" t="s">
        <v>279</v>
      </c>
      <c r="B163" s="0" t="s">
        <v>984</v>
      </c>
      <c r="C163" s="0" t="s">
        <v>992</v>
      </c>
      <c r="D163" s="0" t="s">
        <v>52</v>
      </c>
      <c r="E163" s="0" t="s">
        <v>987</v>
      </c>
      <c r="F163" s="0" t="s">
        <v>982</v>
      </c>
    </row>
    <row r="164">
      <c r="A164" s="0" t="s">
        <v>520</v>
      </c>
      <c r="B164" s="0" t="s">
        <v>958</v>
      </c>
      <c r="C164" s="0" t="s">
        <v>956</v>
      </c>
      <c r="D164" s="0" t="s">
        <v>957</v>
      </c>
      <c r="E164" s="0" t="s">
        <v>955</v>
      </c>
    </row>
    <row r="165">
      <c r="A165" s="0" t="s">
        <v>280</v>
      </c>
      <c r="B165" s="0" t="s">
        <v>973</v>
      </c>
      <c r="C165" s="0" t="s">
        <v>974</v>
      </c>
      <c r="D165" s="0" t="s">
        <v>53</v>
      </c>
      <c r="E165" s="0" t="s">
        <v>51</v>
      </c>
    </row>
    <row r="166">
      <c r="A166" s="0" t="s">
        <v>281</v>
      </c>
      <c r="B166" s="0" t="s">
        <v>973</v>
      </c>
      <c r="C166" s="0" t="s">
        <v>974</v>
      </c>
      <c r="D166" s="0" t="s">
        <v>53</v>
      </c>
      <c r="E166" s="0" t="s">
        <v>51</v>
      </c>
    </row>
    <row r="167">
      <c r="A167" s="0" t="s">
        <v>282</v>
      </c>
      <c r="B167" s="0" t="s">
        <v>530</v>
      </c>
      <c r="C167" s="0" t="s">
        <v>530</v>
      </c>
      <c r="D167" s="0" t="s">
        <v>530</v>
      </c>
      <c r="E167" s="0" t="s">
        <v>530</v>
      </c>
    </row>
    <row r="168">
      <c r="A168" s="0" t="s">
        <v>283</v>
      </c>
      <c r="B168" s="0" t="s">
        <v>51</v>
      </c>
      <c r="C168" s="0" t="s">
        <v>974</v>
      </c>
      <c r="D168" s="0" t="s">
        <v>973</v>
      </c>
      <c r="E168" s="0" t="s">
        <v>53</v>
      </c>
    </row>
    <row r="169">
      <c r="A169" s="0" t="s">
        <v>284</v>
      </c>
      <c r="B169" s="0" t="s">
        <v>973</v>
      </c>
      <c r="C169" s="0" t="s">
        <v>974</v>
      </c>
      <c r="D169" s="0" t="s">
        <v>53</v>
      </c>
      <c r="E169" s="0" t="s">
        <v>51</v>
      </c>
    </row>
    <row r="170">
      <c r="A170" s="0" t="s">
        <v>285</v>
      </c>
      <c r="B170" s="0" t="s">
        <v>978</v>
      </c>
      <c r="C170" s="0" t="s">
        <v>993</v>
      </c>
      <c r="D170" s="0" t="s">
        <v>994</v>
      </c>
      <c r="E170" s="0" t="s">
        <v>995</v>
      </c>
    </row>
    <row r="171">
      <c r="A171" s="0" t="s">
        <v>522</v>
      </c>
      <c r="B171" s="0" t="s">
        <v>973</v>
      </c>
      <c r="C171" s="0" t="s">
        <v>974</v>
      </c>
      <c r="D171" s="0" t="s">
        <v>53</v>
      </c>
      <c r="E171" s="0" t="s">
        <v>51</v>
      </c>
    </row>
    <row r="172">
      <c r="A172" s="0" t="s">
        <v>286</v>
      </c>
      <c r="B172" s="0" t="s">
        <v>52</v>
      </c>
      <c r="C172" s="0" t="s">
        <v>996</v>
      </c>
      <c r="D172" s="0" t="s">
        <v>997</v>
      </c>
      <c r="E172" s="0" t="s">
        <v>53</v>
      </c>
    </row>
    <row r="173">
      <c r="A173" s="0" t="s">
        <v>287</v>
      </c>
      <c r="B173" s="0" t="s">
        <v>982</v>
      </c>
      <c r="C173" s="0" t="s">
        <v>987</v>
      </c>
      <c r="D173" s="0" t="s">
        <v>973</v>
      </c>
      <c r="E173" s="0" t="s">
        <v>998</v>
      </c>
      <c r="F173" s="0" t="s">
        <v>999</v>
      </c>
      <c r="G173" s="0" t="s">
        <v>974</v>
      </c>
    </row>
    <row r="174">
      <c r="A174" s="0" t="s">
        <v>288</v>
      </c>
      <c r="B174" s="0" t="s">
        <v>973</v>
      </c>
      <c r="C174" s="0" t="s">
        <v>974</v>
      </c>
      <c r="D174" s="0" t="s">
        <v>982</v>
      </c>
      <c r="E174" s="0" t="s">
        <v>987</v>
      </c>
      <c r="F174" s="0" t="s">
        <v>999</v>
      </c>
      <c r="G174" s="0" t="s">
        <v>998</v>
      </c>
    </row>
    <row r="175">
      <c r="A175" s="0" t="s">
        <v>289</v>
      </c>
      <c r="B175" s="0" t="s">
        <v>987</v>
      </c>
      <c r="C175" s="0" t="s">
        <v>982</v>
      </c>
      <c r="D175" s="0" t="s">
        <v>973</v>
      </c>
      <c r="E175" s="0" t="s">
        <v>999</v>
      </c>
      <c r="F175" s="0" t="s">
        <v>998</v>
      </c>
      <c r="G175" s="0" t="s">
        <v>974</v>
      </c>
    </row>
    <row r="176">
      <c r="A176" s="0" t="s">
        <v>290</v>
      </c>
      <c r="B176" s="0" t="s">
        <v>973</v>
      </c>
      <c r="C176" s="0" t="s">
        <v>974</v>
      </c>
      <c r="D176" s="0" t="s">
        <v>982</v>
      </c>
      <c r="E176" s="0" t="s">
        <v>987</v>
      </c>
      <c r="F176" s="0" t="s">
        <v>999</v>
      </c>
      <c r="G176" s="0" t="s">
        <v>998</v>
      </c>
    </row>
    <row r="177">
      <c r="A177" s="0" t="s">
        <v>291</v>
      </c>
      <c r="B177" s="0" t="s">
        <v>973</v>
      </c>
      <c r="C177" s="0" t="s">
        <v>974</v>
      </c>
      <c r="D177" s="0" t="s">
        <v>982</v>
      </c>
      <c r="E177" s="0" t="s">
        <v>987</v>
      </c>
      <c r="F177" s="0" t="s">
        <v>999</v>
      </c>
      <c r="G177" s="0" t="s">
        <v>998</v>
      </c>
    </row>
    <row r="178">
      <c r="A178" s="0" t="s">
        <v>292</v>
      </c>
      <c r="B178" s="0" t="s">
        <v>1000</v>
      </c>
      <c r="C178" s="0" t="s">
        <v>53</v>
      </c>
      <c r="D178" s="0" t="s">
        <v>52</v>
      </c>
      <c r="E178" s="0" t="s">
        <v>1001</v>
      </c>
      <c r="F178" s="0" t="s">
        <v>983</v>
      </c>
      <c r="G178" s="0" t="s">
        <v>980</v>
      </c>
    </row>
    <row r="179">
      <c r="A179" s="0" t="s">
        <v>293</v>
      </c>
      <c r="B179" s="0" t="s">
        <v>1000</v>
      </c>
      <c r="C179" s="0" t="s">
        <v>53</v>
      </c>
      <c r="D179" s="0" t="s">
        <v>52</v>
      </c>
      <c r="E179" s="0" t="s">
        <v>1001</v>
      </c>
      <c r="F179" s="0" t="s">
        <v>1002</v>
      </c>
      <c r="G179" s="0" t="s">
        <v>980</v>
      </c>
    </row>
    <row r="180">
      <c r="A180" s="0" t="s">
        <v>294</v>
      </c>
      <c r="B180" s="0" t="s">
        <v>973</v>
      </c>
      <c r="C180" s="0" t="s">
        <v>974</v>
      </c>
      <c r="D180" s="0" t="s">
        <v>982</v>
      </c>
      <c r="E180" s="0" t="s">
        <v>987</v>
      </c>
      <c r="F180" s="0" t="s">
        <v>999</v>
      </c>
      <c r="G180" s="0" t="s">
        <v>998</v>
      </c>
    </row>
    <row r="181">
      <c r="A181" s="0" t="s">
        <v>526</v>
      </c>
      <c r="B181" s="0" t="s">
        <v>958</v>
      </c>
      <c r="C181" s="0" t="s">
        <v>956</v>
      </c>
      <c r="D181" s="0" t="s">
        <v>957</v>
      </c>
      <c r="E181" s="0" t="s">
        <v>955</v>
      </c>
      <c r="F181" s="0" t="s">
        <v>959</v>
      </c>
      <c r="G181" s="0" t="s">
        <v>960</v>
      </c>
    </row>
    <row r="182">
      <c r="A182" s="0" t="s">
        <v>295</v>
      </c>
      <c r="B182" s="0" t="s">
        <v>973</v>
      </c>
      <c r="C182" s="0" t="s">
        <v>53</v>
      </c>
      <c r="D182" s="0" t="s">
        <v>975</v>
      </c>
      <c r="E182" s="0" t="s">
        <v>976</v>
      </c>
      <c r="F182" s="0" t="s">
        <v>977</v>
      </c>
      <c r="G182" s="0" t="s">
        <v>1003</v>
      </c>
    </row>
    <row r="183">
      <c r="A183" s="0" t="s">
        <v>296</v>
      </c>
      <c r="B183" s="0" t="s">
        <v>530</v>
      </c>
    </row>
    <row r="184">
      <c r="A184" s="0" t="s">
        <v>527</v>
      </c>
      <c r="B184" s="0" t="s">
        <v>1004</v>
      </c>
      <c r="C184" s="0" t="s">
        <v>1005</v>
      </c>
      <c r="D184" s="0" t="s">
        <v>1006</v>
      </c>
      <c r="E184" s="0" t="s">
        <v>1007</v>
      </c>
    </row>
    <row r="185">
      <c r="A185" s="0" t="s">
        <v>528</v>
      </c>
      <c r="B185" s="0" t="s">
        <v>978</v>
      </c>
      <c r="C185" s="0" t="s">
        <v>994</v>
      </c>
      <c r="D185" s="0" t="s">
        <v>995</v>
      </c>
    </row>
    <row r="186">
      <c r="A186" s="0" t="s">
        <v>297</v>
      </c>
      <c r="B186" s="0" t="s">
        <v>51</v>
      </c>
      <c r="C186" s="0" t="s">
        <v>52</v>
      </c>
      <c r="D186" s="0" t="s">
        <v>53</v>
      </c>
    </row>
    <row r="187">
      <c r="A187" s="0" t="s">
        <v>49</v>
      </c>
      <c r="B187" s="0" t="s">
        <v>51</v>
      </c>
      <c r="C187" s="0" t="s">
        <v>52</v>
      </c>
      <c r="D187" s="0" t="s">
        <v>53</v>
      </c>
    </row>
    <row r="188">
      <c r="A188" s="0" t="s">
        <v>298</v>
      </c>
      <c r="B188" s="0" t="s">
        <v>978</v>
      </c>
      <c r="C188" s="0" t="s">
        <v>994</v>
      </c>
      <c r="D188" s="0" t="s">
        <v>995</v>
      </c>
    </row>
    <row r="189">
      <c r="A189" s="0" t="s">
        <v>299</v>
      </c>
      <c r="B189" s="0" t="s">
        <v>53</v>
      </c>
      <c r="C189" s="0" t="s">
        <v>52</v>
      </c>
      <c r="D189" s="0" t="s">
        <v>51</v>
      </c>
    </row>
    <row r="190">
      <c r="A190" s="0" t="s">
        <v>529</v>
      </c>
      <c r="B190" s="0" t="s">
        <v>958</v>
      </c>
      <c r="C190" s="0" t="s">
        <v>957</v>
      </c>
      <c r="D190" s="0" t="s">
        <v>955</v>
      </c>
    </row>
    <row r="191">
      <c r="A191" s="0" t="s">
        <v>300</v>
      </c>
      <c r="B191" s="0" t="s">
        <v>530</v>
      </c>
    </row>
    <row r="192">
      <c r="A192" s="0" t="s">
        <v>301</v>
      </c>
      <c r="B192" s="0" t="s">
        <v>530</v>
      </c>
      <c r="C192" s="0" t="s">
        <v>530</v>
      </c>
    </row>
    <row r="193">
      <c r="A193" s="0" t="s">
        <v>531</v>
      </c>
      <c r="B193" s="0" t="s">
        <v>530</v>
      </c>
      <c r="C193" s="0" t="s">
        <v>530</v>
      </c>
      <c r="D193" s="0" t="s">
        <v>530</v>
      </c>
    </row>
    <row r="194">
      <c r="A194" s="0" t="s">
        <v>302</v>
      </c>
      <c r="B194" s="0" t="s">
        <v>530</v>
      </c>
    </row>
    <row r="195">
      <c r="A195" s="0" t="s">
        <v>303</v>
      </c>
      <c r="B195" s="0" t="s">
        <v>530</v>
      </c>
    </row>
    <row r="196">
      <c r="A196" s="0" t="s">
        <v>304</v>
      </c>
      <c r="B196" s="0" t="s">
        <v>530</v>
      </c>
      <c r="C196" s="0" t="s">
        <v>530</v>
      </c>
    </row>
    <row r="197">
      <c r="A197" s="0" t="s">
        <v>305</v>
      </c>
      <c r="B197" s="0" t="s">
        <v>530</v>
      </c>
      <c r="C197" s="0" t="s">
        <v>530</v>
      </c>
    </row>
    <row r="198">
      <c r="A198" s="0" t="s">
        <v>306</v>
      </c>
      <c r="B198" s="0" t="s">
        <v>1008</v>
      </c>
      <c r="C198" s="0" t="s">
        <v>1009</v>
      </c>
      <c r="D198" s="0" t="s">
        <v>1010</v>
      </c>
    </row>
    <row r="199">
      <c r="A199" s="0" t="s">
        <v>307</v>
      </c>
      <c r="B199" s="0" t="s">
        <v>530</v>
      </c>
      <c r="C199" s="0" t="s">
        <v>530</v>
      </c>
    </row>
    <row r="200">
      <c r="A200" s="0" t="s">
        <v>533</v>
      </c>
      <c r="B200" s="0" t="s">
        <v>530</v>
      </c>
      <c r="C200" s="0" t="s">
        <v>530</v>
      </c>
      <c r="D200" s="0" t="s">
        <v>530</v>
      </c>
    </row>
    <row r="201">
      <c r="A201" s="0" t="s">
        <v>308</v>
      </c>
      <c r="B201" s="0" t="s">
        <v>958</v>
      </c>
      <c r="C201" s="0" t="s">
        <v>957</v>
      </c>
      <c r="D201" s="0" t="s">
        <v>955</v>
      </c>
    </row>
    <row r="202">
      <c r="A202" s="0" t="s">
        <v>309</v>
      </c>
      <c r="B202" s="0" t="s">
        <v>530</v>
      </c>
    </row>
    <row r="203">
      <c r="A203" s="0" t="s">
        <v>310</v>
      </c>
      <c r="B203" s="0" t="s">
        <v>530</v>
      </c>
    </row>
    <row r="204">
      <c r="A204" s="0" t="s">
        <v>311</v>
      </c>
      <c r="B204" s="0" t="s">
        <v>530</v>
      </c>
    </row>
    <row r="205">
      <c r="A205" s="0" t="s">
        <v>312</v>
      </c>
      <c r="B205" s="0" t="s">
        <v>530</v>
      </c>
    </row>
    <row r="206">
      <c r="A206" s="0" t="s">
        <v>534</v>
      </c>
      <c r="B206" s="0" t="s">
        <v>530</v>
      </c>
    </row>
    <row r="207">
      <c r="A207" s="0" t="s">
        <v>535</v>
      </c>
      <c r="B207" s="0" t="s">
        <v>530</v>
      </c>
      <c r="C207" s="0" t="s">
        <v>530</v>
      </c>
    </row>
    <row r="208">
      <c r="A208" s="0" t="s">
        <v>536</v>
      </c>
      <c r="B208" s="0" t="s">
        <v>530</v>
      </c>
    </row>
    <row r="209">
      <c r="A209" s="0" t="s">
        <v>313</v>
      </c>
      <c r="B209" s="0" t="s">
        <v>530</v>
      </c>
    </row>
    <row r="210">
      <c r="A210" s="0" t="s">
        <v>314</v>
      </c>
      <c r="B210" s="0" t="s">
        <v>1011</v>
      </c>
      <c r="C210" s="0" t="s">
        <v>1012</v>
      </c>
      <c r="D210" s="0" t="s">
        <v>1013</v>
      </c>
    </row>
    <row r="211">
      <c r="A211" s="0" t="s">
        <v>537</v>
      </c>
      <c r="B211" s="0" t="s">
        <v>955</v>
      </c>
      <c r="C211" s="0" t="s">
        <v>958</v>
      </c>
      <c r="D211" s="0" t="s">
        <v>957</v>
      </c>
    </row>
    <row r="212">
      <c r="A212" s="0" t="s">
        <v>315</v>
      </c>
      <c r="B212" s="0" t="s">
        <v>530</v>
      </c>
    </row>
    <row r="213">
      <c r="A213" s="0" t="s">
        <v>539</v>
      </c>
      <c r="B213" s="0" t="s">
        <v>958</v>
      </c>
      <c r="C213" s="0" t="s">
        <v>1014</v>
      </c>
      <c r="D213" s="0" t="s">
        <v>1015</v>
      </c>
      <c r="E213" s="0" t="s">
        <v>957</v>
      </c>
      <c r="F213" s="0" t="s">
        <v>955</v>
      </c>
    </row>
    <row r="214">
      <c r="A214" s="0" t="s">
        <v>316</v>
      </c>
      <c r="B214" s="0" t="s">
        <v>530</v>
      </c>
    </row>
    <row r="215">
      <c r="A215" s="0" t="s">
        <v>317</v>
      </c>
      <c r="B215" s="0" t="s">
        <v>530</v>
      </c>
    </row>
    <row r="216">
      <c r="A216" s="0" t="s">
        <v>318</v>
      </c>
      <c r="B216" s="0" t="s">
        <v>958</v>
      </c>
      <c r="C216" s="0" t="s">
        <v>967</v>
      </c>
    </row>
    <row r="217">
      <c r="A217" s="0" t="s">
        <v>542</v>
      </c>
      <c r="B217" s="0" t="s">
        <v>530</v>
      </c>
      <c r="C217" s="0" t="s">
        <v>530</v>
      </c>
      <c r="D217" s="0" t="s">
        <v>530</v>
      </c>
    </row>
    <row r="218">
      <c r="A218" s="0" t="s">
        <v>319</v>
      </c>
      <c r="B218" s="0" t="s">
        <v>530</v>
      </c>
      <c r="C218" s="0" t="s">
        <v>530</v>
      </c>
      <c r="D218" s="0" t="s">
        <v>530</v>
      </c>
    </row>
    <row r="219">
      <c r="A219" s="0" t="s">
        <v>320</v>
      </c>
      <c r="B219" s="0" t="s">
        <v>958</v>
      </c>
      <c r="C219" s="0" t="s">
        <v>957</v>
      </c>
      <c r="D219" s="0" t="s">
        <v>955</v>
      </c>
    </row>
    <row r="220">
      <c r="A220" s="0" t="s">
        <v>321</v>
      </c>
      <c r="B220" s="0" t="s">
        <v>958</v>
      </c>
      <c r="C220" s="0" t="s">
        <v>957</v>
      </c>
      <c r="D220" s="0" t="s">
        <v>955</v>
      </c>
      <c r="E220" s="0" t="s">
        <v>959</v>
      </c>
      <c r="F220" s="0" t="s">
        <v>960</v>
      </c>
    </row>
    <row r="221">
      <c r="A221" s="0" t="s">
        <v>322</v>
      </c>
      <c r="B221" s="0" t="s">
        <v>958</v>
      </c>
      <c r="C221" s="0" t="s">
        <v>957</v>
      </c>
      <c r="D221" s="0" t="s">
        <v>955</v>
      </c>
      <c r="E221" s="0" t="s">
        <v>959</v>
      </c>
      <c r="F221" s="0" t="s">
        <v>960</v>
      </c>
    </row>
    <row r="222">
      <c r="A222" s="0" t="s">
        <v>544</v>
      </c>
      <c r="B222" s="0" t="s">
        <v>530</v>
      </c>
      <c r="C222" s="0" t="s">
        <v>530</v>
      </c>
      <c r="D222" s="0" t="s">
        <v>530</v>
      </c>
    </row>
    <row r="223">
      <c r="A223" s="0" t="s">
        <v>323</v>
      </c>
      <c r="B223" s="0" t="s">
        <v>530</v>
      </c>
      <c r="C223" s="0" t="s">
        <v>530</v>
      </c>
      <c r="D223" s="0" t="s">
        <v>530</v>
      </c>
    </row>
    <row r="224">
      <c r="A224" s="0" t="s">
        <v>324</v>
      </c>
      <c r="B224" s="0" t="s">
        <v>958</v>
      </c>
      <c r="C224" s="0" t="s">
        <v>957</v>
      </c>
      <c r="D224" s="0" t="s">
        <v>955</v>
      </c>
    </row>
    <row r="225">
      <c r="A225" s="0" t="s">
        <v>325</v>
      </c>
      <c r="B225" s="0" t="s">
        <v>967</v>
      </c>
      <c r="C225" s="0" t="s">
        <v>957</v>
      </c>
    </row>
    <row r="226">
      <c r="A226" s="0" t="s">
        <v>545</v>
      </c>
      <c r="B226" s="0" t="s">
        <v>530</v>
      </c>
    </row>
    <row r="227">
      <c r="A227" s="0" t="s">
        <v>326</v>
      </c>
      <c r="B227" s="0" t="s">
        <v>530</v>
      </c>
    </row>
    <row r="228">
      <c r="A228" s="0" t="s">
        <v>546</v>
      </c>
      <c r="B228" s="0" t="s">
        <v>530</v>
      </c>
      <c r="C228" s="0" t="s">
        <v>530</v>
      </c>
    </row>
    <row r="229">
      <c r="A229" s="0" t="s">
        <v>327</v>
      </c>
      <c r="B229" s="0" t="s">
        <v>530</v>
      </c>
      <c r="C229" s="0" t="s">
        <v>530</v>
      </c>
    </row>
    <row r="230">
      <c r="A230" s="0" t="s">
        <v>328</v>
      </c>
      <c r="B230" s="0" t="s">
        <v>530</v>
      </c>
      <c r="C230" s="0" t="s">
        <v>530</v>
      </c>
      <c r="D230" s="0" t="s">
        <v>530</v>
      </c>
    </row>
    <row r="231">
      <c r="A231" s="0" t="s">
        <v>547</v>
      </c>
      <c r="B231" s="0" t="s">
        <v>530</v>
      </c>
      <c r="C231" s="0" t="s">
        <v>530</v>
      </c>
      <c r="D231" s="0" t="s">
        <v>530</v>
      </c>
    </row>
    <row r="232">
      <c r="A232" s="0" t="s">
        <v>329</v>
      </c>
      <c r="B232" s="0" t="s">
        <v>530</v>
      </c>
      <c r="C232" s="0" t="s">
        <v>530</v>
      </c>
      <c r="D232" s="0" t="s">
        <v>530</v>
      </c>
    </row>
    <row r="233">
      <c r="A233" s="0" t="s">
        <v>330</v>
      </c>
      <c r="B233" s="0" t="s">
        <v>1016</v>
      </c>
      <c r="C233" s="0" t="s">
        <v>1017</v>
      </c>
      <c r="D233" s="0" t="s">
        <v>530</v>
      </c>
    </row>
    <row r="234">
      <c r="A234" s="0" t="s">
        <v>548</v>
      </c>
      <c r="B234" s="0" t="s">
        <v>530</v>
      </c>
      <c r="C234" s="0" t="s">
        <v>530</v>
      </c>
    </row>
    <row r="235">
      <c r="A235" s="0" t="s">
        <v>549</v>
      </c>
      <c r="B235" s="0" t="s">
        <v>530</v>
      </c>
      <c r="C235" s="0" t="s">
        <v>530</v>
      </c>
    </row>
    <row r="236">
      <c r="A236" s="0" t="s">
        <v>550</v>
      </c>
      <c r="B236" s="0" t="s">
        <v>530</v>
      </c>
      <c r="C236" s="0" t="s">
        <v>530</v>
      </c>
    </row>
    <row r="237">
      <c r="A237" s="0" t="s">
        <v>551</v>
      </c>
      <c r="B237" s="0" t="s">
        <v>530</v>
      </c>
    </row>
    <row r="238">
      <c r="A238" s="0" t="s">
        <v>552</v>
      </c>
      <c r="B238" s="0" t="s">
        <v>958</v>
      </c>
      <c r="C238" s="0" t="s">
        <v>956</v>
      </c>
      <c r="D238" s="0" t="s">
        <v>957</v>
      </c>
      <c r="E238" s="0" t="s">
        <v>955</v>
      </c>
    </row>
    <row r="239">
      <c r="A239" s="0" t="s">
        <v>331</v>
      </c>
      <c r="B239" s="0" t="s">
        <v>530</v>
      </c>
    </row>
    <row r="240">
      <c r="A240" s="0" t="s">
        <v>332</v>
      </c>
      <c r="B240" s="0" t="s">
        <v>530</v>
      </c>
    </row>
    <row r="241">
      <c r="A241" s="0" t="s">
        <v>333</v>
      </c>
      <c r="B241" s="0" t="s">
        <v>530</v>
      </c>
    </row>
    <row r="242">
      <c r="A242" s="0" t="s">
        <v>334</v>
      </c>
      <c r="B242" s="0" t="s">
        <v>530</v>
      </c>
    </row>
    <row r="243">
      <c r="A243" s="0" t="s">
        <v>553</v>
      </c>
      <c r="B243" s="0" t="s">
        <v>530</v>
      </c>
    </row>
    <row r="244">
      <c r="A244" s="0" t="s">
        <v>335</v>
      </c>
      <c r="B244" s="0" t="s">
        <v>530</v>
      </c>
      <c r="C244" s="0" t="s">
        <v>530</v>
      </c>
      <c r="D244" s="0" t="s">
        <v>530</v>
      </c>
      <c r="E244" s="0" t="s">
        <v>530</v>
      </c>
    </row>
    <row r="245">
      <c r="A245" s="0" t="s">
        <v>336</v>
      </c>
      <c r="B245" s="0" t="s">
        <v>530</v>
      </c>
      <c r="C245" s="0" t="s">
        <v>530</v>
      </c>
    </row>
    <row r="246">
      <c r="A246" s="0" t="s">
        <v>555</v>
      </c>
      <c r="B246" s="0" t="s">
        <v>530</v>
      </c>
      <c r="C246" s="0" t="s">
        <v>530</v>
      </c>
    </row>
    <row r="247">
      <c r="A247" s="0" t="s">
        <v>337</v>
      </c>
      <c r="B247" s="0" t="s">
        <v>530</v>
      </c>
      <c r="C247" s="0" t="s">
        <v>530</v>
      </c>
      <c r="D247" s="0" t="s">
        <v>530</v>
      </c>
    </row>
    <row r="248">
      <c r="A248" s="0" t="s">
        <v>338</v>
      </c>
      <c r="B248" s="0" t="s">
        <v>530</v>
      </c>
      <c r="C248" s="0" t="s">
        <v>530</v>
      </c>
      <c r="D248" s="0" t="s">
        <v>530</v>
      </c>
    </row>
    <row r="249">
      <c r="A249" s="0" t="s">
        <v>556</v>
      </c>
      <c r="B249" s="0" t="s">
        <v>958</v>
      </c>
      <c r="C249" s="0" t="s">
        <v>956</v>
      </c>
      <c r="D249" s="0" t="s">
        <v>1018</v>
      </c>
      <c r="E249" s="0" t="s">
        <v>957</v>
      </c>
      <c r="F249" s="0" t="s">
        <v>955</v>
      </c>
      <c r="G249" s="0" t="s">
        <v>959</v>
      </c>
      <c r="H249" s="0" t="s">
        <v>960</v>
      </c>
      <c r="I249" s="0" t="s">
        <v>1019</v>
      </c>
      <c r="J249" s="0" t="s">
        <v>1020</v>
      </c>
    </row>
    <row r="250">
      <c r="A250" s="0" t="s">
        <v>339</v>
      </c>
      <c r="B250" s="0" t="s">
        <v>958</v>
      </c>
      <c r="C250" s="0" t="s">
        <v>956</v>
      </c>
      <c r="D250" s="0" t="s">
        <v>957</v>
      </c>
      <c r="E250" s="0" t="s">
        <v>955</v>
      </c>
      <c r="F250" s="0" t="s">
        <v>959</v>
      </c>
      <c r="G250" s="0" t="s">
        <v>960</v>
      </c>
    </row>
    <row r="251">
      <c r="A251" s="0" t="s">
        <v>341</v>
      </c>
      <c r="B251" s="0" t="s">
        <v>958</v>
      </c>
      <c r="C251" s="0" t="s">
        <v>956</v>
      </c>
      <c r="D251" s="0" t="s">
        <v>967</v>
      </c>
      <c r="E251" s="0" t="s">
        <v>966</v>
      </c>
      <c r="F251" s="0" t="s">
        <v>957</v>
      </c>
      <c r="G251" s="0" t="s">
        <v>955</v>
      </c>
      <c r="H251" s="0" t="s">
        <v>959</v>
      </c>
      <c r="I251" s="0" t="s">
        <v>960</v>
      </c>
    </row>
    <row r="252">
      <c r="A252" s="0" t="s">
        <v>342</v>
      </c>
      <c r="B252" s="0" t="s">
        <v>958</v>
      </c>
      <c r="C252" s="0" t="s">
        <v>956</v>
      </c>
      <c r="D252" s="0" t="s">
        <v>967</v>
      </c>
      <c r="E252" s="0" t="s">
        <v>966</v>
      </c>
      <c r="F252" s="0" t="s">
        <v>957</v>
      </c>
      <c r="G252" s="0" t="s">
        <v>955</v>
      </c>
      <c r="H252" s="0" t="s">
        <v>959</v>
      </c>
      <c r="I252" s="0" t="s">
        <v>960</v>
      </c>
    </row>
    <row r="253">
      <c r="A253" s="0" t="s">
        <v>343</v>
      </c>
      <c r="B253" s="0" t="s">
        <v>958</v>
      </c>
      <c r="C253" s="0" t="s">
        <v>1014</v>
      </c>
      <c r="D253" s="0" t="s">
        <v>1015</v>
      </c>
      <c r="E253" s="0" t="s">
        <v>957</v>
      </c>
      <c r="F253" s="0" t="s">
        <v>955</v>
      </c>
    </row>
    <row r="254">
      <c r="A254" s="0" t="s">
        <v>344</v>
      </c>
      <c r="B254" s="0" t="s">
        <v>958</v>
      </c>
      <c r="C254" s="0" t="s">
        <v>1021</v>
      </c>
      <c r="D254" s="0" t="s">
        <v>1022</v>
      </c>
      <c r="E254" s="0" t="s">
        <v>1023</v>
      </c>
      <c r="F254" s="0" t="s">
        <v>1024</v>
      </c>
    </row>
    <row r="255">
      <c r="A255" s="0" t="s">
        <v>345</v>
      </c>
      <c r="B255" s="0" t="s">
        <v>958</v>
      </c>
      <c r="C255" s="0" t="s">
        <v>1021</v>
      </c>
      <c r="D255" s="0" t="s">
        <v>1022</v>
      </c>
      <c r="E255" s="0" t="s">
        <v>1023</v>
      </c>
      <c r="F255" s="0" t="s">
        <v>1024</v>
      </c>
    </row>
    <row r="256">
      <c r="A256" s="0" t="s">
        <v>557</v>
      </c>
      <c r="B256" s="0" t="s">
        <v>958</v>
      </c>
      <c r="C256" s="0" t="s">
        <v>956</v>
      </c>
      <c r="D256" s="0" t="s">
        <v>957</v>
      </c>
      <c r="E256" s="0" t="s">
        <v>955</v>
      </c>
      <c r="F256" s="0" t="s">
        <v>959</v>
      </c>
      <c r="G256" s="0" t="s">
        <v>960</v>
      </c>
    </row>
    <row r="257">
      <c r="A257" s="0" t="s">
        <v>346</v>
      </c>
      <c r="B257" s="0" t="s">
        <v>530</v>
      </c>
      <c r="C257" s="0" t="s">
        <v>530</v>
      </c>
      <c r="D257" s="0" t="s">
        <v>530</v>
      </c>
    </row>
    <row r="258">
      <c r="A258" s="0" t="s">
        <v>347</v>
      </c>
      <c r="B258" s="0" t="s">
        <v>530</v>
      </c>
      <c r="C258" s="0" t="s">
        <v>530</v>
      </c>
      <c r="D258" s="0" t="s">
        <v>530</v>
      </c>
      <c r="E258" s="0" t="s">
        <v>530</v>
      </c>
    </row>
    <row r="259">
      <c r="A259" s="0" t="s">
        <v>348</v>
      </c>
      <c r="B259" s="0" t="s">
        <v>958</v>
      </c>
      <c r="C259" s="0" t="s">
        <v>967</v>
      </c>
      <c r="D259" s="0" t="s">
        <v>966</v>
      </c>
    </row>
    <row r="260">
      <c r="A260" s="0" t="s">
        <v>349</v>
      </c>
      <c r="B260" s="0" t="s">
        <v>958</v>
      </c>
      <c r="C260" s="0" t="s">
        <v>967</v>
      </c>
      <c r="D260" s="0" t="s">
        <v>966</v>
      </c>
    </row>
    <row r="261">
      <c r="A261" s="0" t="s">
        <v>558</v>
      </c>
      <c r="B261" s="0" t="s">
        <v>958</v>
      </c>
      <c r="C261" s="0" t="s">
        <v>957</v>
      </c>
      <c r="D261" s="0" t="s">
        <v>955</v>
      </c>
    </row>
    <row r="262">
      <c r="A262" s="0" t="s">
        <v>350</v>
      </c>
      <c r="B262" s="0" t="s">
        <v>958</v>
      </c>
      <c r="C262" s="0" t="s">
        <v>956</v>
      </c>
      <c r="D262" s="0" t="s">
        <v>957</v>
      </c>
      <c r="E262" s="0" t="s">
        <v>955</v>
      </c>
      <c r="F262" s="0" t="s">
        <v>959</v>
      </c>
      <c r="G262" s="0" t="s">
        <v>960</v>
      </c>
    </row>
    <row r="263">
      <c r="A263" s="0" t="s">
        <v>559</v>
      </c>
      <c r="B263" s="0" t="s">
        <v>530</v>
      </c>
      <c r="C263" s="0" t="s">
        <v>530</v>
      </c>
      <c r="D263" s="0" t="s">
        <v>530</v>
      </c>
      <c r="E263" s="0" t="s">
        <v>530</v>
      </c>
    </row>
    <row r="264">
      <c r="A264" s="0" t="s">
        <v>351</v>
      </c>
      <c r="B264" s="0" t="s">
        <v>530</v>
      </c>
      <c r="C264" s="0" t="s">
        <v>530</v>
      </c>
      <c r="D264" s="0" t="s">
        <v>530</v>
      </c>
      <c r="E264" s="0" t="s">
        <v>530</v>
      </c>
      <c r="F264" s="0" t="s">
        <v>530</v>
      </c>
    </row>
    <row r="265">
      <c r="A265" s="0" t="s">
        <v>352</v>
      </c>
      <c r="B265" s="0" t="s">
        <v>530</v>
      </c>
    </row>
    <row r="266">
      <c r="A266" s="0" t="s">
        <v>353</v>
      </c>
      <c r="B266" s="0" t="s">
        <v>530</v>
      </c>
    </row>
    <row r="267">
      <c r="A267" s="0" t="s">
        <v>560</v>
      </c>
      <c r="B267" s="0" t="s">
        <v>957</v>
      </c>
      <c r="C267" s="0" t="s">
        <v>955</v>
      </c>
    </row>
    <row r="268">
      <c r="A268" s="0" t="s">
        <v>354</v>
      </c>
      <c r="B268" s="0" t="s">
        <v>530</v>
      </c>
    </row>
    <row r="269">
      <c r="A269" s="0" t="s">
        <v>561</v>
      </c>
      <c r="B269" s="0" t="s">
        <v>530</v>
      </c>
    </row>
  </sheetData>
  <headerFooter/>
</worksheet>
</file>

<file path=xl/worksheets/sheet33.xml><?xml version="1.0" encoding="utf-8"?>
<worksheet xmlns:r="http://schemas.openxmlformats.org/officeDocument/2006/relationships" xmlns="http://schemas.openxmlformats.org/spreadsheetml/2006/main" xmlns:xr="http://schemas.microsoft.com/office/spreadsheetml/2014/revision" xmlns:mc="http://schemas.openxmlformats.org/markup-compatibility/2006" mc:Ignorable="xr">
  <sheetPr codeName="RRUs"/>
  <dimension ref="A1:A29"/>
  <sheetViews>
    <sheetView workbookViewId="0"/>
  </sheetViews>
  <sheetFormatPr defaultRowHeight="15"/>
  <sheetData>
    <row r="1">
      <c r="A1" s="0" t="s">
        <v>1025</v>
      </c>
    </row>
    <row r="2">
      <c r="A2" s="0" t="s">
        <v>1026</v>
      </c>
    </row>
    <row r="3">
      <c r="A3" s="0" t="s">
        <v>1027</v>
      </c>
    </row>
    <row r="4">
      <c r="A4" s="0" t="s">
        <v>1028</v>
      </c>
    </row>
    <row r="5">
      <c r="A5" s="0" t="s">
        <v>1029</v>
      </c>
    </row>
    <row r="6">
      <c r="A6" s="0" t="s">
        <v>1030</v>
      </c>
    </row>
    <row r="7">
      <c r="A7" s="0" t="s">
        <v>1031</v>
      </c>
    </row>
    <row r="8">
      <c r="A8" s="0" t="s">
        <v>1032</v>
      </c>
    </row>
    <row r="9">
      <c r="A9" s="0" t="s">
        <v>1033</v>
      </c>
    </row>
    <row r="10">
      <c r="A10" s="0" t="s">
        <v>1034</v>
      </c>
    </row>
    <row r="11">
      <c r="A11" s="0" t="s">
        <v>1035</v>
      </c>
    </row>
    <row r="12">
      <c r="A12" s="0" t="s">
        <v>1036</v>
      </c>
    </row>
    <row r="13">
      <c r="A13" s="0" t="s">
        <v>1037</v>
      </c>
    </row>
    <row r="14">
      <c r="A14" s="0" t="s">
        <v>1038</v>
      </c>
    </row>
    <row r="15">
      <c r="A15" s="0" t="s">
        <v>1039</v>
      </c>
    </row>
    <row r="16">
      <c r="A16" s="0" t="s">
        <v>1040</v>
      </c>
    </row>
    <row r="17">
      <c r="A17" s="0" t="s">
        <v>600</v>
      </c>
    </row>
    <row r="18">
      <c r="A18" s="0" t="s">
        <v>1041</v>
      </c>
    </row>
    <row r="19">
      <c r="A19" s="0" t="s">
        <v>1042</v>
      </c>
    </row>
    <row r="20">
      <c r="A20" s="0" t="s">
        <v>1043</v>
      </c>
    </row>
    <row r="21">
      <c r="A21" s="0" t="s">
        <v>1044</v>
      </c>
    </row>
    <row r="22">
      <c r="A22" s="0" t="s">
        <v>1045</v>
      </c>
    </row>
    <row r="23">
      <c r="A23" s="0" t="s">
        <v>1046</v>
      </c>
    </row>
    <row r="24">
      <c r="A24" s="0" t="s">
        <v>1047</v>
      </c>
    </row>
    <row r="25">
      <c r="A25" s="0" t="s">
        <v>1048</v>
      </c>
    </row>
    <row r="26">
      <c r="A26" s="0" t="s">
        <v>1049</v>
      </c>
    </row>
    <row r="27">
      <c r="A27" s="0" t="s">
        <v>1050</v>
      </c>
    </row>
    <row r="28">
      <c r="A28" s="0" t="s">
        <v>1051</v>
      </c>
    </row>
    <row r="29">
      <c r="A29" s="0" t="s">
        <v>61</v>
      </c>
    </row>
  </sheetData>
  <headerFooter/>
</worksheet>
</file>

<file path=xl/worksheets/sheet34.xml><?xml version="1.0" encoding="utf-8"?>
<worksheet xmlns:r="http://schemas.openxmlformats.org/officeDocument/2006/relationships" xmlns="http://schemas.openxmlformats.org/spreadsheetml/2006/main" xmlns:xr="http://schemas.microsoft.com/office/spreadsheetml/2014/revision" xmlns:mc="http://schemas.openxmlformats.org/markup-compatibility/2006" mc:Ignorable="xr">
  <sheetPr codeName="Combiners"/>
  <dimension ref="A1:A44"/>
  <sheetViews>
    <sheetView workbookViewId="0"/>
  </sheetViews>
  <sheetFormatPr defaultRowHeight="15"/>
  <sheetData>
    <row r="1">
      <c r="A1" s="0" t="s">
        <v>1052</v>
      </c>
    </row>
    <row r="2">
      <c r="A2" s="0" t="s">
        <v>1053</v>
      </c>
    </row>
    <row r="3">
      <c r="A3" s="0" t="s">
        <v>1054</v>
      </c>
    </row>
    <row r="4">
      <c r="A4" s="0" t="s">
        <v>1055</v>
      </c>
    </row>
    <row r="5">
      <c r="A5" s="0" t="s">
        <v>1056</v>
      </c>
    </row>
    <row r="6">
      <c r="A6" s="0" t="s">
        <v>1057</v>
      </c>
    </row>
    <row r="7">
      <c r="A7" s="0" t="s">
        <v>1058</v>
      </c>
    </row>
    <row r="8">
      <c r="A8" s="0" t="s">
        <v>1059</v>
      </c>
    </row>
    <row r="9">
      <c r="A9" s="0" t="s">
        <v>1060</v>
      </c>
    </row>
    <row r="10">
      <c r="A10" s="0" t="s">
        <v>1061</v>
      </c>
    </row>
    <row r="11">
      <c r="A11" s="0" t="s">
        <v>1062</v>
      </c>
    </row>
    <row r="12">
      <c r="A12" s="0" t="s">
        <v>1063</v>
      </c>
    </row>
    <row r="13">
      <c r="A13" s="0" t="s">
        <v>1064</v>
      </c>
    </row>
    <row r="14">
      <c r="A14" s="0" t="s">
        <v>1065</v>
      </c>
    </row>
    <row r="15">
      <c r="A15" s="0" t="s">
        <v>1066</v>
      </c>
    </row>
    <row r="16">
      <c r="A16" s="0" t="s">
        <v>1067</v>
      </c>
    </row>
    <row r="17">
      <c r="A17" s="0" t="s">
        <v>1068</v>
      </c>
    </row>
    <row r="18">
      <c r="A18" s="0" t="s">
        <v>1069</v>
      </c>
    </row>
    <row r="19">
      <c r="A19" s="0" t="s">
        <v>1070</v>
      </c>
    </row>
    <row r="20">
      <c r="A20" s="0" t="s">
        <v>1071</v>
      </c>
    </row>
    <row r="21">
      <c r="A21" s="0" t="s">
        <v>1072</v>
      </c>
    </row>
    <row r="22">
      <c r="A22" s="0" t="s">
        <v>1073</v>
      </c>
    </row>
    <row r="23">
      <c r="A23" s="0" t="s">
        <v>1074</v>
      </c>
    </row>
    <row r="24">
      <c r="A24" s="0" t="s">
        <v>1075</v>
      </c>
    </row>
    <row r="25">
      <c r="A25" s="0" t="s">
        <v>1076</v>
      </c>
    </row>
    <row r="26">
      <c r="A26" s="0" t="s">
        <v>1077</v>
      </c>
    </row>
    <row r="27">
      <c r="A27" s="0" t="s">
        <v>1078</v>
      </c>
    </row>
    <row r="28">
      <c r="A28" s="0" t="s">
        <v>1079</v>
      </c>
    </row>
    <row r="29">
      <c r="A29" s="0" t="s">
        <v>1080</v>
      </c>
    </row>
    <row r="30">
      <c r="A30" s="0" t="s">
        <v>1081</v>
      </c>
    </row>
    <row r="31">
      <c r="A31" s="0" t="s">
        <v>1082</v>
      </c>
    </row>
    <row r="32">
      <c r="A32" s="0" t="s">
        <v>1083</v>
      </c>
    </row>
    <row r="33">
      <c r="A33" s="0" t="s">
        <v>1084</v>
      </c>
    </row>
    <row r="34">
      <c r="A34" s="0" t="s">
        <v>1085</v>
      </c>
    </row>
    <row r="35">
      <c r="A35" s="0" t="s">
        <v>1086</v>
      </c>
    </row>
    <row r="36">
      <c r="A36" s="0" t="s">
        <v>1087</v>
      </c>
    </row>
    <row r="37">
      <c r="A37" s="0" t="s">
        <v>1088</v>
      </c>
    </row>
    <row r="38">
      <c r="A38" s="0" t="s">
        <v>1089</v>
      </c>
    </row>
    <row r="39">
      <c r="A39" s="0" t="s">
        <v>1090</v>
      </c>
    </row>
    <row r="40">
      <c r="A40" s="0" t="s">
        <v>715</v>
      </c>
    </row>
    <row r="41">
      <c r="A41" s="0" t="s">
        <v>731</v>
      </c>
    </row>
    <row r="42">
      <c r="A42" s="0" t="s">
        <v>1091</v>
      </c>
    </row>
    <row r="43">
      <c r="A43" s="0" t="s">
        <v>61</v>
      </c>
    </row>
    <row r="44">
      <c r="A44" s="0" t="s">
        <v>1092</v>
      </c>
    </row>
  </sheetData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13</vt:i4>
      </vt:variant>
    </vt:vector>
  </HeadingPairs>
  <TitlesOfParts>
    <vt:vector size="13" baseType="lpstr">
      <vt:lpstr>Common</vt:lpstr>
      <vt:lpstr>Sector 1</vt:lpstr>
      <vt:lpstr>Sector 2</vt:lpstr>
      <vt:lpstr>Sector 3</vt:lpstr>
      <vt:lpstr>Sector 4</vt:lpstr>
      <vt:lpstr>Sector 5</vt:lpstr>
      <vt:lpstr>Sector 6</vt:lpstr>
      <vt:lpstr>Sector 7</vt:lpstr>
      <vt:lpstr>Sector 8</vt:lpstr>
      <vt:lpstr>Sector 9</vt:lpstr>
      <vt:lpstr>Equipment BOM</vt:lpstr>
      <vt:lpstr>Site List</vt:lpstr>
      <vt:lpstr>Antennas Scrap Info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Stefan Velinov</cp:lastModifiedBy>
  <cp:lastPrinted>2016-12-02T09:09:24Z</cp:lastPrinted>
  <dcterms:created xsi:type="dcterms:W3CDTF">2016-04-08T09:50:24Z</dcterms:created>
  <dcterms:modified xsi:type="dcterms:W3CDTF">2023-10-09T06:56:14Z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2768f796-9400-4b68-a5dd-e1fad25f2364_Enabled">
    <vt:lpwstr>true</vt:lpwstr>
  </property>
  <property fmtid="{D5CDD505-2E9C-101B-9397-08002B2CF9AE}" pid="3" name="MSIP_Label_2768f796-9400-4b68-a5dd-e1fad25f2364_SetDate">
    <vt:lpwstr>2022-05-11T07:48:08Z</vt:lpwstr>
  </property>
  <property fmtid="{D5CDD505-2E9C-101B-9397-08002B2CF9AE}" pid="4" name="MSIP_Label_2768f796-9400-4b68-a5dd-e1fad25f2364_Method">
    <vt:lpwstr>Standard</vt:lpwstr>
  </property>
  <property fmtid="{D5CDD505-2E9C-101B-9397-08002B2CF9AE}" pid="5" name="MSIP_Label_2768f796-9400-4b68-a5dd-e1fad25f2364_Name">
    <vt:lpwstr>2768f796-9400-4b68-a5dd-e1fad25f2364</vt:lpwstr>
  </property>
  <property fmtid="{D5CDD505-2E9C-101B-9397-08002B2CF9AE}" pid="6" name="MSIP_Label_2768f796-9400-4b68-a5dd-e1fad25f2364_SiteId">
    <vt:lpwstr>2e318a00-b44f-4acd-ade2-4c9e434f9644</vt:lpwstr>
  </property>
  <property fmtid="{D5CDD505-2E9C-101B-9397-08002B2CF9AE}" pid="7" name="MSIP_Label_2768f796-9400-4b68-a5dd-e1fad25f2364_ActionId">
    <vt:lpwstr>6ad2551a-e110-4caa-a895-adbfdf2fb66b</vt:lpwstr>
  </property>
  <property fmtid="{D5CDD505-2E9C-101B-9397-08002B2CF9AE}" pid="8" name="MSIP_Label_2768f796-9400-4b68-a5dd-e1fad25f2364_ContentBits">
    <vt:lpwstr>0</vt:lpwstr>
  </property>
</Properties>
</file>