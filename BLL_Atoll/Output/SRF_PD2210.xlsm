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image/png" Extension="png"/>
  <Default ContentType="application/vnd.openxmlformats-package.relationships+xml" Extension="rels"/>
  <Default ContentType="application/xml" Extension="xml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vnd.openxmlformats-officedocument.spreadsheetml.worksheet+xml" PartName="/xl/worksheets/sheet8.xml"/>
  <Override ContentType="application/vnd.openxmlformats-officedocument.spreadsheetml.worksheet+xml" PartName="/xl/worksheets/sheet9.xml"/>
  <Override ContentType="application/vnd.openxmlformats-officedocument.spreadsheetml.worksheet+xml" PartName="/xl/worksheets/sheet10.xml"/>
  <Override ContentType="application/vnd.openxmlformats-officedocument.spreadsheetml.worksheet+xml" PartName="/xl/worksheets/sheet11.xml"/>
  <Override ContentType="application/vnd.openxmlformats-officedocument.spreadsheetml.worksheet+xml" PartName="/xl/worksheets/sheet12.xml"/>
  <Override ContentType="application/vnd.openxmlformats-officedocument.spreadsheetml.worksheet+xml" PartName="/xl/worksheets/sheet13.xml"/>
  <Override ContentType="application/vnd.openxmlformats-officedocument.theme+xml" PartName="/xl/theme/theme1.xml"/>
  <Override ContentType="application/vnd.openxmlformats-officedocument.spreadsheetml.styles+xml" PartName="/xl/styles.xml"/>
  <Override ContentType="application/vnd.openxmlformats-officedocument.spreadsheetml.worksheet+xml" PartName="/xl/worksheets/sheet31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spreadsheetml.table+xml" PartName="/xl/tables/table1.xml"/>
  <Override ContentType="application/vnd.openxmlformats-officedocument.spreadsheetml.table+xml" PartName="/xl/tables/table2.xml"/>
  <Override ContentType="application/vnd.openxmlformats-officedocument.spreadsheetml.sharedStrings+xml" PartName="/xl/sharedStrings.xml"/>
  <Override ContentType="application/vnd.ms-office.vbaProject" PartName="/xl/vbaProject.bin"/>
  <Override ContentType="application/vnd.openxmlformats-package.core-properties+xml" PartName="/docProps/core.xml"/>
  <Override ContentType="application/vnd.openxmlformats-officedocument.extended-properties+xml" PartName="/docProps/app.xml"/>
  <Override ContentType="application/vnd.openxmlformats-officedocument.custom-properties+xml" PartName="/docProps/custom.xml"/>
  <Override ContentType="application/vnd.openxmlformats-officedocument.spreadsheetml.worksheet+xml" PartName="/xl/worksheets/sheet32.xml"/>
  <Override ContentType="application/vnd.openxmlformats-officedocument.spreadsheetml.worksheet+xml" PartName="/xl/worksheets/sheet33.xml"/>
  <Override ContentType="application/vnd.openxmlformats-officedocument.spreadsheetml.worksheet+xml" PartName="/xl/worksheets/sheet34.xml"/>
</Types>
</file>

<file path=_rels/.rels><?xml version="1.0" encoding="UTF-8" standalone="yes"?>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Projects\SV\Shiva_5G_Atoll\Shiva_5G\BLL_Atoll\Resources\"/>
    </mc:Choice>
  </mc:AlternateContent>
  <bookViews>
    <workbookView xWindow="-120" yWindow="-120" windowWidth="27270" windowHeight="16440" tabRatio="866" activeTab="10"/>
  </bookViews>
  <sheets>
    <sheet name="Common" sheetId="13" r:id="rId1"/>
    <sheet name="Sector 1" sheetId="8" r:id="rId2"/>
    <sheet name="Sector 2" sheetId="11" r:id="rId3"/>
    <sheet name="Sector 3" sheetId="12" r:id="rId4"/>
    <sheet name="Sector 4" sheetId="14" state="hidden" r:id="rId5"/>
    <sheet name="Sector 5" sheetId="24" state="hidden" r:id="rId6"/>
    <sheet name="Sector 6" sheetId="25" state="hidden" r:id="rId7"/>
    <sheet name="Sector 7" sheetId="26" state="hidden" r:id="rId8"/>
    <sheet name="Sector 8" sheetId="27" state="hidden" r:id="rId9"/>
    <sheet name="Sector 9" sheetId="28" state="hidden" r:id="rId10"/>
    <sheet name="Equipment BOM" sheetId="23" r:id="rId11"/>
    <sheet name="Site List" sheetId="29" r:id="rId12"/>
    <sheet name="Antennas Scrap Info" sheetId="30" state="hidden" r:id="rId13"/>
    <sheet name="Antennas" sheetId="31" r:id="rId19" state="hidden"/>
    <sheet name="AntennasPortName" sheetId="32" r:id="rId20" state="hidden"/>
    <sheet name="RRUs" sheetId="33" r:id="rId21" state="hidden"/>
    <sheet name="Combiners" sheetId="34" r:id="rId22" state="hidden"/>
  </sheets>
  <functionGroups builtInGroupCount="18"/>
  <definedNames>
    <definedName name="BSC">#REF!</definedName>
    <definedName name="Candidate">#REF!</definedName>
    <definedName name="GSM_equip_type">#REF!</definedName>
    <definedName name="Install_type">#REF!</definedName>
    <definedName name="revision">#REF!</definedName>
    <definedName name="RNC">#REF!</definedName>
    <definedName name="Structure_type">#REF!</definedName>
    <definedName name="_xlnm._FilterDatabase" localSheetId="1" hidden="1">'Sector 1'!#REF!</definedName>
    <definedName name="BSC" localSheetId="1">#REF!</definedName>
    <definedName name="Candidate" localSheetId="1">#REF!</definedName>
    <definedName name="GSM_equip_type" localSheetId="1">#REF!</definedName>
    <definedName name="Install_type" localSheetId="1">#REF!</definedName>
    <definedName name="revision" localSheetId="1">#REF!</definedName>
    <definedName name="RNC" localSheetId="1">#REF!</definedName>
    <definedName name="Structure_type" localSheetId="1">#REF!</definedName>
    <definedName name="_xlnm._FilterDatabase" localSheetId="2" hidden="1">'Sector 2'!#REF!</definedName>
    <definedName name="BSC" localSheetId="2">#REF!</definedName>
    <definedName name="Candidate" localSheetId="2">#REF!</definedName>
    <definedName name="GSM_equip_type" localSheetId="2">#REF!</definedName>
    <definedName name="Install_type" localSheetId="2">#REF!</definedName>
    <definedName name="revision" localSheetId="2">#REF!</definedName>
    <definedName name="RNC" localSheetId="2">#REF!</definedName>
    <definedName name="Structure_type" localSheetId="2">#REF!</definedName>
    <definedName name="_xlnm._FilterDatabase" localSheetId="3" hidden="1">'Sector 3'!#REF!</definedName>
    <definedName name="BSC" localSheetId="3">#REF!</definedName>
    <definedName name="Candidate" localSheetId="3">#REF!</definedName>
    <definedName name="GSM_equip_type" localSheetId="3">#REF!</definedName>
    <definedName name="Install_type" localSheetId="3">#REF!</definedName>
    <definedName name="revision" localSheetId="3">#REF!</definedName>
    <definedName name="RNC" localSheetId="3">#REF!</definedName>
    <definedName name="Structure_type" localSheetId="3">#REF!</definedName>
    <definedName name="_xlnm._FilterDatabase" localSheetId="4" hidden="1">'Sector 4'!#REF!</definedName>
    <definedName name="BSC" localSheetId="4">#REF!</definedName>
    <definedName name="Candidate" localSheetId="4">#REF!</definedName>
    <definedName name="GSM_equip_type" localSheetId="4">#REF!</definedName>
    <definedName name="Install_type" localSheetId="4">#REF!</definedName>
    <definedName name="revision" localSheetId="4">#REF!</definedName>
    <definedName name="RNC" localSheetId="4">#REF!</definedName>
    <definedName name="Structure_type" localSheetId="4">#REF!</definedName>
    <definedName name="_xlnm._FilterDatabase" localSheetId="10" hidden="1">'Equipment BOM'!$A$1:$D$234</definedName>
  </definedNames>
  <calcPr calcId="152511" fullCalcOnLoad="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<sst xmlns="http://schemas.openxmlformats.org/spreadsheetml/2006/main" count="1103" uniqueCount="1103">
  <si>
    <t>Sector 3</t>
  </si>
  <si>
    <t>Antenna #</t>
  </si>
  <si>
    <t>Pole Current</t>
  </si>
  <si>
    <t>Pole New</t>
  </si>
  <si>
    <t>Azimuth Current</t>
  </si>
  <si>
    <t>Azimuth New</t>
  </si>
  <si>
    <t xml:space="preserve">AntennaType Current </t>
  </si>
  <si>
    <t>AQU4518R25v18</t>
  </si>
  <si>
    <t xml:space="preserve">AntennaType New </t>
  </si>
  <si>
    <t>AntennaMount Current</t>
  </si>
  <si>
    <t>DTK</t>
  </si>
  <si>
    <t>AntennaMount New</t>
  </si>
  <si>
    <t>AGL Current</t>
  </si>
  <si>
    <t>AGL New</t>
  </si>
  <si>
    <t>ARTL Current</t>
  </si>
  <si>
    <t>ARTL New</t>
  </si>
  <si>
    <t>MechanicalTilt Current</t>
  </si>
  <si>
    <t>MechanicalTilt New</t>
  </si>
  <si>
    <t>Antenna port #</t>
  </si>
  <si>
    <t>1-2</t>
  </si>
  <si>
    <t>3-4</t>
  </si>
  <si>
    <t>5-6</t>
  </si>
  <si>
    <t>7-8</t>
  </si>
  <si>
    <t>9-10</t>
  </si>
  <si>
    <t>11-12</t>
  </si>
  <si>
    <t>PortName Current</t>
  </si>
  <si>
    <t>Lr1</t>
  </si>
  <si>
    <t>Rr2</t>
  </si>
  <si>
    <t>Ly1</t>
  </si>
  <si>
    <t>Ry2</t>
  </si>
  <si>
    <t>PortName New</t>
  </si>
  <si>
    <t>BandRange Current</t>
  </si>
  <si>
    <t>690-960</t>
  </si>
  <si>
    <t>1695-2690</t>
  </si>
  <si>
    <t>BandRange New</t>
  </si>
  <si>
    <t>Port occupancy</t>
  </si>
  <si>
    <t>Collocation party</t>
  </si>
  <si>
    <t>Technology Current</t>
  </si>
  <si>
    <t>L G U</t>
  </si>
  <si>
    <t>L</t>
  </si>
  <si>
    <t>Free</t>
  </si>
  <si>
    <t>Technology New</t>
  </si>
  <si>
    <t>Etilt Current</t>
  </si>
  <si>
    <t>Etilt New</t>
  </si>
  <si>
    <t>RET Current</t>
  </si>
  <si>
    <t>RET New</t>
  </si>
  <si>
    <t>Feeder_Type Current</t>
  </si>
  <si>
    <t>1/2</t>
  </si>
  <si>
    <t>Feeder_Type New</t>
  </si>
  <si>
    <t>Feeder_Length Current</t>
  </si>
  <si>
    <t>Feeder_Length New</t>
  </si>
  <si>
    <t>RRU_Type Current</t>
  </si>
  <si>
    <t>5519etCD</t>
  </si>
  <si>
    <t>5519etAB</t>
  </si>
  <si>
    <t>3953-18</t>
  </si>
  <si>
    <t>RRU_Type New</t>
  </si>
  <si>
    <t>TMA Type Current</t>
  </si>
  <si>
    <t>No</t>
  </si>
  <si>
    <t>TMA Type New</t>
  </si>
  <si>
    <t>Combiner_Splitter Current</t>
  </si>
  <si>
    <t>None</t>
  </si>
  <si>
    <t>Combiner_Splitter New</t>
  </si>
  <si>
    <t>Sec_Combiner_Splitter Current</t>
  </si>
  <si>
    <t>Sec_Combiner_Splitter New</t>
  </si>
  <si>
    <r xmlns="http://schemas.openxmlformats.org/spreadsheetml/2006/main">
      <t>Request</t>
    </r>
    <r xmlns="http://schemas.openxmlformats.org/spreadsheetml/2006/main">
      <rPr>
        <b/>
        <sz val="12"/>
        <color theme="0"/>
        <rFont val="Calibri"/>
        <family val="2"/>
        <charset val="204"/>
        <scheme val="minor"/>
      </rPr>
      <t>_</t>
    </r>
    <r xmlns="http://schemas.openxmlformats.org/spreadsheetml/2006/main">
      <rPr>
        <b/>
        <sz val="12"/>
        <color rgb="FFFF0000"/>
        <rFont val="Calibri"/>
        <family val="2"/>
        <scheme val="minor"/>
      </rPr>
      <t>Remarks</t>
    </r>
  </si>
  <si>
    <t>Sector 1</t>
  </si>
  <si>
    <t>STK</t>
  </si>
  <si>
    <t>Sector 2</t>
  </si>
  <si>
    <t>SiteID</t>
  </si>
  <si>
    <t>PD2210</t>
  </si>
  <si>
    <t>Cell#</t>
  </si>
  <si>
    <t>TRX#</t>
  </si>
  <si>
    <t>Candidate</t>
  </si>
  <si>
    <t>A</t>
  </si>
  <si>
    <t>Current</t>
  </si>
  <si>
    <t>New</t>
  </si>
  <si>
    <r xmlns="http://schemas.openxmlformats.org/spreadsheetml/2006/main">
      <t>Document</t>
    </r>
    <r xmlns="http://schemas.openxmlformats.org/spreadsheetml/2006/main">
      <rPr>
        <sz val="16"/>
        <color theme="0"/>
        <rFont val="Arial"/>
        <family val="2"/>
        <charset val="204"/>
      </rPr>
      <t>_</t>
    </r>
    <r xmlns="http://schemas.openxmlformats.org/spreadsheetml/2006/main">
      <rPr>
        <sz val="16"/>
        <rFont val="Arial"/>
        <family val="2"/>
      </rPr>
      <t>Type</t>
    </r>
  </si>
  <si>
    <t>SRF</t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</si>
  <si>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theme="1"/>
        <rFont val="Arial"/>
        <family val="2"/>
        <charset val="204"/>
      </rPr>
      <t>90</t>
    </r>
    <r xmlns="http://schemas.openxmlformats.org/spreadsheetml/2006/main">
      <rPr>
        <sz val="10"/>
        <rFont val="Arial"/>
        <family val="2"/>
      </rPr>
      <t>0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</si>
  <si>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  <charset val="204"/>
      </rPr>
      <t>9</t>
    </r>
    <r xmlns="http://schemas.openxmlformats.org/spreadsheetml/2006/main">
      <rPr>
        <sz val="10"/>
        <color rgb="FFFF0000"/>
        <rFont val="Arial"/>
        <family val="2"/>
      </rPr>
      <t>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</si>
  <si>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GSM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900</t>
    </r>
  </si>
  <si>
    <r xmlns="http://schemas.openxmlformats.org/spreadsheetml/2006/main">
      <t>GSM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900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</si>
  <si>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UMTS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900</t>
    </r>
  </si>
  <si>
    <r xmlns="http://schemas.openxmlformats.org/spreadsheetml/2006/main">
      <t>UMTS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900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</si>
  <si>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GSM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1800</t>
    </r>
  </si>
  <si>
    <r xmlns="http://schemas.openxmlformats.org/spreadsheetml/2006/main">
      <t>GSM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1800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</si>
  <si>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1800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</si>
  <si>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1800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</si>
  <si>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DSS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1800</t>
    </r>
  </si>
  <si>
    <r xmlns="http://schemas.openxmlformats.org/spreadsheetml/2006/main">
      <t>DSS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1800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</si>
  <si>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UMTS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2100</t>
    </r>
  </si>
  <si>
    <r xmlns="http://schemas.openxmlformats.org/spreadsheetml/2006/main">
      <t>UMTS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2100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</si>
  <si>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2100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</si>
  <si>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2100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</si>
  <si>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theme="1"/>
        <rFont val="Arial"/>
        <family val="2"/>
        <charset val="204"/>
      </rPr>
      <t>260</t>
    </r>
    <r xmlns="http://schemas.openxmlformats.org/spreadsheetml/2006/main">
      <rPr>
        <sz val="10"/>
        <rFont val="Arial"/>
        <family val="2"/>
      </rPr>
      <t>0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</si>
  <si>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  <charset val="204"/>
      </rPr>
      <t>26</t>
    </r>
    <r xmlns="http://schemas.openxmlformats.org/spreadsheetml/2006/main">
      <rPr>
        <sz val="10"/>
        <color rgb="FFFF0000"/>
        <rFont val="Arial"/>
        <family val="2"/>
      </rPr>
      <t>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</si>
  <si>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t>NR-TDD 3600</t>
  </si>
  <si>
    <t>NR-TDD 3600N</t>
  </si>
  <si>
    <t>SRF №</t>
  </si>
  <si>
    <t>DateTime</t>
  </si>
  <si>
    <t>2023-11-06</t>
  </si>
  <si>
    <t>Revision</t>
  </si>
  <si>
    <t>SiteName</t>
  </si>
  <si>
    <t>AIDA</t>
  </si>
  <si>
    <t>Sector 4</t>
  </si>
  <si>
    <t>SiteAddress</t>
  </si>
  <si>
    <t>MINERALNI BANIvr. Aida, RRS Aida</t>
  </si>
  <si>
    <t>Sector 5</t>
  </si>
  <si>
    <t>SiteOwner</t>
  </si>
  <si>
    <t>TAWAL</t>
  </si>
  <si>
    <t>Sector 6</t>
  </si>
  <si>
    <t>ColocationType</t>
  </si>
  <si>
    <t>conventional/NURTS</t>
  </si>
  <si>
    <t>Sector 7</t>
  </si>
  <si>
    <t>Latitude</t>
  </si>
  <si>
    <t>Sector 8</t>
  </si>
  <si>
    <t>Longitude</t>
  </si>
  <si>
    <t>Sector 9</t>
  </si>
  <si>
    <t>StructureType</t>
  </si>
  <si>
    <t>GF</t>
  </si>
  <si>
    <t>StructureHeight</t>
  </si>
  <si>
    <t>BSC</t>
  </si>
  <si>
    <t>BSC3</t>
  </si>
  <si>
    <t>RNC</t>
  </si>
  <si>
    <t>RNC3</t>
  </si>
  <si>
    <t>CabinetType</t>
  </si>
  <si>
    <t>TRF</t>
  </si>
  <si>
    <t>Project</t>
  </si>
  <si>
    <t>Process</t>
  </si>
  <si>
    <t>RF_Engineer</t>
  </si>
  <si>
    <t>Filcho.Tsvetkov</t>
  </si>
  <si>
    <t>Mobile</t>
  </si>
  <si>
    <t>+359878500425</t>
  </si>
  <si>
    <t>Email</t>
  </si>
  <si>
    <t>Filcho.Tsvetkov@vivacom.bg</t>
  </si>
  <si>
    <t xml:space="preserve"> BOM Code</t>
  </si>
  <si>
    <t>SAP Number</t>
  </si>
  <si>
    <t>Type</t>
  </si>
  <si>
    <t>Module</t>
  </si>
  <si>
    <t>Reuse/replace</t>
  </si>
  <si>
    <t>Action</t>
  </si>
  <si>
    <t>De-installation Week</t>
  </si>
  <si>
    <t>Expected Quantity</t>
  </si>
  <si>
    <t>Actual Quantity</t>
  </si>
  <si>
    <t>Remark</t>
  </si>
  <si>
    <t>02311APA</t>
  </si>
  <si>
    <t>RF 1800M</t>
  </si>
  <si>
    <t>RRU3953</t>
  </si>
  <si>
    <t>Reuse</t>
  </si>
  <si>
    <t>dismantled must be returned to SH03 in Schenker against rezervation No.</t>
  </si>
  <si>
    <t>Including 3 PCS bracket and power connector</t>
  </si>
  <si>
    <t>02311PRD</t>
  </si>
  <si>
    <t>RRU5905</t>
  </si>
  <si>
    <t>02311BBK</t>
  </si>
  <si>
    <t>RRU3953w</t>
  </si>
  <si>
    <t>02311UWH</t>
  </si>
  <si>
    <t>RRU5904</t>
  </si>
  <si>
    <t>02311QFY</t>
  </si>
  <si>
    <t>RF 2100M</t>
  </si>
  <si>
    <t>02312CME</t>
  </si>
  <si>
    <t>RF 2600M</t>
  </si>
  <si>
    <t>RRU5304</t>
  </si>
  <si>
    <t>02311HEF</t>
  </si>
  <si>
    <t>RRU3281</t>
  </si>
  <si>
    <t>02311KVB</t>
  </si>
  <si>
    <t>RRU3268</t>
  </si>
  <si>
    <t>02312CHP</t>
  </si>
  <si>
    <t>RF 3500M</t>
  </si>
  <si>
    <t>AAU5613</t>
  </si>
  <si>
    <t>02312DWE</t>
  </si>
  <si>
    <t>AAU5313</t>
  </si>
  <si>
    <t>02311HVE</t>
  </si>
  <si>
    <t>RF 900M</t>
  </si>
  <si>
    <t>02310MNS</t>
  </si>
  <si>
    <t>RRU3936</t>
  </si>
  <si>
    <t>02312BCY</t>
  </si>
  <si>
    <t>02311DYP</t>
  </si>
  <si>
    <t>RF 1800+2100M</t>
  </si>
  <si>
    <t>AAU3940</t>
  </si>
  <si>
    <t>(1) Plastic cap</t>
  </si>
  <si>
    <t>03058542</t>
  </si>
  <si>
    <t>BBP/MPT</t>
  </si>
  <si>
    <t>UMPTg2</t>
  </si>
  <si>
    <t>(2) Standard M10 nut</t>
  </si>
  <si>
    <t>03022HEJ</t>
  </si>
  <si>
    <t>UBBPd3</t>
  </si>
  <si>
    <t>(3) Spring washer</t>
  </si>
  <si>
    <t>03022HEL</t>
  </si>
  <si>
    <t>UBBPd5</t>
  </si>
  <si>
    <t>(4) Thick flat washer</t>
  </si>
  <si>
    <t>03022HEM</t>
  </si>
  <si>
    <t>UBBPd6</t>
  </si>
  <si>
    <t>(5) Square-neck bolt</t>
  </si>
  <si>
    <t>03058707</t>
  </si>
  <si>
    <t>UBBPg2a</t>
  </si>
  <si>
    <t>(6) Hoist clamp on the main bracket</t>
  </si>
  <si>
    <t>02310WYG</t>
  </si>
  <si>
    <t>BBU</t>
  </si>
  <si>
    <t>BBU3910</t>
  </si>
  <si>
    <t>including 1 UPEUd，1 PCS power cable</t>
  </si>
  <si>
    <t>(7) Main bracket</t>
  </si>
  <si>
    <t>no SAP No</t>
  </si>
  <si>
    <t xml:space="preserve">dismantled to be decomposed </t>
  </si>
  <si>
    <t>including 2 UPEUd，2 PCS power cable- to be decomposed</t>
  </si>
  <si>
    <t>(8) Inner hexagon screw</t>
  </si>
  <si>
    <t>02311VBK</t>
  </si>
  <si>
    <t>BBU5900</t>
  </si>
  <si>
    <t>including 1 UPEUe，1 PCS power cable</t>
  </si>
  <si>
    <t>(9) Pole installation bracket</t>
  </si>
  <si>
    <t>including 2 UPEUe，2 PCS power cable- to be decomposed</t>
  </si>
  <si>
    <t>(10) Auxiliary bracket</t>
  </si>
  <si>
    <t>02310SFM</t>
  </si>
  <si>
    <t>UPEUd</t>
  </si>
  <si>
    <t xml:space="preserve">return of  second UPEUd and 1pcs power cable</t>
  </si>
  <si>
    <t>02310MNR</t>
  </si>
  <si>
    <t>02310UPA</t>
  </si>
  <si>
    <t>RRU3826</t>
  </si>
  <si>
    <t>02319897</t>
  </si>
  <si>
    <t>UPEUc</t>
  </si>
  <si>
    <t>02310KKQ</t>
  </si>
  <si>
    <t>02316791</t>
  </si>
  <si>
    <t>RRU3804</t>
  </si>
  <si>
    <t>02310UNY</t>
  </si>
  <si>
    <t>RRU3824</t>
  </si>
  <si>
    <t>02310HFW</t>
  </si>
  <si>
    <t>RRU3926</t>
  </si>
  <si>
    <t>03054885</t>
  </si>
  <si>
    <t>MPT</t>
  </si>
  <si>
    <t>UMPTb1</t>
  </si>
  <si>
    <t>03054886</t>
  </si>
  <si>
    <t>UMPTb2</t>
  </si>
  <si>
    <t>03022ACJ</t>
  </si>
  <si>
    <t>BBP</t>
  </si>
  <si>
    <t>UBRIb</t>
  </si>
  <si>
    <t>03020KWP</t>
  </si>
  <si>
    <t>WBBPb3</t>
  </si>
  <si>
    <t>03020PSS</t>
  </si>
  <si>
    <t>03021HPR</t>
  </si>
  <si>
    <t>WBBPf4</t>
  </si>
  <si>
    <t>02112722</t>
  </si>
  <si>
    <t>BBU3900</t>
  </si>
  <si>
    <t>PDU</t>
  </si>
  <si>
    <t>antenna</t>
  </si>
  <si>
    <t>Scrap</t>
  </si>
  <si>
    <t>YES</t>
  </si>
  <si>
    <t>NO</t>
  </si>
  <si>
    <t>2CPX208R-V3</t>
  </si>
  <si>
    <t>2H-33A-R2</t>
  </si>
  <si>
    <t>5LPX1106F</t>
  </si>
  <si>
    <t>742192V01</t>
  </si>
  <si>
    <t>742222V01</t>
  </si>
  <si>
    <t>742264V02</t>
  </si>
  <si>
    <t>742265V02</t>
  </si>
  <si>
    <t>742266V00</t>
  </si>
  <si>
    <t>742266V01</t>
  </si>
  <si>
    <t>742266v02</t>
  </si>
  <si>
    <t>742270v03</t>
  </si>
  <si>
    <t>80010123v03</t>
  </si>
  <si>
    <t>80010291V01</t>
  </si>
  <si>
    <t>80010292V01</t>
  </si>
  <si>
    <t>80010292V02</t>
  </si>
  <si>
    <t>80010292V03</t>
  </si>
  <si>
    <t>80010303V02</t>
  </si>
  <si>
    <t>80010306v02</t>
  </si>
  <si>
    <t>80010307V01</t>
  </si>
  <si>
    <t>80010456V02</t>
  </si>
  <si>
    <t>80010517V01</t>
  </si>
  <si>
    <t>80010634V01</t>
  </si>
  <si>
    <t>80010666V01</t>
  </si>
  <si>
    <t>80010691V01</t>
  </si>
  <si>
    <t>80010692V01</t>
  </si>
  <si>
    <t>80010892V01</t>
  </si>
  <si>
    <t>A094519R2v06</t>
  </si>
  <si>
    <t>A094519R3v06</t>
  </si>
  <si>
    <t>A19452101</t>
  </si>
  <si>
    <t>AAU5339W</t>
  </si>
  <si>
    <t>AAU5639</t>
  </si>
  <si>
    <t>AAU5639W</t>
  </si>
  <si>
    <t>ADU451602v01</t>
  </si>
  <si>
    <t>ADU4517R6v06</t>
  </si>
  <si>
    <t>ADU4518R7v06</t>
  </si>
  <si>
    <t>ADU4518R8v06</t>
  </si>
  <si>
    <t>ADU4521R0v06</t>
  </si>
  <si>
    <t>AMB4519R13v06</t>
  </si>
  <si>
    <t>AOC4518R0v06</t>
  </si>
  <si>
    <t>APE4516R1v06</t>
  </si>
  <si>
    <t>AQU4518R24v06</t>
  </si>
  <si>
    <t>AQU4518R24v18</t>
  </si>
  <si>
    <t>AQU4518R25</t>
  </si>
  <si>
    <t>AQU4518R25v06</t>
  </si>
  <si>
    <t>AQU4518R4v06</t>
  </si>
  <si>
    <t>AQU4518R9v06</t>
  </si>
  <si>
    <t>ASI4517R3v06</t>
  </si>
  <si>
    <t>ASI4517R3v18</t>
  </si>
  <si>
    <t>ASI4518R10v06</t>
  </si>
  <si>
    <t>ASI4518R10v18</t>
  </si>
  <si>
    <t>ASI4518R20v06</t>
  </si>
  <si>
    <t>ASI4518R32v06</t>
  </si>
  <si>
    <t>ASI4518R33v06</t>
  </si>
  <si>
    <t>ASI4518R36v06</t>
  </si>
  <si>
    <t>ASI4518R39v06</t>
  </si>
  <si>
    <t>ASPJ 810 Yagi</t>
  </si>
  <si>
    <t>ATR4518R11v06</t>
  </si>
  <si>
    <t>ATR4518R13v06</t>
  </si>
  <si>
    <t>ATR4518R6</t>
  </si>
  <si>
    <t>ATR4518R6v06</t>
  </si>
  <si>
    <t>B08_0868</t>
  </si>
  <si>
    <t>BTS3911E</t>
  </si>
  <si>
    <t>CELLMAX-D-CPUSE-O</t>
  </si>
  <si>
    <t>CMA_3324</t>
  </si>
  <si>
    <t>CMA_BDHH_6521_E0-6</t>
  </si>
  <si>
    <t>CMA_BTHH_3324_E0-6</t>
  </si>
  <si>
    <t>CMA_BTLBHH_6517</t>
  </si>
  <si>
    <t>CMA_UBDHH_6521_E1-10</t>
  </si>
  <si>
    <t>CMA_UBTLBHH_6517_21_21</t>
  </si>
  <si>
    <t>CMAB_3324_E0-6</t>
  </si>
  <si>
    <t>CMAB_6519</t>
  </si>
  <si>
    <t>CMAB_6520</t>
  </si>
  <si>
    <t>CMAB_6521</t>
  </si>
  <si>
    <t>CMA-TRI6515_correct</t>
  </si>
  <si>
    <t>CMA-UBTLBHH_6516_21_21</t>
  </si>
  <si>
    <t>CMMG-7-60-NJ</t>
  </si>
  <si>
    <t>DAS</t>
  </si>
  <si>
    <t>DB842H35E-SY</t>
  </si>
  <si>
    <t>DBXLH-6565C-VTM</t>
  </si>
  <si>
    <t>ECOMS291</t>
  </si>
  <si>
    <t>ECOMS692V01</t>
  </si>
  <si>
    <t>ECOMS892</t>
  </si>
  <si>
    <t>ECOPB892</t>
  </si>
  <si>
    <t>ECOTB292V03</t>
  </si>
  <si>
    <t>ECOTB692V01</t>
  </si>
  <si>
    <t>ECOUB644V01</t>
  </si>
  <si>
    <t>GL_A79451700v02</t>
  </si>
  <si>
    <t>GL_ADU451807v01</t>
  </si>
  <si>
    <t>GL_ATR451602v06</t>
  </si>
  <si>
    <t>GL_ATR451704v01</t>
  </si>
  <si>
    <t>GL_ATR451704v06</t>
  </si>
  <si>
    <t>LBX-6516DS-VMT</t>
  </si>
  <si>
    <t>MCIN</t>
  </si>
  <si>
    <t>NANO</t>
  </si>
  <si>
    <t>Pico3911B</t>
  </si>
  <si>
    <t>PW6517</t>
  </si>
  <si>
    <t>PW7465</t>
  </si>
  <si>
    <t>PW7782</t>
  </si>
  <si>
    <t>PW7785</t>
  </si>
  <si>
    <t>RRV4-65D-R6</t>
  </si>
  <si>
    <t>RRZZHHTT-65A-R6-BM</t>
  </si>
  <si>
    <t>RRZZHHTT-65B-R6H4</t>
  </si>
  <si>
    <t>RRZZHHTT-65D-R6</t>
  </si>
  <si>
    <t>RVV2NPX310.211R</t>
  </si>
  <si>
    <t>SSC-760244562</t>
  </si>
  <si>
    <t>SSC-760245803</t>
  </si>
  <si>
    <t>TBXLHA-6565C</t>
  </si>
  <si>
    <t>TDQ-809017</t>
  </si>
  <si>
    <t>TNA660A10</t>
  </si>
  <si>
    <t>TNA670A10</t>
  </si>
  <si>
    <t>TNA990A10Rx</t>
  </si>
  <si>
    <t>TTB-Q9017</t>
  </si>
  <si>
    <t>V360QS-C3-3XR</t>
  </si>
  <si>
    <t>V65S-C3-1XR</t>
  </si>
  <si>
    <t>W360-17-x</t>
  </si>
  <si>
    <t>790-960</t>
  </si>
  <si>
    <t>1695-2400</t>
  </si>
  <si>
    <t>3X-V65S-C3-3XR</t>
  </si>
  <si>
    <t>5863903</t>
  </si>
  <si>
    <t>880-960</t>
  </si>
  <si>
    <t>1710-2170</t>
  </si>
  <si>
    <t>5880903</t>
  </si>
  <si>
    <t>5961300</t>
  </si>
  <si>
    <t>698-960</t>
  </si>
  <si>
    <t>5961400</t>
  </si>
  <si>
    <t>1427-2690</t>
  </si>
  <si>
    <t>5970300</t>
  </si>
  <si>
    <t>5980300</t>
  </si>
  <si>
    <t>1995-2690</t>
  </si>
  <si>
    <t>1710-2690</t>
  </si>
  <si>
    <t>5NPX1006F</t>
  </si>
  <si>
    <t>1710-2180</t>
  </si>
  <si>
    <t>732267</t>
  </si>
  <si>
    <t>736347</t>
  </si>
  <si>
    <t>870-960</t>
  </si>
  <si>
    <t>736349</t>
  </si>
  <si>
    <t>736350</t>
  </si>
  <si>
    <t>736854</t>
  </si>
  <si>
    <t>872-960</t>
  </si>
  <si>
    <t>737190</t>
  </si>
  <si>
    <t>1710-1880</t>
  </si>
  <si>
    <t>738187</t>
  </si>
  <si>
    <t>738445</t>
  </si>
  <si>
    <t>824-2170</t>
  </si>
  <si>
    <t>738446</t>
  </si>
  <si>
    <t>824-2171</t>
  </si>
  <si>
    <t>738447</t>
  </si>
  <si>
    <t>694-2690</t>
  </si>
  <si>
    <t>738448</t>
  </si>
  <si>
    <t>694-2691</t>
  </si>
  <si>
    <t>738449</t>
  </si>
  <si>
    <t>870-1880</t>
  </si>
  <si>
    <t>738454</t>
  </si>
  <si>
    <t>1710-2200</t>
  </si>
  <si>
    <t>739489</t>
  </si>
  <si>
    <t>739495</t>
  </si>
  <si>
    <t>1700-1990</t>
  </si>
  <si>
    <t>739496</t>
  </si>
  <si>
    <t>1710-1990</t>
  </si>
  <si>
    <t>739620</t>
  </si>
  <si>
    <t>806-960</t>
  </si>
  <si>
    <t>739622</t>
  </si>
  <si>
    <t>739623</t>
  </si>
  <si>
    <t>739624</t>
  </si>
  <si>
    <t>739630</t>
  </si>
  <si>
    <t>739632</t>
  </si>
  <si>
    <t>739636</t>
  </si>
  <si>
    <t>739637</t>
  </si>
  <si>
    <t>739638</t>
  </si>
  <si>
    <t>824-960</t>
  </si>
  <si>
    <t>739640</t>
  </si>
  <si>
    <t>739649</t>
  </si>
  <si>
    <t>739650</t>
  </si>
  <si>
    <t>739685</t>
  </si>
  <si>
    <t>739686</t>
  </si>
  <si>
    <t>739695</t>
  </si>
  <si>
    <t>741322</t>
  </si>
  <si>
    <t>870-1881</t>
  </si>
  <si>
    <t>741717</t>
  </si>
  <si>
    <t>741718</t>
  </si>
  <si>
    <t>741785</t>
  </si>
  <si>
    <t>741794</t>
  </si>
  <si>
    <t>742047</t>
  </si>
  <si>
    <t>870-1882</t>
  </si>
  <si>
    <t>742149</t>
  </si>
  <si>
    <t>824-2172</t>
  </si>
  <si>
    <t>742192</t>
  </si>
  <si>
    <t>806-2170</t>
  </si>
  <si>
    <t>790-2690</t>
  </si>
  <si>
    <t>742192V02</t>
  </si>
  <si>
    <t>690-2690</t>
  </si>
  <si>
    <t>742210</t>
  </si>
  <si>
    <t>742210V01</t>
  </si>
  <si>
    <t>742211</t>
  </si>
  <si>
    <t>742215</t>
  </si>
  <si>
    <t>790-2170</t>
  </si>
  <si>
    <t>742224</t>
  </si>
  <si>
    <t>824-2174</t>
  </si>
  <si>
    <t>742225</t>
  </si>
  <si>
    <t>742241</t>
  </si>
  <si>
    <t>742265</t>
  </si>
  <si>
    <t>742266</t>
  </si>
  <si>
    <t>742270</t>
  </si>
  <si>
    <t>1920-2170</t>
  </si>
  <si>
    <t>742271</t>
  </si>
  <si>
    <t>742271V03</t>
  </si>
  <si>
    <t>742272</t>
  </si>
  <si>
    <t>742290</t>
  </si>
  <si>
    <t>824-2173</t>
  </si>
  <si>
    <t>80010123</t>
  </si>
  <si>
    <t>80010125</t>
  </si>
  <si>
    <t>80010173</t>
  </si>
  <si>
    <t>870-1885</t>
  </si>
  <si>
    <t>80010204</t>
  </si>
  <si>
    <t>80010248</t>
  </si>
  <si>
    <t>806-2181</t>
  </si>
  <si>
    <t>80010249</t>
  </si>
  <si>
    <t>790-6000</t>
  </si>
  <si>
    <t>80010274</t>
  </si>
  <si>
    <t>80010292</t>
  </si>
  <si>
    <t>80010302</t>
  </si>
  <si>
    <t>80010303</t>
  </si>
  <si>
    <t>80010307</t>
  </si>
  <si>
    <t>80010360</t>
  </si>
  <si>
    <t>80010368</t>
  </si>
  <si>
    <t>80010375</t>
  </si>
  <si>
    <t>80010454</t>
  </si>
  <si>
    <t>806-2180</t>
  </si>
  <si>
    <t>80010456</t>
  </si>
  <si>
    <t>80010465</t>
  </si>
  <si>
    <t>790-2700</t>
  </si>
  <si>
    <t>80010492</t>
  </si>
  <si>
    <t>80010516</t>
  </si>
  <si>
    <t>80010517</t>
  </si>
  <si>
    <t>80010622</t>
  </si>
  <si>
    <t>80010656</t>
  </si>
  <si>
    <t>80010658</t>
  </si>
  <si>
    <t>870-1884</t>
  </si>
  <si>
    <t>80010665</t>
  </si>
  <si>
    <t>80010665V01</t>
  </si>
  <si>
    <t>80010677</t>
  </si>
  <si>
    <t>790-2171</t>
  </si>
  <si>
    <t>80010681</t>
  </si>
  <si>
    <t>80010682</t>
  </si>
  <si>
    <t>80010691</t>
  </si>
  <si>
    <t>80010692</t>
  </si>
  <si>
    <t>80010710</t>
  </si>
  <si>
    <t>790-2701</t>
  </si>
  <si>
    <t>80010748</t>
  </si>
  <si>
    <t>870-1886</t>
  </si>
  <si>
    <t>80010761</t>
  </si>
  <si>
    <t>80010776</t>
  </si>
  <si>
    <t>80010825</t>
  </si>
  <si>
    <t>80010826</t>
  </si>
  <si>
    <t>80010828</t>
  </si>
  <si>
    <t>790-2702</t>
  </si>
  <si>
    <t>80010828V01</t>
  </si>
  <si>
    <t>790-2703</t>
  </si>
  <si>
    <t>80010864</t>
  </si>
  <si>
    <t>689-960</t>
  </si>
  <si>
    <t>80010865</t>
  </si>
  <si>
    <t>80010899</t>
  </si>
  <si>
    <t>698-862</t>
  </si>
  <si>
    <t>80010902</t>
  </si>
  <si>
    <t>80010965</t>
  </si>
  <si>
    <t>694-960</t>
  </si>
  <si>
    <t>80010991</t>
  </si>
  <si>
    <t>80010992</t>
  </si>
  <si>
    <t>80020872</t>
  </si>
  <si>
    <t>80020892</t>
  </si>
  <si>
    <t>80020899</t>
  </si>
  <si>
    <t>1698-2690</t>
  </si>
  <si>
    <t>800372965</t>
  </si>
  <si>
    <t>800372966</t>
  </si>
  <si>
    <t>800372991</t>
  </si>
  <si>
    <t>800372992</t>
  </si>
  <si>
    <t>3300-3800</t>
  </si>
  <si>
    <t>A104521R0v06</t>
  </si>
  <si>
    <t>2300-3800</t>
  </si>
  <si>
    <t>A104521R0v06_NR</t>
  </si>
  <si>
    <t>A26451800v06</t>
  </si>
  <si>
    <t>A704517R0v06</t>
  </si>
  <si>
    <t>A704521R0v06</t>
  </si>
  <si>
    <t>3400-3800</t>
  </si>
  <si>
    <t>3500-3800</t>
  </si>
  <si>
    <t>ADU451200v06</t>
  </si>
  <si>
    <t>690-862</t>
  </si>
  <si>
    <t>AOC4518R6v06</t>
  </si>
  <si>
    <t>AQU4518R23v18</t>
  </si>
  <si>
    <t>790-862</t>
  </si>
  <si>
    <t>AQU4518R61v06</t>
  </si>
  <si>
    <t>590-960</t>
  </si>
  <si>
    <t>1695-2200</t>
  </si>
  <si>
    <t>2490-2690</t>
  </si>
  <si>
    <t>ASI4518R37v06</t>
  </si>
  <si>
    <t>ATD4516R8v07</t>
  </si>
  <si>
    <t>ATR451806</t>
  </si>
  <si>
    <t>ATR4521R0v06</t>
  </si>
  <si>
    <t>NOVAL</t>
  </si>
  <si>
    <t>BTS3911E_2600</t>
  </si>
  <si>
    <t>694-2700</t>
  </si>
  <si>
    <t>CMA_UBDHHH_6521_E1-10</t>
  </si>
  <si>
    <t>CMAB_6521_E0-6</t>
  </si>
  <si>
    <t>CMABDHH_6519_E0-8</t>
  </si>
  <si>
    <t>CMA-TRI6515</t>
  </si>
  <si>
    <t>CMA-UBTLBHH_6517_21_21_OLD</t>
  </si>
  <si>
    <t>694-6000</t>
  </si>
  <si>
    <t>CVV2NPX308.208R</t>
  </si>
  <si>
    <t>1695-2180</t>
  </si>
  <si>
    <t>1710-2160</t>
  </si>
  <si>
    <t>ECOMS290</t>
  </si>
  <si>
    <t xml:space="preserve">1695-2690 </t>
  </si>
  <si>
    <t>ECOTB291V02</t>
  </si>
  <si>
    <t>GL_A26451800v01</t>
  </si>
  <si>
    <t>GL_ADU451712</t>
  </si>
  <si>
    <t>GL_ATR451607</t>
  </si>
  <si>
    <t>Jaybeam_5363603</t>
  </si>
  <si>
    <t>Jaybeam_5363802</t>
  </si>
  <si>
    <t>Jaybeam_5363803</t>
  </si>
  <si>
    <t>K741336</t>
  </si>
  <si>
    <t>870-1883</t>
  </si>
  <si>
    <t>KRE1012338</t>
  </si>
  <si>
    <t>Pico3911B_2600</t>
  </si>
  <si>
    <t>PW7755</t>
  </si>
  <si>
    <t>R3V6-65B-R9</t>
  </si>
  <si>
    <t>SSC-760255412</t>
  </si>
  <si>
    <t>TNA970A10Rx</t>
  </si>
  <si>
    <t>Tong 8</t>
  </si>
  <si>
    <t>VV-65B-R1B</t>
  </si>
  <si>
    <t>FOR DISMANTLING</t>
  </si>
  <si>
    <t>SAP</t>
  </si>
  <si>
    <t>Order from Stock</t>
  </si>
  <si>
    <t>quantity</t>
  </si>
  <si>
    <t>Cabinet</t>
  </si>
  <si>
    <t>BTS3900C OMB CABINET220V AC</t>
  </si>
  <si>
    <t>INSTALL.KIT OMB CAB verC AC</t>
  </si>
  <si>
    <t>BTS3900C OMB CABINET-48V DC</t>
  </si>
  <si>
    <t>INSTALL MATER BTS3900C DC CAB</t>
  </si>
  <si>
    <t>INDOOR MINI BOX 3U</t>
  </si>
  <si>
    <t>PS (2 per BBU)</t>
  </si>
  <si>
    <t>DCDU</t>
  </si>
  <si>
    <t>PS (1*AC-&gt;1*DC)</t>
  </si>
  <si>
    <t>OPM15M AC POWER MODULE</t>
  </si>
  <si>
    <t>PS (1*AC-&gt;4*DC)</t>
  </si>
  <si>
    <t>BL ACDC PWRMODULE OPM50M 3000W</t>
  </si>
  <si>
    <t>BBU3910A3</t>
  </si>
  <si>
    <t>BBU3910A3 (DC -48V)</t>
  </si>
  <si>
    <t>BBU3910A TRUNK CABLE 4E1 20M</t>
  </si>
  <si>
    <t>BBU3910A GE OPT TRANS MAT</t>
  </si>
  <si>
    <t>BBU (w 1*UPEUd)</t>
  </si>
  <si>
    <t>BBU (w/o UPEU)</t>
  </si>
  <si>
    <t>DBS5900 INSTALLATION KIT</t>
  </si>
  <si>
    <t>DBS5900 INST KIT EXPANSION&amp;MOD</t>
  </si>
  <si>
    <t>Installation set for DBS3900</t>
  </si>
  <si>
    <t>TRUNK CABLE 75OHM,4E1,10M</t>
  </si>
  <si>
    <t>ETHERNET CABLE</t>
  </si>
  <si>
    <t>GROUNDING UNIT</t>
  </si>
  <si>
    <t>BBU Control board</t>
  </si>
  <si>
    <t>UMPTB1</t>
  </si>
  <si>
    <t>BBU Control board (TxN over Satelite)</t>
  </si>
  <si>
    <t>BBU Control board (C-band)</t>
  </si>
  <si>
    <t>UMPTga2</t>
  </si>
  <si>
    <t>BBU BB Board</t>
  </si>
  <si>
    <t xml:space="preserve">UBRIb </t>
  </si>
  <si>
    <t>UBBPg1a</t>
  </si>
  <si>
    <t>UBBPg2</t>
  </si>
  <si>
    <t>GPS Antenna</t>
  </si>
  <si>
    <t>GPS ANTENNA/FEEDER PACKAGE</t>
  </si>
  <si>
    <t>AAU</t>
  </si>
  <si>
    <t>AAU3940 1800/2100MHz 2x40W WD7MAAU39400</t>
  </si>
  <si>
    <t>AAU5613 3400/3600MHz</t>
  </si>
  <si>
    <t>RU CABLE PACKAGE for AC AAU LT1PRUCPAC00</t>
  </si>
  <si>
    <t>CPRI OP TR.MATERIAL 9.8G SM LT1PCOTMDC00</t>
  </si>
  <si>
    <t>EJECTOR INSTALL.KIT 235/236 A000EJEKIT00</t>
  </si>
  <si>
    <t>PIGTAIL SM G.652D 3mm 1m OP-FC/PC-1</t>
  </si>
  <si>
    <t>ODM04A BOX WD5E1ODM04</t>
  </si>
  <si>
    <t>RRU</t>
  </si>
  <si>
    <t>RRU5519et</t>
  </si>
  <si>
    <t>RRU5515t</t>
  </si>
  <si>
    <t>RRU3926 (1*80W) 900MHz</t>
  </si>
  <si>
    <t>RRU3936 (1*80W) 900MHz</t>
  </si>
  <si>
    <t>RRU3953 (2*80W) 900MHz</t>
  </si>
  <si>
    <t>RRU5905 (2*80W) 900MHz</t>
  </si>
  <si>
    <t>RRU3936 (1*80W) 1800MHz</t>
  </si>
  <si>
    <t>RRU3953 (2*80W) 1800MHz</t>
  </si>
  <si>
    <t>RRU5905 (2*80W) 1800MHz</t>
  </si>
  <si>
    <t>RRU5505 (2*120W) MM 1800~2100MHz</t>
  </si>
  <si>
    <t>RRU5513</t>
  </si>
  <si>
    <t>RRU (RRU3826_UPA)</t>
  </si>
  <si>
    <t>RRU3826 for WCDMA 2100MHz (80W)</t>
  </si>
  <si>
    <t>RRU (RRU3826_KKQ)</t>
  </si>
  <si>
    <t>RRU3826 for WCDMA 2100 MHz</t>
  </si>
  <si>
    <t>RRU3953 (2*80W) 2100MHz</t>
  </si>
  <si>
    <t>RRU5905 (2*80W) 2100MHz</t>
  </si>
  <si>
    <t>RRU5909</t>
  </si>
  <si>
    <t>RRU5304 (4*60W) 2600MHz</t>
  </si>
  <si>
    <t>RRU5258 (8*30W) 3500MHz</t>
  </si>
  <si>
    <t>RxDiv Cable</t>
  </si>
  <si>
    <t>SINGLE CABLE EXT CONN 2M</t>
  </si>
  <si>
    <t>Chain FO cable</t>
  </si>
  <si>
    <t>OPT.CABLE MM DLC/PC,DLC/PC 2M</t>
  </si>
  <si>
    <t>Chain FO SFP</t>
  </si>
  <si>
    <t>SFP+ 850NM 6.144G LC MMF 0.12KM</t>
  </si>
  <si>
    <t>ESFP,850NM,4.25G MR,-9~0DBM,LC,MM 0.3KM</t>
  </si>
  <si>
    <t>RRU FO 2m</t>
  </si>
  <si>
    <t>OPT.CABLE RRU MM DLC/PC,DLC/PC 2M,7.0MM</t>
  </si>
  <si>
    <t>RRU Cable Package DC GND</t>
  </si>
  <si>
    <t>RRU Cable Package 160W RRU DC GND</t>
  </si>
  <si>
    <t>CPRI OP TR.MAT 4.9G MM 2m OP 2SFP CLMP</t>
  </si>
  <si>
    <t>CPRI OP TR.MAT 4.9G MM OP 2SFP CLMP</t>
  </si>
  <si>
    <r xmlns="http://schemas.openxmlformats.org/spreadsheetml/2006/main">
      <t xml:space="preserve">CPRI OP TR.MAT 4.9G </t>
    </r>
    <r xmlns="http://schemas.openxmlformats.org/spreadsheetml/2006/main">
      <rPr>
        <b/>
        <sz val="9"/>
        <color rgb="FFFF0000"/>
        <rFont val="Calibri"/>
        <family val="2"/>
        <charset val="204"/>
        <scheme val="minor"/>
      </rPr>
      <t>SM</t>
    </r>
    <r xmlns="http://schemas.openxmlformats.org/spreadsheetml/2006/main">
      <rPr>
        <sz val="9"/>
        <rFont val="Calibri"/>
        <family val="2"/>
        <charset val="204"/>
        <scheme val="minor"/>
      </rPr>
      <t xml:space="preserve"> OP 2SFP CLMP</t>
    </r>
  </si>
  <si>
    <t>CPRI OP TR.MAT 9.8G SM OP 2SFP</t>
  </si>
  <si>
    <t>RRU (7-16/7-16)</t>
  </si>
  <si>
    <t>RRU TOP JUMPER FIXED (2pcs set)</t>
  </si>
  <si>
    <t>Jumper CMA (7-16/4.3-10)</t>
  </si>
  <si>
    <t>JUMPER 7-16M/4.3-10М CMA</t>
  </si>
  <si>
    <t>Jumper CMA (4.3-10/4.3-10)</t>
  </si>
  <si>
    <t>JUMPER 4.3-10М/4.3-10М CMA</t>
  </si>
  <si>
    <t>Jumper JMA (7-16/4.3-10)</t>
  </si>
  <si>
    <t>JUMPER 7-16/4.3-10 1/2"FLEXIBLE JMA</t>
  </si>
  <si>
    <t>Jumper JMA (4.3-10/4.3-10)</t>
  </si>
  <si>
    <t>JUMPER 4.3-10/4.3-10 1/2"FLEXIBLE JMA</t>
  </si>
  <si>
    <t>Pico</t>
  </si>
  <si>
    <t>BTS3911B 1800M+2100MHZ WITH ANT</t>
  </si>
  <si>
    <t>02231YYS INSTALLATION MATERIALS BTS3911B</t>
  </si>
  <si>
    <t>PSE MODULE</t>
  </si>
  <si>
    <t>Pico (TxN over Satelite)</t>
  </si>
  <si>
    <t>RGPS MODULE FOR BTS3911B</t>
  </si>
  <si>
    <t>Micro</t>
  </si>
  <si>
    <t>BTS3911E 1800M+2100M with Ant</t>
  </si>
  <si>
    <t>INSTALL.MATs BTS3911E/Book RRU</t>
  </si>
  <si>
    <t>MAST FIXTURE SET BTS3911E 1800M+2100M</t>
  </si>
  <si>
    <t>Micro (external antenna)</t>
  </si>
  <si>
    <t>BTS3911E TOP JUMPER</t>
  </si>
  <si>
    <t>Micro (TxN over Satelite)</t>
  </si>
  <si>
    <t>GPS MODULE FOR BTS3911E</t>
  </si>
  <si>
    <t>Coupler 78210504</t>
  </si>
  <si>
    <t>HYBRID COMBINER 2:1, 698-2690MHz, 7-16 female</t>
  </si>
  <si>
    <t>Coupler 793554</t>
  </si>
  <si>
    <t>3dB Coupler, 800-2200MHz, 7-16 DIN female</t>
  </si>
  <si>
    <t>Coupler 78210525</t>
  </si>
  <si>
    <t xml:space="preserve">3dB COUPLER 698-2690MHz </t>
  </si>
  <si>
    <t xml:space="preserve">Coupler HAT073843500S-03 </t>
  </si>
  <si>
    <t xml:space="preserve">HAT073843500S-03 </t>
  </si>
  <si>
    <t>Mounting 78210526</t>
  </si>
  <si>
    <t>MOUNTING KIT 78210526 for 3DB COUPLER</t>
  </si>
  <si>
    <t>TMA 700/800/900 4.3-10 ATADU2016v06</t>
  </si>
  <si>
    <t>27100137 ATADU2016v06 700-800&amp;900M TMA</t>
  </si>
  <si>
    <t>TMA 880-960MHZ 4.3-10 MI-16331</t>
  </si>
  <si>
    <t>MI-16331</t>
  </si>
  <si>
    <t>TMA 900 78210440</t>
  </si>
  <si>
    <t>Double Unit TMA, 880-915/925-960MHz, 12dB, 7-16 female</t>
  </si>
  <si>
    <t>TMA 900 NSN</t>
  </si>
  <si>
    <t xml:space="preserve">AMP MDGB MHA 900MHz 12dB AISG </t>
  </si>
  <si>
    <t>TMA 900 78210510</t>
  </si>
  <si>
    <t>DTMA-800/900-12-AISG-CWA-78210510</t>
  </si>
  <si>
    <t>TMA 1800/2100 78211106</t>
  </si>
  <si>
    <t>DTMA 1800 UMTS 12-AISG DUPLEX 78211106</t>
  </si>
  <si>
    <t>TMA 1800/2100 78211106v02</t>
  </si>
  <si>
    <t xml:space="preserve">DTMA-1800-UMTS-12-AISG 78211106V02 </t>
  </si>
  <si>
    <t>TMA 1800/2100 78211106v44</t>
  </si>
  <si>
    <t>DTMA-1800-UMTS-12-AISG 78211106V44</t>
  </si>
  <si>
    <t>TMA 1800 78210312</t>
  </si>
  <si>
    <t>Double Unit TMA, 1710-1785/1805-1880MHz, 12dB, 7-16 female</t>
  </si>
  <si>
    <t>TMA 1800-2100MHZ 4.3-10 2ANT MI-12731</t>
  </si>
  <si>
    <t>MI-12731</t>
  </si>
  <si>
    <t>TMA 2600MHZ 4.3-10 MI-12031</t>
  </si>
  <si>
    <t>MI-12031</t>
  </si>
  <si>
    <t>TMA 1800/2100/2600 ATATR2002v06</t>
  </si>
  <si>
    <t>27100134 ATATR2002v06 1800&amp;2100&amp;2600 TMA</t>
  </si>
  <si>
    <t>DB combiner 78210249</t>
  </si>
  <si>
    <t>Double Unit Dual Band Combiner, 806-960/1710-2170MHz, 7-16 female</t>
  </si>
  <si>
    <t>DB combiner 78210681</t>
  </si>
  <si>
    <t>Double Unit Dual Band Combiner, 380-960/1710-2700MHz, 7-16 female</t>
  </si>
  <si>
    <t>DB combiner 78210620</t>
  </si>
  <si>
    <t>Single Unit Dual Band Combiner, 1710-1880/1920-2170MHz, 7-16 female</t>
  </si>
  <si>
    <t>DB combiner 78210621</t>
  </si>
  <si>
    <t>Double Unit Dual Band Combiner, 1710-1880/1920-2170MHz, 7-16 female</t>
  </si>
  <si>
    <t>DB combiner DCB-2-DU-64F-01</t>
  </si>
  <si>
    <t>DUAL COMBINER 1710-1880 1920-2170MHz CMA</t>
  </si>
  <si>
    <t>DB combiner DCB-2BM-64F-02</t>
  </si>
  <si>
    <t>DUAL COMBINER 1710-2180 2300-2700MHz CMA</t>
  </si>
  <si>
    <t>DIPLEXER 1800-2100MHz 4:3-10 MI54642</t>
  </si>
  <si>
    <t>MI54642</t>
  </si>
  <si>
    <t>DB combiner MI20242</t>
  </si>
  <si>
    <t>1710-2180MHz &amp; 2300-2700MHz Diplexer, 4:3-10</t>
  </si>
  <si>
    <t>ACOMT2A07v06</t>
  </si>
  <si>
    <t>27030829 COMBINER ACOMT2A07v06-TC-1800/2100/2600</t>
  </si>
  <si>
    <t>ACOMT2A04v06</t>
  </si>
  <si>
    <t>27030803 COMBINER ACOMT2A04v06 – 900/1800-2100/2600</t>
  </si>
  <si>
    <t>ACOMD2H22v06</t>
  </si>
  <si>
    <t>27030806 COMBINER ACOMD2H22v06 – 900/1800-2600</t>
  </si>
  <si>
    <t>DB combiner ACOMD2L13v06</t>
  </si>
  <si>
    <t>ACOMD2L13v06 DC-1427-2200/2300-2690-10</t>
  </si>
  <si>
    <t>TB combiner 78210630</t>
  </si>
  <si>
    <t>COMBINER TRIPLE 900/1800/2100 S 78210630</t>
  </si>
  <si>
    <t>TB combiner 78210631</t>
  </si>
  <si>
    <t>Double unit triple band combiner, 380-960/1710-1880/1920-2170MHz, 7-16 female (long neck)</t>
  </si>
  <si>
    <t>TRIPLEXER1800/2100/2600 4:3-106P MI21795</t>
  </si>
  <si>
    <t>MI21795</t>
  </si>
  <si>
    <t>4B combiner 78210640</t>
  </si>
  <si>
    <t>COMBINER 4 900/1800/2100/2600 S 78210640</t>
  </si>
  <si>
    <t>4B combiner 78210641</t>
  </si>
  <si>
    <t>COMBINER 4 900/1800/2100/2600 D 78210641</t>
  </si>
  <si>
    <t>Load 78210474 (7/16F)</t>
  </si>
  <si>
    <t xml:space="preserve">LOAD 50 Ohm RF 80W </t>
  </si>
  <si>
    <t>Load 78210473 (4.3-10F)</t>
  </si>
  <si>
    <t>LOAD 50 OHM RF 80W 78210473</t>
  </si>
  <si>
    <t>Load 78410367 (7/16F)</t>
  </si>
  <si>
    <t>LOAD 50Ohm, 1,5W, 7-16 female</t>
  </si>
  <si>
    <t>Load HWL005043100S-SW</t>
  </si>
  <si>
    <t>HWL005043100S-SW</t>
  </si>
  <si>
    <t>Load 75112004V01</t>
  </si>
  <si>
    <t>LOW PIM LOAD 50OHM 200W 75112004V01</t>
  </si>
  <si>
    <t>DC Stop 7/16</t>
  </si>
  <si>
    <t>DC STOP</t>
  </si>
  <si>
    <t>DC Stop ADCSTOP00v06 4.3-10</t>
  </si>
  <si>
    <t>27151012 DC-STOP FOR COMB. ADCSTOP00v06</t>
  </si>
  <si>
    <t>Site Sharing Adaprter (KA)</t>
  </si>
  <si>
    <t>3WAY SITESHARING ADAPTER FLXRET 86010154</t>
  </si>
  <si>
    <t>RET (KA)</t>
  </si>
  <si>
    <t>REMOTE CONTROL UNIT, 86010148V01</t>
  </si>
  <si>
    <t>RET (CMA)</t>
  </si>
  <si>
    <t>RET TILT ADJUSTER, RTAH</t>
  </si>
  <si>
    <t>RET (CMA 3324)</t>
  </si>
  <si>
    <t>RET TILT ADJUSTABLE SLIM CM</t>
  </si>
  <si>
    <t>AISG</t>
  </si>
  <si>
    <t>AISG Cable RRU, 5m</t>
  </si>
  <si>
    <t>AISG chain cable, 0,5m</t>
  </si>
  <si>
    <t>AISG Extension Cable</t>
  </si>
  <si>
    <t>if needed, according to convention</t>
  </si>
  <si>
    <t>Antenna SB 80010456V2</t>
  </si>
  <si>
    <t xml:space="preserve">XPol Panel, 790-960MHz, 2,25M, 30°, 0°-10°T, 20,5 dBi      </t>
  </si>
  <si>
    <t>Antenna SB 80010302</t>
  </si>
  <si>
    <t xml:space="preserve">XPol C-Panel, 806-960MHz, 2,25M, 33°, 0°T, 21 dBi      </t>
  </si>
  <si>
    <t>Antenna SB 80010303V02</t>
  </si>
  <si>
    <t>ANT XPOL PANEL 790–960 80010303v02 CLMP</t>
  </si>
  <si>
    <t>Antenna SB 80010306V02</t>
  </si>
  <si>
    <t>ANT XPOL PANEL 790-960 80010306v2 CLMP</t>
  </si>
  <si>
    <t>Antenna SB 80010307V01</t>
  </si>
  <si>
    <t xml:space="preserve">XPol Panel, 790-960MHz, 2,57M, 65°, 0°-10°T, 18 dBi (clamps)   </t>
  </si>
  <si>
    <t>Antenna SB 80010634V01</t>
  </si>
  <si>
    <t>ANT XPOL PANEL 790–960 80010634v01 CLMP</t>
  </si>
  <si>
    <t>Antenna SB 80010517V01</t>
  </si>
  <si>
    <t>XXpol Panel, 824-960MHz, 2,63M, 65°, 0°-8°T, 17 dBi (clamps)</t>
  </si>
  <si>
    <t>Antenna SB 80010902</t>
  </si>
  <si>
    <t>ANT XPOL 4PORT 698–960 RET 80010902</t>
  </si>
  <si>
    <t>Antenna SB ADU4517R6v06</t>
  </si>
  <si>
    <t>2L</t>
  </si>
  <si>
    <t>Antenna SB CMA-B3324</t>
  </si>
  <si>
    <t>ANT CMA-B/3324/E0 24DBI 1710-2170 W/TILT</t>
  </si>
  <si>
    <t>Antenna SB 80010761</t>
  </si>
  <si>
    <t>ANT XPOL PANEL 1710–2690 80010761 CLMP</t>
  </si>
  <si>
    <t>Antenna SB 80010681</t>
  </si>
  <si>
    <t>ANT XPOL PANEL 1710–2690 80010681 CLMP</t>
  </si>
  <si>
    <t>Antenna SB 742215V01</t>
  </si>
  <si>
    <t>XPol F-Panel, 1710-2200MHz, 1,3M, 65° , 0°-10°T, 18 dBi (clamps)</t>
  </si>
  <si>
    <t>Antenna SB CMA-B6519</t>
  </si>
  <si>
    <t>ANT CMA-B/6519 CELLMAX</t>
  </si>
  <si>
    <t>Antenna SB CMA-B6520</t>
  </si>
  <si>
    <t>ANT CMA-B/6520 CELLMAX</t>
  </si>
  <si>
    <t>Antenna SB CMA-B6521</t>
  </si>
  <si>
    <t>ANT CMA-B/6521/E0-6 21DBI 1710-2170MHZ</t>
  </si>
  <si>
    <t>Antenna SB CMA-BDHH/6521/E0-6</t>
  </si>
  <si>
    <t>ANT CMA-BDHH/6521/E0-6 XXPOL 2x1710-2180</t>
  </si>
  <si>
    <t>Antenna SB CMA-UBDHH/6521/E1-10</t>
  </si>
  <si>
    <t>ANT CMA-UBDHH/6521/E1-10/RET XXPOL</t>
  </si>
  <si>
    <t>Antenna SB 80010682</t>
  </si>
  <si>
    <t>ANT 80010682 4-PORT 2HB 0.9M</t>
  </si>
  <si>
    <t>Antenna SB VV-65B-R1B</t>
  </si>
  <si>
    <t>ANT HB SECTORIZED 4-P x1RET VV-65B-R1B</t>
  </si>
  <si>
    <t>Antenna SB A704521R0v06</t>
  </si>
  <si>
    <t>10033078</t>
  </si>
  <si>
    <t>27011919-002 ANT A704521R0v06 1L 2.6m</t>
  </si>
  <si>
    <t>Antenna SB A704517R0v06</t>
  </si>
  <si>
    <t>10033079</t>
  </si>
  <si>
    <t>27011506-001 ANT A704517R0v06 1L 2.6m</t>
  </si>
  <si>
    <t>Antenna SB ADU4521R0v06</t>
  </si>
  <si>
    <t>ANT 27012476 ADU4521R0v06 2H 4.3</t>
  </si>
  <si>
    <t>Antenna DB 80010123V03</t>
  </si>
  <si>
    <t>ANT XXPOL 790-2180 80010123v03 CLMP</t>
  </si>
  <si>
    <t>Antenna DB 742222V01</t>
  </si>
  <si>
    <t>ANT XXPOL 790–960/1710–2170 (Clamps)</t>
  </si>
  <si>
    <t>Antenna DB 742264V02</t>
  </si>
  <si>
    <t>ANT XXPOL 790/1710-2180 742264v02 CLMP</t>
  </si>
  <si>
    <t>Antenna DB 742265V02</t>
  </si>
  <si>
    <t>ANTXXPOL790-960/1710-2180 742265v02 CLMP</t>
  </si>
  <si>
    <t>Antenna DB 742266</t>
  </si>
  <si>
    <t xml:space="preserve">XXpol A-Panel, 824-960/1710-2180MHz, 2,51M, 65°, 0°-7°T, 17 dBi   </t>
  </si>
  <si>
    <t>Antenna DB 742266V01</t>
  </si>
  <si>
    <t xml:space="preserve">XXpol A-Panel, 790-960/1710-2180MHz, 2,51M, 65°, 0°-7°T, 17 dBi   </t>
  </si>
  <si>
    <t>Antenna DB 742266V02</t>
  </si>
  <si>
    <t xml:space="preserve">XXpol A-Panel, 790-960/1710-2180MHz, 2,51M, 65°, 0°-7°T, 17 dBi (clamps)  </t>
  </si>
  <si>
    <t>Antenna DB 742192V01</t>
  </si>
  <si>
    <t xml:space="preserve">VPol LogPer, 790-2690MHz, 0,78M, 65°, 0°T, 11 dBi  </t>
  </si>
  <si>
    <t>Antenna MB 742270V03</t>
  </si>
  <si>
    <t>ANT XXXPOL 790/1880/2170 742270V03 CLMP</t>
  </si>
  <si>
    <t>Antenna MB 80010292</t>
  </si>
  <si>
    <t xml:space="preserve">XXXpol A-Panel, 806-960/2x1710-2180MHz, 2,6M, 65°, 2°-10°T, 17,5 dBi   </t>
  </si>
  <si>
    <t>Antenna MB 80010292V01</t>
  </si>
  <si>
    <t xml:space="preserve">XXXpol A-Panel, 790-960/2x1710-2180MHz, 2,6M, 65°, 2°-10°T, 17,5 dBi </t>
  </si>
  <si>
    <t>Antenna MB 80010292V02</t>
  </si>
  <si>
    <t>XXXpol A-Panel, 790-960/2x1710-2180MHz, 2,6M, 65°, 2°-10°T, 17,5 dBi (clamps)</t>
  </si>
  <si>
    <t>Antenna MB 80010292V03</t>
  </si>
  <si>
    <t>Antenna MB CMA-BTLBHH/6517/21/21</t>
  </si>
  <si>
    <t>ANT CMA-BTLBHH/6517/21/21 XXPOL HEX-PORT</t>
  </si>
  <si>
    <t>Antenna MB CMA-UBTLBHH/6516/21/21</t>
  </si>
  <si>
    <t>ANT CMA-UBTLBHH/6516/21/21/RET XXXPOL 6P</t>
  </si>
  <si>
    <t>Antenna MB CMA-UBTLBHH/6517/21/21</t>
  </si>
  <si>
    <t>ANT CMA-UBTLBHH/6517/21/21/RET 6-PORT</t>
  </si>
  <si>
    <t>Antenna MB 80010691v01</t>
  </si>
  <si>
    <t>ANT 80010691v01 XXXPOL 698–960/1710–2690 CLAMPS</t>
  </si>
  <si>
    <t>Antenna MB 80010692v01</t>
  </si>
  <si>
    <t>ANT 80010692v01 XXXPOL 698–960/1710–2690 CLAMPS</t>
  </si>
  <si>
    <t>Antenna MB 80010826</t>
  </si>
  <si>
    <t>XXXX POL 790-960/1710-2180</t>
  </si>
  <si>
    <t>Antenna MB 80010864</t>
  </si>
  <si>
    <t>ANT XPOL 698–906 1710-2690 RET 80010864</t>
  </si>
  <si>
    <t>Antenna MB 80010865</t>
  </si>
  <si>
    <t>ANT 6PORT XPOL HPBW RET 80010865</t>
  </si>
  <si>
    <t>Antenna MB 80020872</t>
  </si>
  <si>
    <t>ANT XPOL 8PORT XPOL HPBW RET 80020872</t>
  </si>
  <si>
    <t>Antenna MB 80010666v01</t>
  </si>
  <si>
    <t>ANT XXPOL 698-960/1710-2690 80010666V01</t>
  </si>
  <si>
    <t>Antenna MB 80010992</t>
  </si>
  <si>
    <t>ANT XPOL 12PORT XPOL HPBW RET 80010992</t>
  </si>
  <si>
    <t xml:space="preserve">Antenna MB ADU4518R8v06 </t>
  </si>
  <si>
    <t>1L1H</t>
  </si>
  <si>
    <t>Antenna MB ATR4518R13v06</t>
  </si>
  <si>
    <t>ANT27011805-001 ATR4518R13v06 6P 1L2H4.3 HUAWEI</t>
  </si>
  <si>
    <t>Antenna MB APE4516R1v06</t>
  </si>
  <si>
    <t>ANT 27012334 APE4516R1v06 10P 1L4H 4.3 HUAWEI</t>
  </si>
  <si>
    <t>Antenna MB ASI4518R20v06</t>
  </si>
  <si>
    <t>ANT 27013192 ASI4518R20v06 12P 2L4H 4.3 HUAWEI</t>
  </si>
  <si>
    <t>Antenna MB ASI4517R3v18</t>
  </si>
  <si>
    <t>27012496-003 ANT ASI4517R3v18 2L4H 2m</t>
  </si>
  <si>
    <t>Antenna MB AQU4518R9v06</t>
  </si>
  <si>
    <t>ANT27011264-001 AQU4518R9v06 8P 1L3H4.3 HUAWEI</t>
  </si>
  <si>
    <t>Antenna MB ASI4518R10v18</t>
  </si>
  <si>
    <t>2L4H</t>
  </si>
  <si>
    <t>Antenna MB AQU4518R25v18</t>
  </si>
  <si>
    <t>2L2H</t>
  </si>
  <si>
    <t>Antenna MB AQU4518R61v06</t>
  </si>
  <si>
    <t>27013852 ANT AQU4518R61v06 2L2H mini 2m</t>
  </si>
  <si>
    <t>Antenna MB AQU4518R24v18</t>
  </si>
  <si>
    <t>27011964-005 ANT AQU4518R24v18 2L2H 2m</t>
  </si>
  <si>
    <t>Antenna MB ASI4517R12v06</t>
  </si>
  <si>
    <t>27013703 ANT ASI4517R12v06 2L4H mini 2m</t>
  </si>
  <si>
    <t>Antenna MB A094519R3v06</t>
  </si>
  <si>
    <t>1L4H+C-band 8T8R (one body)</t>
  </si>
  <si>
    <t>Antenna MB A094519R2v06</t>
  </si>
  <si>
    <t>Antenna MB RRV4-65D-R6</t>
  </si>
  <si>
    <t>ANT 12-P x6RET RRV4-65D-R6</t>
  </si>
  <si>
    <t>Antenna IN 80010465</t>
  </si>
  <si>
    <t xml:space="preserve">VVPol Indoor, 806-960/1710-2700MHz, 0,23M, 90°, 0°T, 7 dBi    C</t>
  </si>
  <si>
    <t>Antenna IN 80010677</t>
  </si>
  <si>
    <t>ANT VXPOL 790–960/1710–2700 80010677</t>
  </si>
  <si>
    <t>Antenna IN 80010748</t>
  </si>
  <si>
    <t>ANT OMNI VPOL 876-960/1710-2700 80010748</t>
  </si>
  <si>
    <t>Antenna IN 80010710</t>
  </si>
  <si>
    <t>ANT OMNI VHPOL INDOOR 80010710</t>
  </si>
  <si>
    <t>Antenna IN 80010249</t>
  </si>
  <si>
    <t xml:space="preserve">VPol Indoor, 790-960/1425-3880MHz, 0,26M, 360°, 2 dBi  </t>
  </si>
  <si>
    <t>Antenna IN 738447</t>
  </si>
  <si>
    <t>ANT VPOL BIDIR 694–960/1710–2690 738447</t>
  </si>
  <si>
    <t>Antenna IN 738448</t>
  </si>
  <si>
    <t>ANT VPol BiDir 694–960/1710–2690 738448</t>
  </si>
  <si>
    <t>Antenna IN 738449</t>
  </si>
  <si>
    <t xml:space="preserve">VPol Omni, 870-960/1710-1880MHz, 0,22M, 360°, 0°T, 2 dBi  </t>
  </si>
  <si>
    <t>Antenna IN MIMO</t>
  </si>
  <si>
    <t>MIMO LOW PIM CEILING ANT CMMG-7-60-NJ</t>
  </si>
  <si>
    <t>Antenna Cam 80010776</t>
  </si>
  <si>
    <t>ANT XPOL 12PORT TRiSEC 698/2690</t>
  </si>
  <si>
    <t>Antenna Cam 80010125</t>
  </si>
  <si>
    <t>ANT XPOL TRI-SECTOR SLIMPOLE 80010125</t>
  </si>
  <si>
    <t>Antenna Cam 80010360</t>
  </si>
  <si>
    <t>ANT XPOL TRI-SECTOR PIPE 80010360</t>
  </si>
  <si>
    <t>Antenna Cam CMA-TRI6515</t>
  </si>
  <si>
    <t>ANT CMA-TRI/6515/E2 TUBUS 1710-2180MHZ</t>
  </si>
  <si>
    <t>Antenna Cam ECOMS291</t>
  </si>
  <si>
    <t>TUBUS Xpol A-Panel, 806-960/2x1710-2180MHz, 2,52/0,53M, 65°, 2°-14°T, 16,5 dBi</t>
  </si>
  <si>
    <t>Antenna Cam ECOMS291V02</t>
  </si>
  <si>
    <t>MONOSECTOR ANTENNA ECOMS291V02</t>
  </si>
  <si>
    <t>Antenna Cam ECOMS892</t>
  </si>
  <si>
    <t>ANT ECOMS892 4.3-10 FLEXRET 1xULB 4xUHB</t>
  </si>
  <si>
    <t>Antenna Cam ECOMS692v01</t>
  </si>
  <si>
    <t>ANT ECOMS692v01 1xULB 2xHB</t>
  </si>
  <si>
    <t>Antenna Cam ECOTB292V03</t>
  </si>
  <si>
    <t>TRI-SECTOR PIPE ANTENNA ECOTB292V03</t>
  </si>
  <si>
    <t>Antenna Cam ECOTB692v18</t>
  </si>
  <si>
    <t>ANT ECOTB692v18 1xULB 2xUHB 80010692v01</t>
  </si>
  <si>
    <t>Antenna Cam ECOPB892</t>
  </si>
  <si>
    <t>ANT ECOPB892 7/16F 1хLB,4xHB 80010892</t>
  </si>
  <si>
    <t>ANT ECOPB892V1 7/16F 1хLB,4HB 80010892V1</t>
  </si>
  <si>
    <t>ANT ECOPB892 4.3-10 1хLB,4xHB 80020892</t>
  </si>
  <si>
    <t>Antenna Cam ECOUB644V01</t>
  </si>
  <si>
    <t>ANT ECOUB644V01 ULTRA-BAND TRI-SECTOR</t>
  </si>
  <si>
    <t>Antenna Omni 736349</t>
  </si>
  <si>
    <t>ANTENNA OMNI VPOL 870-960MHz</t>
  </si>
  <si>
    <t>Antenna Omni 738187</t>
  </si>
  <si>
    <t xml:space="preserve">VPol Omni, 1710-1880MHz, 1,56M, 360°, 0°T, 11 dBi  </t>
  </si>
  <si>
    <t>Antenna Omni 737190</t>
  </si>
  <si>
    <t xml:space="preserve">VPol Omni, 1710-1880MHz, 1,56M, 360°, 6°T, 11 dBi  </t>
  </si>
  <si>
    <t>Antenna Omni 738192</t>
  </si>
  <si>
    <t>ANT OMNI VPOL 806–894 738192</t>
  </si>
  <si>
    <t>Antenna Omni 80010274</t>
  </si>
  <si>
    <t>ANT OMNI VPOL 870-960/1920-2170 80010274</t>
  </si>
  <si>
    <t>Antenna Omni 80010745</t>
  </si>
  <si>
    <t>ANT OMNI 698–960/1695–2690 80010745</t>
  </si>
  <si>
    <t>Sectorization Antenna LB</t>
  </si>
  <si>
    <t>ANT LB SECTORED 4-P W/ x2RET 2CPX208R-V3</t>
  </si>
  <si>
    <t>Sectorization Antenna HB</t>
  </si>
  <si>
    <t>ANT HB SECTORIZED 4-P 2H-33A-R2</t>
  </si>
  <si>
    <t>ANT XPOL HB BTHH/3324/E0-6/RET 1710-2180</t>
  </si>
  <si>
    <t>ANT 80010656 4-PORT DUAL-BEAM 2HB 1.3M</t>
  </si>
  <si>
    <t>Sectorization Antenna MB</t>
  </si>
  <si>
    <t>ANT HB SECTORIZED 10-P RVV2NPX310.211R</t>
  </si>
  <si>
    <t>ANT HB SECTORIZED 10-P CVV2NPX308.208R</t>
  </si>
  <si>
    <t>Dismantled equipment to be returned to warehouse</t>
  </si>
  <si>
    <t>R1 +27deg</t>
  </si>
  <si>
    <t>R2 -27deg</t>
  </si>
  <si>
    <t>Y2 +27deg</t>
  </si>
  <si>
    <t>Y1 -27deg</t>
  </si>
  <si>
    <t>Y2</t>
  </si>
  <si>
    <t>R2</t>
  </si>
  <si>
    <t>Y1</t>
  </si>
  <si>
    <t>R1</t>
  </si>
  <si>
    <t>Y3</t>
  </si>
  <si>
    <t>Y4</t>
  </si>
  <si>
    <t>+30deg</t>
  </si>
  <si>
    <t>+15deg</t>
  </si>
  <si>
    <t>0deg</t>
  </si>
  <si>
    <t>-15deg</t>
  </si>
  <si>
    <t>-30deg</t>
  </si>
  <si>
    <t>B2</t>
  </si>
  <si>
    <t>B1</t>
  </si>
  <si>
    <t>r1</t>
  </si>
  <si>
    <t>y1</t>
  </si>
  <si>
    <t>y2</t>
  </si>
  <si>
    <t>y3</t>
  </si>
  <si>
    <t>y4</t>
  </si>
  <si>
    <t>p1</t>
  </si>
  <si>
    <t>CLy2</t>
  </si>
  <si>
    <t>CRy3</t>
  </si>
  <si>
    <t>Ry4</t>
  </si>
  <si>
    <t>r</t>
  </si>
  <si>
    <t>y</t>
  </si>
  <si>
    <t>r2</t>
  </si>
  <si>
    <t>Lr2</t>
  </si>
  <si>
    <t>LBy1</t>
  </si>
  <si>
    <t>Cy3</t>
  </si>
  <si>
    <t>RBy4</t>
  </si>
  <si>
    <t>Rr3</t>
  </si>
  <si>
    <t>RTy5</t>
  </si>
  <si>
    <t>LTy2</t>
  </si>
  <si>
    <t>LBy3</t>
  </si>
  <si>
    <t>CTy4</t>
  </si>
  <si>
    <t>RBy5</t>
  </si>
  <si>
    <t>LTy6</t>
  </si>
  <si>
    <t>RTy3</t>
  </si>
  <si>
    <t>rr</t>
  </si>
  <si>
    <t>yL</t>
  </si>
  <si>
    <t>yyR</t>
  </si>
  <si>
    <t>Rby3</t>
  </si>
  <si>
    <t>RTy2</t>
  </si>
  <si>
    <t>RTy4</t>
  </si>
  <si>
    <t>RBy3</t>
  </si>
  <si>
    <t>b1</t>
  </si>
  <si>
    <t>Cy2</t>
  </si>
  <si>
    <t>Ry3</t>
  </si>
  <si>
    <t>Rrr2</t>
  </si>
  <si>
    <t>p1R</t>
  </si>
  <si>
    <t>p1CR</t>
  </si>
  <si>
    <t>p1CL</t>
  </si>
  <si>
    <t>p1L</t>
  </si>
  <si>
    <t>Ant2</t>
  </si>
  <si>
    <t>Ant0</t>
  </si>
  <si>
    <t>Ant1</t>
  </si>
  <si>
    <t>ANT2</t>
  </si>
  <si>
    <t>ANT0</t>
  </si>
  <si>
    <t>ANT1</t>
  </si>
  <si>
    <t>B1(+30deg)</t>
  </si>
  <si>
    <t>B2(-30deg)</t>
  </si>
  <si>
    <t>Top</t>
  </si>
  <si>
    <t>Bottom</t>
  </si>
  <si>
    <t>R3</t>
  </si>
  <si>
    <t>Y5</t>
  </si>
  <si>
    <t>Y6</t>
  </si>
  <si>
    <t>Y1 BL</t>
  </si>
  <si>
    <t>Y2 TL</t>
  </si>
  <si>
    <t>Y3 BR</t>
  </si>
  <si>
    <t>Y4 TR</t>
  </si>
  <si>
    <t>3936-9</t>
  </si>
  <si>
    <t>2x3936-9</t>
  </si>
  <si>
    <t>3826</t>
  </si>
  <si>
    <t>2x3826</t>
  </si>
  <si>
    <t>3953-9</t>
  </si>
  <si>
    <t>3953-21</t>
  </si>
  <si>
    <t>5258</t>
  </si>
  <si>
    <t>5905-9</t>
  </si>
  <si>
    <t>5905-18</t>
  </si>
  <si>
    <t>5905-21</t>
  </si>
  <si>
    <t>5909-21</t>
  </si>
  <si>
    <t>3953-18 3953-21</t>
  </si>
  <si>
    <t>5905-18 5905-21</t>
  </si>
  <si>
    <t>3953-18 5905-21</t>
  </si>
  <si>
    <t>5905-18 3953-21</t>
  </si>
  <si>
    <t>5304AC</t>
  </si>
  <si>
    <t>5304DB</t>
  </si>
  <si>
    <t>5513AC</t>
  </si>
  <si>
    <t>5513DB</t>
  </si>
  <si>
    <t>5515t</t>
  </si>
  <si>
    <t>5513AC 5304AC</t>
  </si>
  <si>
    <t>5513DB 5304DB</t>
  </si>
  <si>
    <t>3953-18 3953-21 5304AC</t>
  </si>
  <si>
    <t>3953-18 3953-21 5304DB</t>
  </si>
  <si>
    <t>737304</t>
  </si>
  <si>
    <t>737306</t>
  </si>
  <si>
    <t>792542</t>
  </si>
  <si>
    <t>793006</t>
  </si>
  <si>
    <t>793525</t>
  </si>
  <si>
    <t>793533</t>
  </si>
  <si>
    <t>793554</t>
  </si>
  <si>
    <t>6320627</t>
  </si>
  <si>
    <t>7141775</t>
  </si>
  <si>
    <t>78210246</t>
  </si>
  <si>
    <t>78210249</t>
  </si>
  <si>
    <t>78210500</t>
  </si>
  <si>
    <t>78210504</t>
  </si>
  <si>
    <t>78210525</t>
  </si>
  <si>
    <t>78210526</t>
  </si>
  <si>
    <t>78210532</t>
  </si>
  <si>
    <t>78210534</t>
  </si>
  <si>
    <t>78210620</t>
  </si>
  <si>
    <t>78210621</t>
  </si>
  <si>
    <t>78210623</t>
  </si>
  <si>
    <t>78210631</t>
  </si>
  <si>
    <t>78210640</t>
  </si>
  <si>
    <t>78210641</t>
  </si>
  <si>
    <t>78210681</t>
  </si>
  <si>
    <t>78210805</t>
  </si>
  <si>
    <t>78211110</t>
  </si>
  <si>
    <t>86010017</t>
  </si>
  <si>
    <t>86010018</t>
  </si>
  <si>
    <t>86010019</t>
  </si>
  <si>
    <t>86010101</t>
  </si>
  <si>
    <t>86010103</t>
  </si>
  <si>
    <t>86010105</t>
  </si>
  <si>
    <t>86010136</t>
  </si>
  <si>
    <t>ACOMD2A06v06</t>
  </si>
  <si>
    <t>ACOMD2L13v06</t>
  </si>
  <si>
    <t>DCB-2-04-64F-01</t>
  </si>
  <si>
    <t>DCB-2BM-64F-02</t>
  </si>
  <si>
    <t>HAT073843500S-03</t>
  </si>
  <si>
    <t>MI20242</t>
  </si>
  <si>
    <t>MI50542</t>
  </si>
  <si>
    <t>Unknown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</si>
</sst>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;;;@"/>
  </numFmts>
  <fonts count="43">
    <font>
      <sz val="10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10"/>
      <color rgb="FFFF0000"/>
      <name val="Arial"/>
      <family val="2"/>
    </font>
    <font>
      <sz val="12"/>
      <name val="宋体"/>
    </font>
    <font>
      <sz val="12"/>
      <name val="Times New Roman"/>
      <family val="1"/>
    </font>
    <font>
      <sz val="16"/>
      <name val="Arial"/>
      <family val="2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6"/>
      <name val="Arial"/>
      <family val="2"/>
    </font>
    <font>
      <b/>
      <sz val="12"/>
      <color rgb="FFFF0000"/>
      <name val="Calibri"/>
      <family val="2"/>
      <scheme val="minor"/>
    </font>
    <font>
      <sz val="12"/>
      <name val="Arial"/>
      <family val="2"/>
    </font>
    <font>
      <sz val="12"/>
      <color rgb="FFFF0000"/>
      <name val="Arial"/>
      <family val="2"/>
    </font>
    <font>
      <sz val="12"/>
      <color theme="1"/>
      <name val="Arial"/>
      <family val="2"/>
    </font>
    <font>
      <sz val="14"/>
      <name val="Arial"/>
      <family val="2"/>
    </font>
    <font>
      <b/>
      <sz val="20"/>
      <name val="Arial"/>
      <family val="2"/>
    </font>
    <font>
      <sz val="20"/>
      <name val="Arial"/>
      <family val="2"/>
      <charset val="204"/>
    </font>
    <font>
      <b/>
      <sz val="14"/>
      <name val="Arial"/>
      <family val="2"/>
    </font>
    <font>
      <sz val="14"/>
      <color rgb="FFFF0000"/>
      <name val="Arial"/>
      <family val="2"/>
    </font>
    <font>
      <sz val="14"/>
      <color theme="1"/>
      <name val="Arial"/>
      <family val="2"/>
    </font>
    <font>
      <b/>
      <sz val="11"/>
      <color rgb="FFFF0000"/>
      <name val="Calibri"/>
      <family val="2"/>
      <scheme val="minor"/>
    </font>
    <font>
      <sz val="10"/>
      <color theme="1"/>
      <name val="Arial"/>
      <family val="2"/>
    </font>
    <font>
      <sz val="10"/>
      <color rgb="FFFF0000"/>
      <name val="Arial"/>
      <family val="2"/>
      <charset val="204"/>
    </font>
    <font>
      <sz val="11"/>
      <color theme="1"/>
      <name val="Calibri"/>
      <family val="2"/>
      <charset val="204"/>
      <scheme val="minor"/>
    </font>
    <font>
      <sz val="20"/>
      <color theme="1"/>
      <name val="Arial"/>
      <family val="2"/>
    </font>
    <font>
      <sz val="10"/>
      <name val="Arial"/>
      <family val="2"/>
      <charset val="204"/>
    </font>
    <font>
      <b/>
      <sz val="11"/>
      <color theme="1"/>
      <name val="Calibri"/>
      <family val="2"/>
      <charset val="204"/>
      <scheme val="minor"/>
    </font>
    <font>
      <b/>
      <sz val="10"/>
      <color theme="1"/>
      <name val="Calibri"/>
      <family val="2"/>
      <charset val="204"/>
      <scheme val="minor"/>
    </font>
    <font>
      <b/>
      <sz val="9"/>
      <name val="Calibri"/>
      <family val="2"/>
      <charset val="204"/>
      <scheme val="minor"/>
    </font>
    <font>
      <sz val="10"/>
      <color theme="1"/>
      <name val="Calibri"/>
      <family val="2"/>
      <charset val="204"/>
      <scheme val="minor"/>
    </font>
    <font>
      <sz val="9"/>
      <name val="Calibri"/>
      <family val="2"/>
      <charset val="204"/>
      <scheme val="minor"/>
    </font>
    <font>
      <b/>
      <sz val="14"/>
      <color theme="1"/>
      <name val="Arial"/>
      <family val="2"/>
      <charset val="204"/>
    </font>
    <font>
      <b/>
      <sz val="11"/>
      <color rgb="FFFF0000"/>
      <name val="Calibri"/>
      <family val="2"/>
      <charset val="204"/>
      <scheme val="minor"/>
    </font>
    <font>
      <b/>
      <sz val="11"/>
      <color theme="1"/>
      <name val="Calibri"/>
      <family val="3"/>
      <charset val="134"/>
      <scheme val="minor"/>
    </font>
    <font>
      <sz val="11"/>
      <color rgb="FF000000"/>
      <name val="Arial Narrow"/>
      <family val="2"/>
    </font>
    <font>
      <sz val="11"/>
      <color theme="1"/>
      <name val="Calibri"/>
      <family val="2"/>
      <charset val="134"/>
      <scheme val="minor"/>
    </font>
    <font>
      <sz val="11"/>
      <name val="Calibri"/>
      <family val="2"/>
      <charset val="134"/>
      <scheme val="minor"/>
    </font>
    <font>
      <sz val="11"/>
      <name val="Calibri"/>
      <family val="2"/>
      <scheme val="minor"/>
    </font>
    <font>
      <sz val="11"/>
      <name val="Arial Narrow"/>
      <family val="2"/>
    </font>
  </fonts>
  <fills count="7">
    <fill>
      <patternFill patternType="none"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92D050"/>
        <bgColor indexed="64"/>
      </patternFill>
    </fill>
  </fills>
  <borders count="8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 style="medium">
        <color theme="1"/>
      </left>
      <right style="medium">
        <color theme="1"/>
      </right>
      <top style="thin">
        <color theme="1"/>
      </top>
      <bottom/>
      <diagonal/>
    </border>
    <border>
      <left style="thin">
        <color theme="1"/>
      </left>
      <right style="medium">
        <color theme="1"/>
      </right>
      <top style="thin">
        <color theme="1"/>
      </top>
      <bottom/>
      <diagonal/>
    </border>
    <border>
      <left style="medium">
        <color theme="1"/>
      </left>
      <right/>
      <top style="thin">
        <color theme="1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</borders>
  <cellStyleXfs count="28">
    <xf numFmtId="0" fontId="0" fillId="0" borderId="0"/>
    <xf numFmtId="0" fontId="9" fillId="0" borderId="0"/>
    <xf numFmtId="0" fontId="6" fillId="0" borderId="0"/>
    <xf numFmtId="0" fontId="5" fillId="0" borderId="0"/>
    <xf numFmtId="0" fontId="29" fillId="0" borderId="0"/>
    <xf numFmtId="0" fontId="29" fillId="0" borderId="0"/>
    <xf numFmtId="0" fontId="6" fillId="0" borderId="0"/>
    <xf numFmtId="0" fontId="5" fillId="0" borderId="0"/>
    <xf numFmtId="0" fontId="29" fillId="0" borderId="0"/>
    <xf numFmtId="0" fontId="6" fillId="0" borderId="0"/>
    <xf numFmtId="0" fontId="5" fillId="0" borderId="0"/>
    <xf numFmtId="0" fontId="2" fillId="0" borderId="0"/>
    <xf numFmtId="0" fontId="1" fillId="0" borderId="0"/>
    <xf numFmtId="0" fontId="4" fillId="0" borderId="0"/>
    <xf numFmtId="0" fontId="3" fillId="0" borderId="0"/>
    <xf numFmtId="0" fontId="1" fillId="0" borderId="0"/>
    <xf numFmtId="0" fontId="27" fillId="0" borderId="0"/>
    <xf numFmtId="0" fontId="27" fillId="0" borderId="0"/>
    <xf numFmtId="0" fontId="1" fillId="0" borderId="0"/>
    <xf numFmtId="0" fontId="5" fillId="0" borderId="0"/>
    <xf numFmtId="0" fontId="4" fillId="0" borderId="0"/>
    <xf numFmtId="0" fontId="3" fillId="0" borderId="0"/>
    <xf numFmtId="0" fontId="1" fillId="0" borderId="0"/>
    <xf numFmtId="0" fontId="1" fillId="0" borderId="0"/>
    <xf numFmtId="0" fontId="27" fillId="0" borderId="0"/>
    <xf numFmtId="0" fontId="27" fillId="0" borderId="0"/>
    <xf numFmtId="0" fontId="39" fillId="0" borderId="0"/>
    <xf numFmtId="0" fontId="8" fillId="0" borderId="0"/>
  </cellStyleXfs>
  <cellXfs count="28">
    <xf numFmtId="0" applyNumberFormat="1" fontId="0" applyFont="1" fillId="0" applyFill="1" borderId="0" applyBorder="1" xfId="0" applyProtection="1"/>
    <xf numFmtId="0" applyNumberFormat="1" fontId="0" applyFont="1" fillId="0" applyFill="1" borderId="1" applyBorder="1" xfId="0" applyProtection="1"/>
    <xf numFmtId="0" applyNumberFormat="1" fontId="0" applyFont="1" fillId="0" applyFill="1" borderId="0" applyBorder="1" xfId="0" applyProtection="1"/>
    <xf numFmtId="0" applyNumberFormat="1" fontId="10" applyFont="1" fillId="0" applyFill="1" borderId="1" applyBorder="1" xfId="0" applyProtection="1"/>
    <xf numFmtId="0" applyNumberFormat="1" fontId="0" applyFont="1" fillId="0" applyFill="1" borderId="1" applyBorder="1" xfId="0" applyProtection="1" applyAlignment="1">
      <alignment horizontal="center" vertical="center" wrapText="1"/>
    </xf>
    <xf numFmtId="0" applyNumberFormat="1" fontId="7" applyFont="1" fillId="0" applyFill="1" borderId="0" applyBorder="1" xfId="0" applyProtection="1"/>
    <xf numFmtId="0" applyNumberFormat="1" fontId="0" applyFont="1" fillId="0" applyFill="1" borderId="0" applyBorder="1" xfId="0" applyProtection="1" applyAlignment="1">
      <alignment horizontal="center" vertical="center"/>
    </xf>
    <xf numFmtId="0" applyNumberFormat="1" fontId="0" applyFont="1" fillId="0" applyFill="1" borderId="0" applyBorder="1" xfId="0" applyProtection="1" applyAlignment="1">
      <alignment horizontal="right"/>
    </xf>
    <xf numFmtId="0" applyNumberFormat="1" fontId="18" applyFont="1" fillId="2" applyFill="1" borderId="22" applyBorder="1" xfId="19" applyProtection="1" applyAlignment="1">
      <alignment horizontal="right" vertical="center"/>
    </xf>
    <xf numFmtId="0" applyNumberFormat="1" fontId="22" applyFont="1" fillId="2" applyFill="1" borderId="6" applyBorder="1" xfId="19" applyProtection="1" applyAlignment="1">
      <alignment horizontal="right" vertical="center"/>
    </xf>
    <xf numFmtId="0" applyNumberFormat="1" fontId="22" applyFont="1" fillId="2" applyFill="1" borderId="5" applyBorder="1" xfId="19" applyProtection="1" applyAlignment="1">
      <alignment horizontal="right" vertical="center"/>
    </xf>
    <xf numFmtId="0" applyNumberFormat="1" fontId="18" applyFont="1" fillId="2" applyFill="1" borderId="30" applyBorder="1" xfId="19" applyProtection="1" applyAlignment="1">
      <alignment horizontal="right" vertical="center"/>
    </xf>
    <xf numFmtId="0" applyNumberFormat="1" fontId="18" applyFont="1" fillId="2" applyFill="1" borderId="20" applyBorder="1" xfId="19" applyProtection="1" applyAlignment="1">
      <alignment horizontal="right" vertical="center"/>
    </xf>
    <xf numFmtId="0" applyNumberFormat="1" fontId="18" applyFont="1" fillId="2" applyFill="1" borderId="15" applyBorder="1" xfId="19" applyProtection="1" applyAlignment="1">
      <alignment horizontal="right" vertical="center"/>
    </xf>
    <xf numFmtId="0" applyNumberFormat="1" fontId="18" applyFont="1" fillId="2" applyFill="1" borderId="25" applyBorder="1" xfId="19" applyProtection="1" applyAlignment="1">
      <alignment horizontal="right"/>
    </xf>
    <xf numFmtId="0" applyNumberFormat="1" fontId="0" applyFont="1" fillId="0" applyFill="1" borderId="31" applyBorder="1" xfId="0" applyProtection="1"/>
    <xf numFmtId="0" applyNumberFormat="1" fontId="15" applyFont="1" fillId="0" applyFill="1" borderId="32" applyBorder="1" xfId="0" applyProtection="1"/>
    <xf numFmtId="0" applyNumberFormat="1" fontId="25" applyFont="1" fillId="0" applyFill="1" borderId="0" applyBorder="1" xfId="0" applyProtection="1"/>
    <xf numFmtId="0" applyNumberFormat="1" fontId="22" applyFont="1" fillId="2" applyFill="1" borderId="36" applyBorder="1" xfId="19" applyProtection="1" applyAlignment="1">
      <alignment horizontal="right" vertical="center" wrapText="1"/>
    </xf>
    <xf numFmtId="0" applyNumberFormat="1" fontId="7" applyFont="1" fillId="0" applyFill="1" borderId="0" applyBorder="1" xfId="0" applyProtection="1" applyAlignment="1">
      <alignment horizontal="center" vertical="center"/>
    </xf>
    <xf numFmtId="0" applyNumberFormat="1" fontId="0" applyFont="1" fillId="0" applyFill="1" borderId="0" applyBorder="1" xfId="0" applyProtection="1" applyAlignment="1">
      <alignment vertical="center"/>
    </xf>
    <xf numFmtId="0" applyNumberFormat="1" fontId="0" applyFont="1" fillId="0" applyFill="1" borderId="0" applyBorder="1" xfId="0" applyProtection="1"/>
    <xf numFmtId="0" applyNumberFormat="1" fontId="7" applyFont="1" fillId="0" applyFill="1" borderId="0" applyBorder="1" xfId="0" applyProtection="1"/>
    <xf numFmtId="49" applyNumberFormat="1" fontId="0" applyFont="1" fillId="0" applyFill="1" borderId="1" applyBorder="1" xfId="0" applyProtection="1" applyAlignment="1">
      <alignment horizontal="center" vertical="center" wrapText="1"/>
    </xf>
    <xf numFmtId="0" applyNumberFormat="1" fontId="17" applyFont="1" fillId="0" applyFill="1" borderId="30" applyBorder="1" xfId="19" applyProtection="1" applyAlignment="1">
      <alignment horizontal="center" vertical="center" wrapText="1"/>
    </xf>
    <xf numFmtId="0" applyNumberFormat="1" fontId="17" applyFont="1" fillId="0" applyFill="1" borderId="39" applyBorder="1" xfId="19" applyProtection="1" applyAlignment="1">
      <alignment horizontal="center" vertical="center" wrapText="1"/>
    </xf>
    <xf numFmtId="0" applyNumberFormat="1" fontId="17" applyFont="1" fillId="0" applyFill="1" borderId="18" applyBorder="1" xfId="19" applyProtection="1" applyAlignment="1">
      <alignment horizontal="center" vertical="center" wrapText="1"/>
    </xf>
    <xf numFmtId="0" applyNumberFormat="1" fontId="18" applyFont="1" fillId="2" applyFill="1" borderId="21" applyBorder="1" xfId="19" applyProtection="1" applyAlignment="1">
      <alignment horizontal="right" vertical="center"/>
    </xf>
    <xf numFmtId="0" applyNumberFormat="1" fontId="22" applyFont="1" fillId="2" applyFill="1" borderId="12" applyBorder="1" xfId="19" applyProtection="1" applyAlignment="1">
      <alignment horizontal="right" vertical="center"/>
    </xf>
    <xf numFmtId="0" applyNumberFormat="1" fontId="22" applyFont="1" fillId="2" applyFill="1" borderId="11" applyBorder="1" xfId="19" applyProtection="1" applyAlignment="1">
      <alignment horizontal="right" vertical="center"/>
    </xf>
    <xf numFmtId="0" applyNumberFormat="1" fontId="22" applyFont="1" fillId="2" applyFill="1" borderId="13" applyBorder="1" xfId="19" applyProtection="1" applyAlignment="1">
      <alignment horizontal="right" vertical="center"/>
    </xf>
    <xf numFmtId="0" applyNumberFormat="1" fontId="22" applyFont="1" fillId="2" applyFill="1" borderId="9" applyBorder="1" xfId="19" applyProtection="1" applyAlignment="1">
      <alignment horizontal="right" vertical="center"/>
    </xf>
    <xf numFmtId="0" applyNumberFormat="1" fontId="22" applyFont="1" fillId="2" applyFill="1" borderId="24" applyBorder="1" xfId="19" applyProtection="1" applyAlignment="1">
      <alignment horizontal="right" vertical="center"/>
    </xf>
    <xf numFmtId="0" applyNumberFormat="1" fontId="18" applyFont="1" fillId="0" applyFill="1" borderId="18" applyBorder="1" xfId="0" applyProtection="1" applyAlignment="1">
      <alignment horizontal="center" vertical="center"/>
    </xf>
    <xf numFmtId="0" applyNumberFormat="1" fontId="0" applyFont="1" fillId="0" applyFill="1" borderId="0" applyBorder="1" xfId="0" applyProtection="1"/>
    <xf numFmtId="0" applyNumberFormat="1" fontId="7" applyFont="1" fillId="0" applyFill="1" borderId="41" applyBorder="1" xfId="0" applyProtection="1" applyAlignment="1">
      <alignment horizontal="center" vertical="center"/>
    </xf>
    <xf numFmtId="0" applyNumberFormat="1" fontId="0" applyFont="1" fillId="0" applyFill="1" borderId="41" applyBorder="1" xfId="0" applyProtection="1"/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0" applyFont="1" fillId="0" applyFill="1" borderId="41" applyBorder="1" xfId="0" applyProtection="1" applyAlignment="1">
      <alignment horizontal="left" vertical="center"/>
    </xf>
    <xf numFmtId="0" applyNumberFormat="1" fontId="7" applyFont="1" fillId="0" applyFill="1" borderId="41" applyBorder="1" xfId="0" applyProtection="1" applyAlignment="1">
      <alignment horizontal="left" vertical="center"/>
    </xf>
    <xf numFmtId="0" applyNumberFormat="1" fontId="25" applyFont="1" fillId="0" applyFill="1" borderId="41" applyBorder="1" xfId="0" applyProtection="1" applyAlignment="1">
      <alignment horizontal="center" vertical="center"/>
    </xf>
    <xf numFmtId="164" applyNumberFormat="1" fontId="25" applyFont="1" fillId="0" applyFill="1" borderId="41" applyBorder="1" xfId="0" applyProtection="1" applyAlignment="1">
      <alignment horizontal="center" vertical="center"/>
    </xf>
    <xf numFmtId="0" applyNumberFormat="1" fontId="17" applyFont="1" fillId="0" applyFill="1" borderId="38" applyBorder="1" xfId="19" quotePrefix="1" applyProtection="1" applyAlignment="1">
      <alignment horizontal="center" vertical="center" wrapText="1"/>
    </xf>
    <xf numFmtId="0" applyNumberFormat="1" fontId="17" applyFont="1" fillId="0" applyFill="1" borderId="37" applyBorder="1" xfId="19" quotePrefix="1" applyProtection="1" applyAlignment="1">
      <alignment horizontal="center" vertical="center" wrapText="1"/>
    </xf>
    <xf numFmtId="0" applyNumberFormat="1" fontId="17" applyFont="1" fillId="0" applyFill="1" borderId="33" applyBorder="1" xfId="19" quotePrefix="1" applyProtection="1" applyAlignment="1">
      <alignment horizontal="center" vertical="center" wrapText="1"/>
    </xf>
    <xf numFmtId="0" applyNumberFormat="1" fontId="17" applyFont="1" fillId="0" applyFill="1" borderId="10" applyBorder="1" xfId="19" quotePrefix="1" applyProtection="1" applyAlignment="1">
      <alignment horizontal="center" vertical="center" wrapText="1"/>
    </xf>
    <xf numFmtId="1" applyNumberFormat="1" fontId="17" applyFont="1" fillId="0" applyFill="1" borderId="36" applyBorder="1" xfId="19" quotePrefix="1" applyProtection="1" applyAlignment="1">
      <alignment horizontal="center" vertical="center" wrapText="1" shrinkToFit="1"/>
    </xf>
    <xf numFmtId="1" applyNumberFormat="1" fontId="17" applyFont="1" fillId="0" applyFill="1" borderId="36" applyBorder="1" xfId="19" applyProtection="1" applyAlignment="1">
      <alignment horizontal="center" vertical="center" wrapText="1" shrinkToFit="1"/>
    </xf>
    <xf numFmtId="1" applyNumberFormat="1" fontId="17" applyFont="1" fillId="0" applyFill="1" borderId="14" applyBorder="1" xfId="19" applyProtection="1" applyAlignment="1">
      <alignment horizontal="center" vertical="center" wrapText="1" shrinkToFit="1"/>
    </xf>
    <xf numFmtId="1" applyNumberFormat="1" fontId="17" applyFont="1" fillId="0" applyFill="1" borderId="11" applyBorder="1" xfId="19" applyProtection="1" applyAlignment="1">
      <alignment horizontal="center" vertical="center" wrapText="1" shrinkToFit="1"/>
    </xf>
    <xf numFmtId="1" applyNumberFormat="1" fontId="17" applyFont="1" fillId="0" applyFill="1" borderId="8" applyBorder="1" xfId="19" applyProtection="1" applyAlignment="1">
      <alignment horizontal="center" vertical="center" wrapText="1" shrinkToFit="1"/>
    </xf>
    <xf numFmtId="0" applyNumberFormat="1" fontId="17" applyFont="1" fillId="0" applyFill="1" borderId="4" applyBorder="1" xfId="19" applyProtection="1" applyAlignment="1">
      <alignment horizontal="center" vertical="center" wrapText="1"/>
    </xf>
    <xf numFmtId="0" applyNumberFormat="1" fontId="17" applyFont="1" fillId="0" applyFill="1" borderId="40" applyBorder="1" xfId="19" applyProtection="1" applyAlignment="1">
      <alignment horizontal="center" vertical="center" wrapText="1"/>
    </xf>
    <xf numFmtId="49" applyNumberFormat="1" fontId="17" applyFont="1" fillId="0" applyFill="1" borderId="4" applyBorder="1" xfId="19" applyProtection="1" applyAlignment="1">
      <alignment horizontal="center" vertical="center" wrapText="1"/>
    </xf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29" applyFont="1" fillId="0" applyFill="1" borderId="41" applyBorder="1" xfId="0" applyProtection="1" applyAlignment="1">
      <alignment horizontal="left" vertical="center"/>
    </xf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0" applyFont="1" fillId="0" applyFill="1" borderId="42" applyBorder="1" xfId="0" applyProtection="1" applyAlignment="1">
      <alignment horizontal="left" vertical="center"/>
    </xf>
    <xf numFmtId="0" applyNumberFormat="1" fontId="7" applyFont="1" fillId="0" applyFill="1" borderId="70" applyBorder="1" xfId="0" applyProtection="1" applyAlignment="1">
      <alignment horizontal="center" vertical="center"/>
    </xf>
    <xf numFmtId="164" applyNumberFormat="1" fontId="25" applyFont="1" fillId="0" applyFill="1" borderId="71" applyBorder="1" xfId="0" applyProtection="1" applyAlignment="1">
      <alignment horizontal="center" vertical="center"/>
    </xf>
    <xf numFmtId="0" applyNumberFormat="1" fontId="7" applyFont="1" fillId="0" applyFill="1" borderId="53" applyBorder="1" xfId="0" applyProtection="1" applyAlignment="1">
      <alignment horizontal="left" vertical="center"/>
    </xf>
    <xf numFmtId="16" applyNumberFormat="1" fontId="17" applyFont="1" fillId="0" applyFill="1" borderId="39" applyBorder="1" xfId="19" quotePrefix="1" applyProtection="1" applyAlignment="1">
      <alignment horizontal="center" vertical="center" wrapText="1"/>
    </xf>
    <xf numFmtId="16" applyNumberFormat="1" fontId="17" applyFont="1" fillId="0" applyFill="1" borderId="39" applyBorder="1" xfId="19" applyProtection="1" applyAlignment="1">
      <alignment horizontal="center" vertical="center" wrapText="1"/>
    </xf>
    <xf numFmtId="16" applyNumberFormat="1" fontId="23" applyFont="1" fillId="2" applyFill="1" borderId="53" applyBorder="1" xfId="19" quotePrefix="1" applyProtection="1" applyAlignment="1">
      <alignment horizontal="center" vertical="center"/>
    </xf>
    <xf numFmtId="0" applyNumberFormat="1" fontId="23" applyFont="1" fillId="2" applyFill="1" borderId="53" applyBorder="1" xfId="19" quotePrefix="1" applyProtection="1" applyAlignment="1">
      <alignment horizontal="center" vertical="center"/>
    </xf>
    <xf numFmtId="49" applyNumberFormat="1" fontId="23" applyFont="1" fillId="2" applyFill="1" borderId="53" applyBorder="1" xfId="19" quotePrefix="1" applyProtection="1" applyAlignment="1">
      <alignment horizontal="center" vertical="center"/>
    </xf>
    <xf numFmtId="16" applyNumberFormat="1" fontId="17" applyFont="1" fillId="0" applyFill="1" borderId="74" applyBorder="1" xfId="19" applyProtection="1" applyAlignment="1">
      <alignment horizontal="center" vertical="center" wrapText="1"/>
    </xf>
    <xf numFmtId="16" applyNumberFormat="1" fontId="17" applyFont="1" fillId="0" applyFill="1" borderId="75" applyBorder="1" xfId="19" applyProtection="1" applyAlignment="1">
      <alignment horizontal="center" vertical="center" wrapText="1"/>
    </xf>
    <xf numFmtId="0" applyNumberFormat="1" fontId="22" applyFont="1" fillId="2" applyFill="1" borderId="76" applyBorder="1" xfId="19" applyProtection="1" applyAlignment="1">
      <alignment horizontal="right" vertical="center"/>
    </xf>
    <xf numFmtId="0" applyNumberFormat="1" fontId="18" applyFont="1" fillId="2" applyFill="1" borderId="77" applyBorder="1" xfId="19" applyProtection="1" applyAlignment="1">
      <alignment horizontal="right" vertical="center"/>
    </xf>
    <xf numFmtId="0" applyNumberFormat="1" fontId="18" applyFont="1" fillId="2" applyFill="1" borderId="53" applyBorder="1" xfId="19" applyProtection="1" applyAlignment="1">
      <alignment horizontal="right" vertical="center"/>
    </xf>
    <xf numFmtId="0" applyNumberFormat="1" fontId="22" applyFont="1" fillId="2" applyFill="1" borderId="53" applyBorder="1" xfId="19" applyProtection="1" applyAlignment="1">
      <alignment horizontal="right" vertical="center"/>
    </xf>
    <xf numFmtId="0" applyNumberFormat="1" fontId="35" applyFont="1" fillId="2" applyFill="1" borderId="25" applyBorder="1" xfId="19" applyProtection="1" applyAlignment="1">
      <alignment horizontal="center" vertical="top" wrapText="1"/>
    </xf>
    <xf numFmtId="0" applyNumberFormat="1" fontId="11" applyFont="1" fillId="0" applyFill="1" borderId="51" applyBorder="1" xfId="19" applyProtection="1" applyAlignment="1">
      <alignment vertical="top" wrapText="1"/>
    </xf>
    <xf numFmtId="0" applyNumberFormat="1" fontId="24" applyFont="1" fillId="0" applyFill="1" borderId="63" applyBorder="1" xfId="19" applyProtection="1" applyAlignment="1">
      <alignment vertical="top" wrapText="1"/>
    </xf>
    <xf numFmtId="0" applyNumberFormat="1" fontId="24" applyFont="1" fillId="0" applyFill="1" borderId="54" applyBorder="1" xfId="19" applyProtection="1" applyAlignment="1">
      <alignment vertical="top" wrapText="1"/>
    </xf>
    <xf numFmtId="49" applyNumberFormat="1" fontId="23" applyFont="1" fillId="2" applyFill="1" borderId="66" applyBorder="1" xfId="19" quotePrefix="1" applyProtection="1" applyAlignment="1">
      <alignment horizontal="center" vertical="center"/>
    </xf>
    <xf numFmtId="49" applyNumberFormat="1" fontId="23" applyFont="1" fillId="2" applyFill="1" borderId="54" applyBorder="1" xfId="19" quotePrefix="1" applyProtection="1" applyAlignment="1">
      <alignment horizontal="center" vertical="center"/>
    </xf>
    <xf numFmtId="0" applyNumberFormat="1" fontId="17" applyFont="1" fillId="0" applyFill="1" borderId="36" applyBorder="1" xfId="19" applyProtection="1" applyAlignment="1">
      <alignment horizontal="center" vertical="center" wrapText="1"/>
    </xf>
    <xf numFmtId="49" applyNumberFormat="1" fontId="17" applyFont="1" fillId="0" applyFill="1" borderId="36" applyBorder="1" xfId="19" applyProtection="1" applyAlignment="1">
      <alignment horizontal="center" vertical="center" wrapText="1"/>
    </xf>
    <xf numFmtId="0" applyNumberFormat="1" fontId="12" applyFont="1" fillId="0" applyFill="1" borderId="66" applyBorder="1" xfId="19" applyProtection="1" applyAlignment="1">
      <alignment vertical="top" wrapText="1"/>
    </xf>
    <xf numFmtId="0" applyNumberFormat="1" fontId="24" applyFont="1" fillId="0" applyFill="1" borderId="57" applyBorder="1" xfId="19" applyProtection="1" applyAlignment="1">
      <alignment vertical="top" wrapText="1"/>
    </xf>
    <xf numFmtId="0" applyNumberFormat="1" fontId="18" applyFont="1" fillId="2" applyFill="1" borderId="17" applyBorder="1" xfId="19" applyProtection="1" applyAlignment="1">
      <alignment horizontal="right" vertical="center"/>
    </xf>
    <xf numFmtId="0" applyNumberFormat="1" fontId="22" applyFont="1" fillId="2" applyFill="1" borderId="7" applyBorder="1" xfId="19" applyProtection="1" applyAlignment="1">
      <alignment horizontal="right" vertical="center"/>
    </xf>
    <xf numFmtId="0" applyNumberFormat="1" fontId="18" applyFont="1" fillId="2" applyFill="1" borderId="81" applyBorder="1" xfId="19" applyProtection="1" applyAlignment="1">
      <alignment horizontal="right" vertical="center"/>
    </xf>
    <xf numFmtId="0" applyNumberFormat="1" fontId="22" applyFont="1" fillId="2" applyFill="1" borderId="81" applyBorder="1" xfId="19" applyProtection="1" applyAlignment="1">
      <alignment horizontal="right" vertical="center"/>
    </xf>
    <xf numFmtId="0" applyNumberFormat="1" fontId="18" applyFont="1" fillId="2" applyFill="1" borderId="75" applyBorder="1" xfId="19" applyProtection="1" applyAlignment="1">
      <alignment horizontal="right" vertical="center"/>
    </xf>
    <xf numFmtId="0" applyNumberFormat="1" fontId="22" applyFont="1" fillId="2" applyFill="1" borderId="8" applyBorder="1" xfId="19" applyProtection="1" applyAlignment="1">
      <alignment horizontal="right" vertical="center" wrapText="1"/>
    </xf>
    <xf numFmtId="0" applyNumberFormat="1" fontId="18" applyFont="1" fillId="2" applyFill="1" borderId="23" applyBorder="1" xfId="19" applyProtection="1" applyAlignment="1">
      <alignment horizontal="right" vertical="center"/>
    </xf>
    <xf numFmtId="0" applyNumberFormat="1" fontId="22" applyFont="1" fillId="2" applyFill="1" borderId="0" applyBorder="1" xfId="19" applyProtection="1" applyAlignment="1">
      <alignment horizontal="right" vertical="center"/>
    </xf>
    <xf numFmtId="0" applyNumberFormat="1" fontId="11" applyFont="1" fillId="0" applyFill="1" borderId="30" applyBorder="1" xfId="19" applyProtection="1" applyAlignment="1">
      <alignment vertical="top" wrapText="1"/>
    </xf>
    <xf numFmtId="0" applyNumberFormat="1" fontId="24" applyFont="1" fillId="0" applyFill="1" borderId="40" applyBorder="1" xfId="19" applyProtection="1" applyAlignment="1">
      <alignment vertical="top" wrapText="1"/>
    </xf>
    <xf numFmtId="0" applyNumberFormat="1" fontId="24" applyFont="1" fillId="0" applyFill="1" borderId="36" applyBorder="1" xfId="19" applyProtection="1" applyAlignment="1">
      <alignment vertical="top" wrapText="1"/>
    </xf>
    <xf numFmtId="0" applyNumberFormat="1" fontId="12" applyFont="1" fillId="0" applyFill="1" borderId="39" applyBorder="1" xfId="19" applyProtection="1" applyAlignment="1">
      <alignment vertical="top" wrapText="1"/>
    </xf>
    <xf numFmtId="0" applyNumberFormat="1" fontId="11" applyFont="1" fillId="0" applyFill="1" borderId="23" applyBorder="1" xfId="19" applyProtection="1" applyAlignment="1">
      <alignment vertical="top" wrapText="1"/>
    </xf>
    <xf numFmtId="0" applyNumberFormat="1" fontId="24" applyFont="1" fillId="0" applyFill="1" borderId="78" applyBorder="1" xfId="19" applyProtection="1" applyAlignment="1">
      <alignment vertical="top" wrapText="1"/>
    </xf>
    <xf numFmtId="0" applyNumberFormat="1" fontId="24" applyFont="1" fillId="0" applyFill="1" borderId="8" applyBorder="1" xfId="19" applyProtection="1" applyAlignment="1">
      <alignment vertical="top" wrapText="1"/>
    </xf>
    <xf numFmtId="0" applyNumberFormat="1" fontId="12" applyFont="1" fillId="0" applyFill="1" borderId="74" applyBorder="1" xfId="19" applyProtection="1" applyAlignment="1">
      <alignment vertical="top" wrapText="1"/>
    </xf>
    <xf numFmtId="0" applyNumberFormat="1" fontId="24" applyFont="1" fillId="0" applyFill="1" borderId="38" applyBorder="1" xfId="19" applyProtection="1" applyAlignment="1">
      <alignment vertical="top" wrapText="1"/>
    </xf>
    <xf numFmtId="0" applyNumberFormat="1" fontId="23" applyFont="1" fillId="3" applyFill="1" borderId="53" applyBorder="1" xfId="19" quotePrefix="1" applyProtection="1" applyAlignment="1">
      <alignment horizontal="center" vertical="center"/>
    </xf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0" applyFont="1" fillId="0" applyFill="1" borderId="42" applyBorder="1" xfId="0" applyProtection="1" applyAlignment="1">
      <alignment horizontal="center" vertical="center"/>
    </xf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26" applyFont="1" fillId="0" applyFill="1" borderId="41" applyBorder="1" xfId="0" applyProtection="1" applyAlignment="1">
      <alignment horizontal="center" vertical="center"/>
    </xf>
    <xf numFmtId="0" applyNumberFormat="1" fontId="7" applyFont="1" fillId="0" applyFill="1" borderId="53" applyBorder="1" xfId="0" applyProtection="1" applyAlignment="1">
      <alignment horizontal="center" vertical="center"/>
    </xf>
    <xf numFmtId="16" applyNumberFormat="1" fontId="23" applyFont="1" fillId="3" applyFill="1" borderId="53" applyBorder="1" xfId="19" quotePrefix="1" applyProtection="1" applyAlignment="1">
      <alignment horizontal="center" vertical="center"/>
    </xf>
    <xf numFmtId="0" applyNumberFormat="1" fontId="0" applyFont="1" fillId="0" applyFill="1" borderId="13" applyBorder="1" xfId="0" applyProtection="1"/>
    <xf numFmtId="0" applyNumberFormat="1" fontId="1" applyFont="1" fillId="0" applyFill="1" borderId="85" applyBorder="1" xfId="12" applyProtection="1" applyAlignment="1">
      <alignment horizontal="center" vertical="center"/>
    </xf>
    <xf numFmtId="0" applyNumberFormat="1" fontId="1" applyFont="1" fillId="0" applyFill="1" borderId="81" applyBorder="1" xfId="12" quotePrefix="1" applyProtection="1" applyAlignment="1">
      <alignment horizontal="center" vertical="center"/>
    </xf>
    <xf numFmtId="0" applyNumberFormat="1" fontId="41" applyFont="1" fillId="0" applyFill="1" borderId="81" applyBorder="1" xfId="12" applyProtection="1" applyAlignment="1">
      <alignment horizontal="center" vertical="center"/>
    </xf>
    <xf numFmtId="0" applyNumberFormat="1" fontId="40" applyFont="1" fillId="0" applyFill="1" borderId="81" applyBorder="1" xfId="26" applyProtection="1" applyAlignment="1">
      <alignment horizontal="center" vertical="center"/>
    </xf>
    <xf numFmtId="0" applyNumberFormat="1" fontId="39" applyFont="1" fillId="0" applyFill="1" borderId="81" applyBorder="1" xfId="26" applyProtection="1" applyAlignment="1">
      <alignment horizontal="center" vertical="center"/>
    </xf>
    <xf numFmtId="0" applyNumberFormat="1" fontId="1" applyFont="1" fillId="0" applyFill="1" borderId="81" applyBorder="1" xfId="12" applyProtection="1" applyAlignment="1">
      <alignment horizontal="center" vertical="center"/>
    </xf>
    <xf numFmtId="0" applyNumberFormat="1" fontId="37" applyFont="1" fillId="5" applyFill="1" borderId="83" applyBorder="1" xfId="12" applyProtection="1" applyAlignment="1">
      <alignment horizontal="center" vertical="center"/>
    </xf>
    <xf numFmtId="0" applyNumberFormat="1" fontId="0" applyFont="1" fillId="0" applyFill="1" borderId="0" applyBorder="1" xfId="0" applyProtection="1"/>
    <xf numFmtId="0" applyNumberFormat="1" fontId="1" applyFont="1" fillId="0" applyFill="1" borderId="0" applyBorder="1" xfId="12" applyProtection="1"/>
    <xf numFmtId="0" applyNumberFormat="1" fontId="1" applyFont="1" fillId="0" applyFill="1" borderId="0" applyBorder="1" xfId="12" applyProtection="1">
      <alignment wrapText="1"/>
    </xf>
    <xf numFmtId="0" applyNumberFormat="1" fontId="37" applyFont="1" fillId="5" applyFill="1" borderId="65" applyBorder="1" xfId="12" applyProtection="1" applyAlignment="1">
      <alignment horizontal="center" vertical="center"/>
    </xf>
    <xf numFmtId="0" applyNumberFormat="1" fontId="37" applyFont="1" fillId="6" applyFill="1" borderId="65" applyBorder="1" xfId="12" applyProtection="1" applyAlignment="1">
      <alignment horizontal="center" vertical="center"/>
    </xf>
    <xf numFmtId="0" applyNumberFormat="1" fontId="1" applyFont="1" fillId="0" applyFill="1" borderId="53" applyBorder="1" xfId="12" applyProtection="1" applyAlignment="1">
      <alignment horizontal="center" vertical="center"/>
    </xf>
    <xf numFmtId="0" applyNumberFormat="1" fontId="38" applyFont="1" fillId="0" applyFill="1" borderId="82" applyBorder="1" xfId="12" applyProtection="1" applyAlignment="1">
      <alignment horizontal="center" vertical="center" readingOrder="1"/>
    </xf>
    <xf numFmtId="0" applyNumberFormat="1" fontId="39" applyFont="1" fillId="0" applyFill="1" borderId="53" applyBorder="1" xfId="26" applyProtection="1" applyAlignment="1">
      <alignment horizontal="center" vertical="center"/>
    </xf>
    <xf numFmtId="0" applyNumberFormat="1" fontId="40" applyFont="1" fillId="0" applyFill="1" borderId="53" applyBorder="1" xfId="26" applyProtection="1" applyAlignment="1">
      <alignment horizontal="center" vertical="center"/>
    </xf>
    <xf numFmtId="0" applyNumberFormat="1" fontId="41" applyFont="1" fillId="0" applyFill="1" borderId="53" applyBorder="1" xfId="12" applyProtection="1" applyAlignment="1">
      <alignment horizontal="center" vertical="center"/>
    </xf>
    <xf numFmtId="0" applyNumberFormat="1" fontId="42" applyFont="1" fillId="0" applyFill="1" borderId="82" applyBorder="1" xfId="12" applyProtection="1" applyAlignment="1">
      <alignment horizontal="center" vertical="center" readingOrder="1"/>
    </xf>
    <xf numFmtId="0" applyNumberFormat="1" fontId="1" applyFont="1" fillId="0" applyFill="1" borderId="53" applyBorder="1" xfId="12" quotePrefix="1" applyProtection="1" applyAlignment="1">
      <alignment horizontal="center" vertical="center"/>
    </xf>
    <xf numFmtId="0" applyNumberFormat="1" fontId="1" applyFont="1" fillId="0" applyFill="1" borderId="62" applyBorder="1" xfId="12" applyProtection="1" applyAlignment="1">
      <alignment horizontal="center" vertical="center"/>
    </xf>
    <xf numFmtId="0" applyNumberFormat="1" fontId="41" applyFont="1" fillId="0" applyFill="1" borderId="62" applyBorder="1" xfId="12" applyProtection="1" applyAlignment="1">
      <alignment horizontal="center" vertical="center"/>
    </xf>
    <xf numFmtId="0" applyNumberFormat="1" fontId="42" applyFont="1" fillId="0" applyFill="1" borderId="87" applyBorder="1" xfId="12" applyProtection="1" applyAlignment="1">
      <alignment horizontal="center" vertical="center" readingOrder="1"/>
    </xf>
    <xf numFmtId="0" applyNumberFormat="1" fontId="42" applyFont="1" fillId="0" applyFill="1" borderId="53" applyBorder="1" xfId="12" applyProtection="1" applyAlignment="1">
      <alignment horizontal="center" vertical="center" readingOrder="1"/>
    </xf>
    <xf numFmtId="0" applyNumberFormat="1" fontId="37" applyFont="1" fillId="6" applyFill="1" borderId="84" applyBorder="1" xfId="12" applyProtection="1" applyAlignment="1">
      <alignment horizontal="center" vertical="center"/>
    </xf>
    <xf numFmtId="0" applyNumberFormat="1" fontId="1" applyFont="1" fillId="0" applyFill="1" borderId="32" applyBorder="1" xfId="12" applyProtection="1" applyAlignment="1">
      <alignment horizontal="center" vertical="center"/>
    </xf>
    <xf numFmtId="0" applyNumberFormat="1" fontId="1" applyFont="1" fillId="0" applyFill="1" borderId="86" applyBorder="1" xfId="12" applyProtection="1" applyAlignment="1">
      <alignment horizontal="center" vertical="center"/>
    </xf>
    <xf numFmtId="0" applyNumberFormat="1" fontId="27" applyFont="1" fillId="0" applyFill="1" borderId="81" applyBorder="1" xfId="25" applyProtection="1" applyAlignment="1">
      <alignment horizontal="center" vertical="center"/>
    </xf>
    <xf numFmtId="0" applyNumberFormat="1" fontId="27" applyFont="1" fillId="0" applyFill="1" borderId="32" applyBorder="1" xfId="25" applyProtection="1" applyAlignment="1">
      <alignment horizontal="center" vertical="center"/>
    </xf>
    <xf numFmtId="0" applyNumberFormat="1" fontId="27" applyFont="1" fillId="4" applyFill="1" borderId="83" applyBorder="1" xfId="25" applyProtection="1" applyAlignment="1">
      <alignment horizontal="center" vertical="center"/>
    </xf>
    <xf numFmtId="0" applyNumberFormat="1" fontId="27" applyFont="1" fillId="4" applyFill="1" borderId="84" applyBorder="1" xfId="25" applyProtection="1" applyAlignment="1">
      <alignment horizontal="center" vertical="center"/>
    </xf>
    <xf numFmtId="0" applyNumberFormat="1" fontId="27" applyFont="1" fillId="0" applyFill="1" borderId="85" applyBorder="1" xfId="25" applyProtection="1" applyAlignment="1">
      <alignment horizontal="center" vertical="center"/>
    </xf>
    <xf numFmtId="0" applyNumberFormat="1" fontId="27" applyFont="1" fillId="0" applyFill="1" borderId="86" applyBorder="1" xfId="25" applyProtection="1" applyAlignment="1">
      <alignment horizontal="center" vertical="center"/>
    </xf>
    <xf numFmtId="0" applyNumberFormat="1" fontId="27" applyFont="1" fillId="0" applyFill="1" borderId="81" applyBorder="1" xfId="25" applyProtection="1" applyAlignment="1">
      <alignment horizontal="center" vertical="center"/>
    </xf>
    <xf numFmtId="0" applyNumberFormat="1" fontId="27" applyFont="1" fillId="0" applyFill="1" borderId="32" applyBorder="1" xfId="25" applyProtection="1" applyAlignment="1">
      <alignment horizontal="center" vertical="center"/>
    </xf>
    <xf numFmtId="0" applyNumberFormat="1" fontId="27" applyFont="1" fillId="0" applyFill="1" borderId="0" applyBorder="1" xfId="16" applyProtection="1"/>
    <xf numFmtId="0" applyNumberFormat="1" fontId="36" applyFont="1" fillId="0" applyFill="1" borderId="0" applyBorder="1" xfId="17" applyProtection="1"/>
    <xf numFmtId="0" applyNumberFormat="1" fontId="27" applyFont="1" fillId="0" applyFill="1" borderId="0" applyBorder="1" xfId="16" applyProtection="1"/>
    <xf numFmtId="0" applyNumberFormat="1" fontId="30" applyFont="1" fillId="0" applyFill="1" borderId="46" applyBorder="1" xfId="16" applyProtection="1"/>
    <xf numFmtId="49" applyNumberFormat="1" fontId="31" applyFont="1" fillId="0" applyFill="1" borderId="47" applyBorder="1" xfId="16" applyProtection="1" applyAlignment="1">
      <alignment vertical="center"/>
    </xf>
    <xf numFmtId="0" applyNumberFormat="1" fontId="32" applyFont="1" fillId="0" applyFill="1" borderId="47" applyBorder="1" xfId="16" applyProtection="1" applyAlignment="1">
      <alignment horizontal="left" vertical="center"/>
    </xf>
    <xf numFmtId="0" applyNumberFormat="1" fontId="31" applyFont="1" fillId="0" applyFill="1" borderId="48" applyBorder="1" xfId="16" applyProtection="1" applyAlignment="1">
      <alignment horizontal="center"/>
    </xf>
    <xf numFmtId="0" applyNumberFormat="1" fontId="27" applyFont="1" fillId="0" applyFill="1" borderId="49" applyBorder="1" xfId="16" applyProtection="1"/>
    <xf numFmtId="49" applyNumberFormat="1" fontId="33" applyFont="1" fillId="0" applyFill="1" borderId="50" applyBorder="1" xfId="16" applyProtection="1" applyAlignment="1">
      <alignment vertical="center"/>
    </xf>
    <xf numFmtId="0" applyNumberFormat="1" fontId="34" applyFont="1" fillId="0" applyFill="1" borderId="50" applyBorder="1" xfId="16" applyProtection="1" applyAlignment="1">
      <alignment horizontal="left" vertical="center"/>
    </xf>
    <xf numFmtId="0" applyNumberFormat="1" fontId="33" applyFont="1" fillId="0" applyFill="1" borderId="51" applyBorder="1" xfId="16" applyProtection="1" applyAlignment="1">
      <alignment horizontal="center"/>
    </xf>
    <xf numFmtId="0" applyNumberFormat="1" fontId="27" applyFont="1" fillId="0" applyFill="1" borderId="52" applyBorder="1" xfId="16" applyProtection="1"/>
    <xf numFmtId="49" applyNumberFormat="1" fontId="33" applyFont="1" fillId="0" applyFill="1" borderId="53" applyBorder="1" xfId="16" applyProtection="1" applyAlignment="1">
      <alignment vertical="center"/>
    </xf>
    <xf numFmtId="0" applyNumberFormat="1" fontId="34" applyFont="1" fillId="0" applyFill="1" borderId="53" applyBorder="1" xfId="16" applyProtection="1" applyAlignment="1">
      <alignment horizontal="left" vertical="center"/>
    </xf>
    <xf numFmtId="0" applyNumberFormat="1" fontId="33" applyFont="1" fillId="0" applyFill="1" borderId="54" applyBorder="1" xfId="16" applyProtection="1" applyAlignment="1">
      <alignment horizontal="center"/>
    </xf>
    <xf numFmtId="0" applyNumberFormat="1" fontId="27" applyFont="1" fillId="0" applyFill="1" borderId="55" applyBorder="1" xfId="16" applyProtection="1"/>
    <xf numFmtId="49" applyNumberFormat="1" fontId="33" applyFont="1" fillId="0" applyFill="1" borderId="56" applyBorder="1" xfId="16" applyProtection="1" applyAlignment="1">
      <alignment vertical="center"/>
    </xf>
    <xf numFmtId="0" applyNumberFormat="1" fontId="34" applyFont="1" fillId="0" applyFill="1" borderId="56" applyBorder="1" xfId="16" applyProtection="1" applyAlignment="1">
      <alignment horizontal="left" vertical="center"/>
    </xf>
    <xf numFmtId="0" applyNumberFormat="1" fontId="33" applyFont="1" fillId="0" applyFill="1" borderId="57" applyBorder="1" xfId="16" applyProtection="1" applyAlignment="1">
      <alignment horizontal="center"/>
    </xf>
    <xf numFmtId="0" applyNumberFormat="1" fontId="27" applyFont="1" fillId="0" applyFill="1" borderId="53" applyBorder="1" xfId="16" applyProtection="1"/>
    <xf numFmtId="0" applyNumberFormat="1" fontId="27" applyFont="1" fillId="0" applyFill="1" borderId="62" applyBorder="1" xfId="16" applyProtection="1"/>
    <xf numFmtId="49" applyNumberFormat="1" fontId="33" applyFont="1" fillId="0" applyFill="1" borderId="62" applyBorder="1" xfId="16" applyProtection="1" applyAlignment="1">
      <alignment vertical="center"/>
    </xf>
    <xf numFmtId="0" applyNumberFormat="1" fontId="34" applyFont="1" fillId="0" applyFill="1" borderId="62" applyBorder="1" xfId="16" applyProtection="1" applyAlignment="1">
      <alignment horizontal="left" vertical="center"/>
    </xf>
    <xf numFmtId="0" applyNumberFormat="1" fontId="33" applyFont="1" fillId="0" applyFill="1" borderId="63" applyBorder="1" xfId="16" applyProtection="1" applyAlignment="1">
      <alignment horizontal="center"/>
    </xf>
    <xf numFmtId="0" applyNumberFormat="1" fontId="27" applyFont="1" fillId="0" applyFill="1" borderId="46" applyBorder="1" xfId="16" applyProtection="1"/>
    <xf numFmtId="49" applyNumberFormat="1" fontId="33" applyFont="1" fillId="0" applyFill="1" borderId="47" applyBorder="1" xfId="16" applyProtection="1" applyAlignment="1">
      <alignment vertical="center"/>
    </xf>
    <xf numFmtId="0" applyNumberFormat="1" fontId="34" applyFont="1" fillId="0" applyFill="1" borderId="47" applyBorder="1" xfId="16" applyProtection="1" applyAlignment="1">
      <alignment horizontal="left" vertical="center"/>
    </xf>
    <xf numFmtId="0" applyNumberFormat="1" fontId="33" applyFont="1" fillId="0" applyFill="1" borderId="48" applyBorder="1" xfId="16" applyProtection="1" applyAlignment="1">
      <alignment horizontal="center"/>
    </xf>
    <xf numFmtId="0" applyNumberFormat="1" fontId="27" applyFont="1" fillId="0" applyFill="1" borderId="64" applyBorder="1" xfId="16" applyProtection="1"/>
    <xf numFmtId="49" applyNumberFormat="1" fontId="33" applyFont="1" fillId="0" applyFill="1" borderId="65" applyBorder="1" xfId="16" applyProtection="1" applyAlignment="1">
      <alignment vertical="center"/>
    </xf>
    <xf numFmtId="0" applyNumberFormat="1" fontId="34" applyFont="1" fillId="0" applyFill="1" borderId="65" applyBorder="1" xfId="16" applyProtection="1" applyAlignment="1">
      <alignment horizontal="left" vertical="center"/>
    </xf>
    <xf numFmtId="0" applyNumberFormat="1" fontId="33" applyFont="1" fillId="0" applyFill="1" borderId="66" applyBorder="1" xfId="16" applyProtection="1" applyAlignment="1">
      <alignment horizontal="center"/>
    </xf>
    <xf numFmtId="0" applyNumberFormat="1" fontId="34" applyFont="1" fillId="0" applyFill="1" borderId="0" applyBorder="1" xfId="16" applyProtection="1" applyAlignment="1">
      <alignment horizontal="left" vertical="center"/>
    </xf>
    <xf numFmtId="0" applyNumberFormat="1" fontId="27" applyFont="1" fillId="0" applyFill="1" borderId="58" applyBorder="1" xfId="16" applyProtection="1"/>
    <xf numFmtId="49" applyNumberFormat="1" fontId="33" applyFont="1" fillId="0" applyFill="1" borderId="59" applyBorder="1" xfId="16" applyProtection="1" applyAlignment="1">
      <alignment vertical="center"/>
    </xf>
    <xf numFmtId="0" applyNumberFormat="1" fontId="34" applyFont="1" fillId="0" applyFill="1" borderId="59" applyBorder="1" xfId="16" applyProtection="1" applyAlignment="1">
      <alignment horizontal="left" vertical="center"/>
    </xf>
    <xf numFmtId="0" applyNumberFormat="1" fontId="33" applyFont="1" fillId="0" applyFill="1" borderId="60" applyBorder="1" xfId="16" applyProtection="1" applyAlignment="1">
      <alignment horizontal="center"/>
    </xf>
    <xf numFmtId="0" applyNumberFormat="1" fontId="27" applyFont="1" fillId="0" applyFill="1" borderId="61" applyBorder="1" xfId="16" applyProtection="1"/>
    <xf numFmtId="0" applyNumberFormat="1" fontId="27" applyFont="1" fillId="0" applyFill="1" borderId="67" applyBorder="1" xfId="16" applyProtection="1"/>
    <xf numFmtId="49" applyNumberFormat="1" fontId="33" applyFont="1" fillId="0" applyFill="1" borderId="68" applyBorder="1" xfId="16" applyProtection="1" applyAlignment="1">
      <alignment vertical="center"/>
    </xf>
    <xf numFmtId="0" applyNumberFormat="1" fontId="34" applyFont="1" fillId="0" applyFill="1" borderId="68" applyBorder="1" xfId="16" applyProtection="1" applyAlignment="1">
      <alignment horizontal="left" vertical="center"/>
    </xf>
    <xf numFmtId="0" applyNumberFormat="1" fontId="33" applyFont="1" fillId="0" applyFill="1" borderId="69" applyBorder="1" xfId="16" applyProtection="1" applyAlignment="1">
      <alignment horizontal="center"/>
    </xf>
    <xf numFmtId="0" applyNumberFormat="1" fontId="27" applyFont="1" fillId="0" applyFill="1" borderId="72" applyBorder="1" xfId="16" applyProtection="1"/>
    <xf numFmtId="0" applyNumberFormat="1" fontId="34" applyFont="1" fillId="0" applyFill="1" borderId="73" applyBorder="1" xfId="16" applyProtection="1" applyAlignment="1">
      <alignment horizontal="left" vertical="center"/>
    </xf>
    <xf numFmtId="0" applyNumberFormat="1" fontId="27" applyFont="1" fillId="0" applyFill="1" borderId="55" applyBorder="1" xfId="16" applyProtection="1" applyAlignment="1">
      <alignment vertical="center"/>
    </xf>
    <xf numFmtId="0" applyNumberFormat="1" fontId="33" applyFont="1" fillId="0" applyFill="1" borderId="57" applyBorder="1" xfId="16" applyProtection="1" applyAlignment="1">
      <alignment horizontal="center" wrapText="1"/>
    </xf>
    <xf numFmtId="0" applyNumberFormat="1" fontId="36" applyFont="1" fillId="0" applyFill="1" borderId="0" applyBorder="1" xfId="17" applyProtection="1"/>
    <xf numFmtId="0" applyNumberFormat="1" fontId="33" applyFont="1" fillId="0" applyFill="1" borderId="53" applyBorder="1" xfId="16" applyProtection="1" applyAlignment="1">
      <alignment vertical="center"/>
    </xf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0" applyFont="1" fillId="0" applyFill="1" borderId="42" applyBorder="1" xfId="0" applyProtection="1" applyAlignment="1">
      <alignment horizontal="center" vertical="center"/>
    </xf>
    <xf numFmtId="0" applyNumberFormat="1" fontId="0" applyFont="1" fillId="0" applyFill="1" borderId="44" applyBorder="1" xfId="0" applyProtection="1" applyAlignment="1">
      <alignment horizontal="center" vertical="center"/>
    </xf>
    <xf numFmtId="0" applyNumberFormat="1" fontId="0" applyFont="1" fillId="0" applyFill="1" borderId="43" applyBorder="1" xfId="0" applyProtection="1" applyAlignment="1">
      <alignment horizontal="center" vertical="center"/>
    </xf>
    <xf numFmtId="0" applyNumberFormat="1" fontId="0" applyFont="1" fillId="0" applyFill="1" borderId="45" applyBorder="1" xfId="0" applyProtection="1" applyAlignment="1">
      <alignment horizontal="center" vertical="center"/>
    </xf>
    <xf numFmtId="0" applyNumberFormat="1" fontId="20" applyFont="1" fillId="0" applyFill="1" borderId="80" applyBorder="1" xfId="0" applyProtection="1" applyAlignment="1">
      <alignment horizontal="center" vertical="center" wrapText="1"/>
    </xf>
    <xf numFmtId="0" applyNumberFormat="1" fontId="20" applyFont="1" fillId="0" applyFill="1" borderId="26" applyBorder="1" xfId="0" applyProtection="1" applyAlignment="1">
      <alignment horizontal="center" vertical="center" wrapText="1"/>
    </xf>
    <xf numFmtId="0" applyNumberFormat="1" fontId="20" applyFont="1" fillId="0" applyFill="1" borderId="17" applyBorder="1" xfId="0" applyProtection="1" applyAlignment="1">
      <alignment horizontal="center" vertical="center" wrapText="1"/>
    </xf>
    <xf numFmtId="0" applyNumberFormat="1" fontId="19" applyFont="1" fillId="0" applyFill="1" borderId="16" applyBorder="1" xfId="0" applyProtection="1" applyAlignment="1">
      <alignment horizontal="center" vertical="center" wrapText="1"/>
    </xf>
    <xf numFmtId="0" applyNumberFormat="1" fontId="19" applyFont="1" fillId="0" applyFill="1" borderId="26" applyBorder="1" xfId="0" applyProtection="1" applyAlignment="1">
      <alignment horizontal="center" vertical="center" wrapText="1"/>
    </xf>
    <xf numFmtId="2" applyNumberFormat="1" fontId="23" applyFont="1" fillId="0" applyFill="1" borderId="12" applyBorder="1" xfId="19" applyProtection="1" applyAlignment="1">
      <alignment horizontal="center" vertical="center"/>
    </xf>
    <xf numFmtId="2" applyNumberFormat="1" fontId="23" applyFont="1" fillId="0" applyFill="1" borderId="76" applyBorder="1" xfId="19" applyProtection="1" applyAlignment="1">
      <alignment horizontal="center" vertical="center"/>
    </xf>
    <xf numFmtId="2" applyNumberFormat="1" fontId="23" applyFont="1" fillId="0" applyFill="1" borderId="78" applyBorder="1" xfId="19" applyProtection="1" applyAlignment="1">
      <alignment horizontal="center" vertical="center"/>
    </xf>
    <xf numFmtId="1" applyNumberFormat="1" fontId="23" applyFont="1" fillId="0" applyFill="1" borderId="12" applyBorder="1" xfId="19" applyProtection="1" applyAlignment="1">
      <alignment horizontal="center" vertical="center"/>
    </xf>
    <xf numFmtId="1" applyNumberFormat="1" fontId="23" applyFont="1" fillId="0" applyFill="1" borderId="76" applyBorder="1" xfId="19" applyProtection="1" applyAlignment="1">
      <alignment horizontal="center" vertical="center"/>
    </xf>
    <xf numFmtId="1" applyNumberFormat="1" fontId="23" applyFont="1" fillId="0" applyFill="1" borderId="78" applyBorder="1" xfId="19" applyProtection="1" applyAlignment="1">
      <alignment horizontal="center" vertical="center"/>
    </xf>
    <xf numFmtId="1" applyNumberFormat="1" fontId="23" applyFont="1" fillId="0" applyFill="1" borderId="10" applyBorder="1" xfId="19" applyProtection="1" applyAlignment="1">
      <alignment horizontal="center" vertical="center"/>
    </xf>
    <xf numFmtId="1" applyNumberFormat="1" fontId="23" applyFont="1" fillId="0" applyFill="1" borderId="33" applyBorder="1" xfId="19" applyProtection="1" applyAlignment="1">
      <alignment horizontal="center" vertical="center"/>
    </xf>
    <xf numFmtId="1" applyNumberFormat="1" fontId="23" applyFont="1" fillId="0" applyFill="1" borderId="38" applyBorder="1" xfId="19" applyProtection="1" applyAlignment="1">
      <alignment horizontal="center" vertical="center"/>
    </xf>
    <xf numFmtId="1" applyNumberFormat="1" fontId="23" applyFont="1" fillId="0" applyFill="1" borderId="11" applyBorder="1" xfId="19" applyProtection="1" applyAlignment="1">
      <alignment horizontal="center" vertical="center"/>
    </xf>
    <xf numFmtId="1" applyNumberFormat="1" fontId="23" applyFont="1" fillId="0" applyFill="1" borderId="5" applyBorder="1" xfId="19" applyProtection="1" applyAlignment="1">
      <alignment horizontal="center" vertical="center"/>
    </xf>
    <xf numFmtId="1" applyNumberFormat="1" fontId="23" applyFont="1" fillId="0" applyFill="1" borderId="8" applyBorder="1" xfId="19" applyProtection="1" applyAlignment="1">
      <alignment horizontal="center" vertical="center"/>
    </xf>
    <xf numFmtId="0" applyNumberFormat="1" fontId="23" applyFont="1" fillId="0" applyFill="1" borderId="21" applyBorder="1" xfId="19" applyProtection="1" applyAlignment="1">
      <alignment horizontal="center" vertical="center"/>
    </xf>
    <xf numFmtId="0" applyNumberFormat="1" fontId="23" applyFont="1" fillId="0" applyFill="1" borderId="22" applyBorder="1" xfId="19" applyProtection="1" applyAlignment="1">
      <alignment horizontal="center" vertical="center"/>
    </xf>
    <xf numFmtId="0" applyNumberFormat="1" fontId="23" applyFont="1" fillId="0" applyFill="1" borderId="23" applyBorder="1" xfId="19" applyProtection="1" applyAlignment="1">
      <alignment horizontal="center" vertical="center"/>
    </xf>
    <xf numFmtId="49" applyNumberFormat="1" fontId="23" applyFont="1" fillId="0" applyFill="1" borderId="9" applyBorder="1" xfId="19" applyProtection="1" applyAlignment="1">
      <alignment horizontal="center" vertical="center"/>
    </xf>
    <xf numFmtId="49" applyNumberFormat="1" fontId="23" applyFont="1" fillId="0" applyFill="1" borderId="6" applyBorder="1" xfId="19" applyProtection="1" applyAlignment="1">
      <alignment horizontal="center" vertical="center"/>
    </xf>
    <xf numFmtId="49" applyNumberFormat="1" fontId="23" applyFont="1" fillId="0" applyFill="1" borderId="7" applyBorder="1" xfId="19" applyProtection="1" applyAlignment="1">
      <alignment horizontal="center" vertical="center"/>
    </xf>
    <xf numFmtId="0" applyNumberFormat="1" fontId="21" applyFont="1" fillId="2" applyFill="1" borderId="3" applyBorder="1" xfId="19" applyProtection="1" applyAlignment="1">
      <alignment horizontal="center" vertical="center"/>
    </xf>
    <xf numFmtId="0" applyNumberFormat="1" fontId="21" applyFont="1" fillId="2" applyFill="1" borderId="59" applyBorder="1" xfId="19" applyProtection="1" applyAlignment="1">
      <alignment horizontal="center" vertical="center"/>
    </xf>
    <xf numFmtId="0" applyNumberFormat="1" fontId="21" applyFont="1" fillId="2" applyFill="1" borderId="31" applyBorder="1" xfId="19" applyProtection="1" applyAlignment="1">
      <alignment horizontal="center" vertical="center"/>
    </xf>
    <xf numFmtId="0" applyNumberFormat="1" fontId="21" applyFont="1" fillId="2" applyFill="1" borderId="72" applyBorder="1" xfId="19" applyProtection="1" applyAlignment="1">
      <alignment horizontal="center" vertical="center"/>
    </xf>
    <xf numFmtId="0" applyNumberFormat="1" fontId="21" applyFont="1" fillId="2" applyFill="1" borderId="73" applyBorder="1" xfId="19" applyProtection="1" applyAlignment="1">
      <alignment horizontal="center" vertical="center"/>
    </xf>
    <xf numFmtId="0" applyNumberFormat="1" fontId="21" applyFont="1" fillId="2" applyFill="1" borderId="79" applyBorder="1" xfId="19" applyProtection="1" applyAlignment="1">
      <alignment horizontal="center" vertical="center"/>
    </xf>
    <xf numFmtId="0" applyNumberFormat="1" fontId="14" applyFont="1" fillId="0" applyFill="1" borderId="15" applyBorder="1" xfId="19" applyProtection="1" applyAlignment="1">
      <alignment horizontal="center" vertical="center" wrapText="1"/>
    </xf>
    <xf numFmtId="0" applyNumberFormat="1" fontId="14" applyFont="1" fillId="0" applyFill="1" borderId="18" applyBorder="1" xfId="19" applyProtection="1" applyAlignment="1">
      <alignment horizontal="center" vertical="center" wrapText="1"/>
    </xf>
    <xf numFmtId="0" applyNumberFormat="1" fontId="14" applyFont="1" fillId="0" applyFill="1" borderId="24" applyBorder="1" xfId="19" applyProtection="1" applyAlignment="1">
      <alignment horizontal="center" vertical="center" wrapText="1"/>
    </xf>
    <xf numFmtId="0" applyNumberFormat="1" fontId="23" applyFont="1" fillId="0" applyFill="1" borderId="16" applyBorder="1" xfId="19" applyProtection="1" applyAlignment="1">
      <alignment horizontal="center" vertical="center"/>
    </xf>
    <xf numFmtId="0" applyNumberFormat="1" fontId="23" applyFont="1" fillId="0" applyFill="1" borderId="20" applyBorder="1" xfId="19" applyProtection="1" applyAlignment="1">
      <alignment horizontal="center" vertical="center"/>
    </xf>
    <xf numFmtId="0" applyNumberFormat="1" fontId="23" applyFont="1" fillId="0" applyFill="1" borderId="17" applyBorder="1" xfId="19" applyProtection="1" applyAlignment="1">
      <alignment horizontal="center" vertical="center"/>
    </xf>
    <xf numFmtId="49" applyNumberFormat="1" fontId="23" applyFont="1" fillId="0" applyFill="1" borderId="10" applyBorder="1" xfId="19" applyProtection="1" applyAlignment="1">
      <alignment horizontal="center" vertical="center"/>
    </xf>
    <xf numFmtId="49" applyNumberFormat="1" fontId="23" applyFont="1" fillId="0" applyFill="1" borderId="33" applyBorder="1" xfId="19" applyProtection="1" applyAlignment="1">
      <alignment horizontal="center" vertical="center"/>
    </xf>
    <xf numFmtId="49" applyNumberFormat="1" fontId="23" applyFont="1" fillId="0" applyFill="1" borderId="38" applyBorder="1" xfId="19" applyProtection="1" applyAlignment="1">
      <alignment horizontal="center" vertical="center"/>
    </xf>
    <xf numFmtId="0" applyNumberFormat="1" fontId="16" applyFont="1" fillId="0" applyFill="1" borderId="16" applyBorder="1" xfId="0" applyProtection="1" applyAlignment="1">
      <alignment horizontal="center" vertical="center" wrapText="1"/>
    </xf>
    <xf numFmtId="0" applyNumberFormat="1" fontId="16" applyFont="1" fillId="0" applyFill="1" borderId="20" applyBorder="1" xfId="0" applyProtection="1" applyAlignment="1">
      <alignment horizontal="center" vertical="center" wrapText="1"/>
    </xf>
    <xf numFmtId="0" applyNumberFormat="1" fontId="16" applyFont="1" fillId="0" applyFill="1" borderId="17" applyBorder="1" xfId="0" applyProtection="1" applyAlignment="1">
      <alignment horizontal="center" vertical="center" wrapText="1"/>
    </xf>
    <xf numFmtId="0" applyNumberFormat="1" fontId="16" applyFont="1" fillId="0" applyFill="1" borderId="13" applyBorder="1" xfId="0" applyProtection="1" applyAlignment="1">
      <alignment horizontal="center" vertical="center" wrapText="1"/>
    </xf>
    <xf numFmtId="0" applyNumberFormat="1" fontId="16" applyFont="1" fillId="0" applyFill="1" borderId="0" applyBorder="1" xfId="0" applyProtection="1" applyAlignment="1">
      <alignment horizontal="center" vertical="center" wrapText="1"/>
    </xf>
    <xf numFmtId="0" applyNumberFormat="1" fontId="16" applyFont="1" fillId="0" applyFill="1" borderId="19" applyBorder="1" xfId="0" applyProtection="1" applyAlignment="1">
      <alignment horizontal="center" vertical="center" wrapText="1"/>
    </xf>
    <xf numFmtId="0" applyNumberFormat="1" fontId="16" applyFont="1" fillId="0" applyFill="1" borderId="9" applyBorder="1" xfId="0" applyProtection="1" applyAlignment="1">
      <alignment horizontal="center" vertical="center" wrapText="1"/>
    </xf>
    <xf numFmtId="0" applyNumberFormat="1" fontId="16" applyFont="1" fillId="0" applyFill="1" borderId="6" applyBorder="1" xfId="0" applyProtection="1" applyAlignment="1">
      <alignment horizontal="center" vertical="center" wrapText="1"/>
    </xf>
    <xf numFmtId="0" applyNumberFormat="1" fontId="16" applyFont="1" fillId="0" applyFill="1" borderId="7" applyBorder="1" xfId="0" applyProtection="1" applyAlignment="1">
      <alignment horizontal="center" vertical="center" wrapText="1"/>
    </xf>
    <xf numFmtId="0" applyNumberFormat="1" fontId="18" applyFont="1" fillId="0" applyFill="1" borderId="18" applyBorder="1" xfId="0" applyProtection="1" applyAlignment="1">
      <alignment horizontal="center" vertical="center" wrapText="1"/>
    </xf>
    <xf numFmtId="0" applyNumberFormat="1" fontId="28" applyFont="1" fillId="0" applyFill="1" borderId="12" applyBorder="1" xfId="19" applyProtection="1" applyAlignment="1">
      <alignment horizontal="center" vertical="center"/>
    </xf>
    <xf numFmtId="0" applyNumberFormat="1" fontId="28" applyFont="1" fillId="0" applyFill="1" borderId="76" applyBorder="1" xfId="19" applyProtection="1" applyAlignment="1">
      <alignment horizontal="center" vertical="center"/>
    </xf>
    <xf numFmtId="0" applyNumberFormat="1" fontId="28" applyFont="1" fillId="0" applyFill="1" borderId="78" applyBorder="1" xfId="19" applyProtection="1" applyAlignment="1">
      <alignment horizontal="center" vertical="center"/>
    </xf>
    <xf numFmtId="0" applyNumberFormat="1" fontId="28" applyFont="1" fillId="0" applyFill="1" borderId="21" applyBorder="1" xfId="19" applyProtection="1" applyAlignment="1">
      <alignment horizontal="center" vertical="center"/>
    </xf>
    <xf numFmtId="0" applyNumberFormat="1" fontId="28" applyFont="1" fillId="0" applyFill="1" borderId="22" applyBorder="1" xfId="19" applyProtection="1" applyAlignment="1">
      <alignment horizontal="center" vertical="center"/>
    </xf>
    <xf numFmtId="0" applyNumberFormat="1" fontId="28" applyFont="1" fillId="0" applyFill="1" borderId="23" applyBorder="1" xfId="19" applyProtection="1" applyAlignment="1">
      <alignment horizontal="center" vertical="center"/>
    </xf>
    <xf numFmtId="0" applyNumberFormat="1" fontId="28" applyFont="1" fillId="0" applyFill="1" borderId="11" applyBorder="1" xfId="19" applyProtection="1" applyAlignment="1">
      <alignment horizontal="center" vertical="center"/>
    </xf>
    <xf numFmtId="0" applyNumberFormat="1" fontId="28" applyFont="1" fillId="0" applyFill="1" borderId="5" applyBorder="1" xfId="19" applyProtection="1" applyAlignment="1">
      <alignment horizontal="center" vertical="center"/>
    </xf>
    <xf numFmtId="0" applyNumberFormat="1" fontId="28" applyFont="1" fillId="0" applyFill="1" borderId="8" applyBorder="1" xfId="19" applyProtection="1" applyAlignment="1">
      <alignment horizontal="center" vertical="center"/>
    </xf>
    <xf numFmtId="0" applyNumberFormat="1" fontId="21" applyFont="1" fillId="2" applyFill="1" borderId="2" applyBorder="1" xfId="19" applyProtection="1" applyAlignment="1">
      <alignment horizontal="center" vertical="center"/>
    </xf>
    <xf numFmtId="0" applyNumberFormat="1" fontId="21" applyFont="1" fillId="2" applyFill="1" borderId="35" applyBorder="1" xfId="19" applyProtection="1" applyAlignment="1">
      <alignment horizontal="center" vertical="center"/>
    </xf>
    <xf numFmtId="0" applyNumberFormat="1" fontId="21" applyFont="1" fillId="2" applyFill="1" borderId="29" applyBorder="1" xfId="19" applyProtection="1" applyAlignment="1">
      <alignment horizontal="center" vertical="center"/>
    </xf>
    <xf numFmtId="0" applyNumberFormat="1" fontId="21" applyFont="1" fillId="2" applyFill="1" borderId="34" applyBorder="1" xfId="19" applyProtection="1" applyAlignment="1">
      <alignment horizontal="center" vertical="center"/>
    </xf>
    <xf numFmtId="0" applyNumberFormat="1" fontId="21" applyFont="1" fillId="2" applyFill="1" borderId="28" applyBorder="1" xfId="19" applyProtection="1" applyAlignment="1">
      <alignment horizontal="center" vertical="center"/>
    </xf>
    <xf numFmtId="0" applyNumberFormat="1" fontId="18" applyFont="1" fillId="0" applyFill="1" borderId="13" applyBorder="1" xfId="0" applyProtection="1" applyAlignment="1">
      <alignment horizontal="center" vertical="center" wrapText="1"/>
    </xf>
    <xf numFmtId="0" applyNumberFormat="1" fontId="20" applyFont="1" fillId="0" applyFill="1" borderId="9" applyBorder="1" xfId="0" applyProtection="1" applyAlignment="1">
      <alignment horizontal="center" vertical="center" wrapText="1"/>
    </xf>
    <xf numFmtId="0" applyNumberFormat="1" fontId="20" applyFont="1" fillId="0" applyFill="1" borderId="6" applyBorder="1" xfId="0" applyProtection="1" applyAlignment="1">
      <alignment horizontal="center" vertical="center" wrapText="1"/>
    </xf>
    <xf numFmtId="0" applyNumberFormat="1" fontId="20" applyFont="1" fillId="0" applyFill="1" borderId="7" applyBorder="1" xfId="0" applyProtection="1" applyAlignment="1">
      <alignment horizontal="center" vertical="center" wrapText="1"/>
    </xf>
    <xf numFmtId="0" applyNumberFormat="1" fontId="28" applyFont="1" fillId="0" applyFill="1" borderId="9" applyBorder="1" xfId="19" applyProtection="1" applyAlignment="1">
      <alignment horizontal="center" vertical="center"/>
    </xf>
    <xf numFmtId="0" applyNumberFormat="1" fontId="28" applyFont="1" fillId="0" applyFill="1" borderId="6" applyBorder="1" xfId="19" applyProtection="1" applyAlignment="1">
      <alignment horizontal="center" vertical="center"/>
    </xf>
    <xf numFmtId="0" applyNumberFormat="1" fontId="28" applyFont="1" fillId="0" applyFill="1" borderId="7" applyBorder="1" xfId="19" applyProtection="1" applyAlignment="1">
      <alignment horizontal="center" vertical="center"/>
    </xf>
    <xf numFmtId="0" applyNumberFormat="1" fontId="28" applyFont="1" fillId="0" applyFill="1" borderId="16" applyBorder="1" xfId="19" applyProtection="1" applyAlignment="1">
      <alignment horizontal="center" vertical="center"/>
    </xf>
    <xf numFmtId="0" applyNumberFormat="1" fontId="28" applyFont="1" fillId="0" applyFill="1" borderId="20" applyBorder="1" xfId="19" applyProtection="1" applyAlignment="1">
      <alignment horizontal="center" vertical="center"/>
    </xf>
    <xf numFmtId="0" applyNumberFormat="1" fontId="28" applyFont="1" fillId="0" applyFill="1" borderId="17" applyBorder="1" xfId="19" applyProtection="1" applyAlignment="1">
      <alignment horizontal="center" vertical="center"/>
    </xf>
    <xf numFmtId="0" applyNumberFormat="1" fontId="19" applyFont="1" fillId="0" applyFill="1" borderId="27" applyBorder="1" xfId="0" applyProtection="1" applyAlignment="1">
      <alignment horizontal="center" vertical="center" wrapText="1"/>
    </xf>
    <xf numFmtId="0" applyNumberFormat="1" fontId="28" applyFont="1" fillId="0" applyFill="1" borderId="80" applyBorder="1" xfId="19" applyProtection="1" applyAlignment="1">
      <alignment horizontal="center" vertical="center"/>
    </xf>
    <xf numFmtId="0" applyNumberFormat="1" fontId="28" applyFont="1" fillId="0" applyFill="1" borderId="26" applyBorder="1" xfId="19" applyProtection="1" applyAlignment="1">
      <alignment horizontal="center" vertical="center"/>
    </xf>
    <xf numFmtId="0" applyNumberFormat="1" fontId="28" applyFont="1" fillId="0" applyFill="1" borderId="27" applyBorder="1" xfId="19" applyProtection="1" applyAlignment="1">
      <alignment horizontal="center" vertical="center"/>
    </xf>
    <xf numFmtId="0" applyNumberFormat="1" fontId="28" applyFont="1" fillId="0" applyFill="1" borderId="13" applyBorder="1" xfId="19" applyProtection="1" applyAlignment="1">
      <alignment horizontal="center" vertical="center"/>
    </xf>
    <xf numFmtId="0" applyNumberFormat="1" fontId="28" applyFont="1" fillId="0" applyFill="1" borderId="0" applyBorder="1" xfId="19" applyProtection="1" applyAlignment="1">
      <alignment horizontal="center" vertical="center"/>
    </xf>
    <xf numFmtId="0" applyNumberFormat="1" fontId="28" applyFont="1" fillId="0" applyFill="1" borderId="19" applyBorder="1" xfId="19" applyProtection="1" applyAlignment="1">
      <alignment horizontal="center" vertical="center"/>
    </xf>
    <xf numFmtId="2" applyNumberFormat="1" fontId="23" applyFont="1" fillId="0" applyFill="1" borderId="33" applyBorder="1" xfId="19" applyProtection="1" applyAlignment="1">
      <alignment horizontal="center" vertical="center"/>
    </xf>
    <xf numFmtId="2" applyNumberFormat="1" fontId="23" applyFont="1" fillId="0" applyFill="1" borderId="38" applyBorder="1" xfId="19" applyProtection="1" applyAlignment="1">
      <alignment horizontal="center" vertical="center"/>
    </xf>
    <xf numFmtId="14" applyNumberFormat="1" fontId="13" applyFont="1" fillId="0" applyFill="1" borderId="1" applyBorder="1" xfId="0" applyProtection="1" applyAlignment="1">
      <alignment horizontal="center" vertical="center" wrapText="1"/>
    </xf>
    <xf numFmtId="0" applyNumberFormat="1" fontId="0" applyFont="1" fillId="0" applyFill="1" borderId="1" applyBorder="1" xfId="0" applyProtection="1" applyAlignment="1">
      <alignment horizontal="center" vertical="center" wrapText="1"/>
    </xf>
    <xf numFmtId="0" applyNumberFormat="1" fontId="10" applyFont="1" fillId="0" applyFill="1" borderId="1" applyBorder="1" xfId="0" applyProtection="1" applyAlignment="1">
      <alignment horizontal="center" vertical="center"/>
    </xf>
    <xf numFmtId="0" applyNumberFormat="1" fontId="25" applyFont="1" fillId="0" applyFill="1" borderId="41" applyBorder="1" xfId="0" applyProtection="1" applyAlignment="1">
      <alignment horizontal="center" vertical="center"/>
    </xf>
    <xf numFmtId="164" applyNumberFormat="1" fontId="25" applyFont="1" fillId="0" applyFill="1" borderId="41" applyBorder="1" xfId="0" applyProtection="1" applyAlignment="1">
      <alignment horizontal="center" vertical="center"/>
    </xf>
    <xf numFmtId="0" applyNumberFormat="1" fontId="16" applyFont="1" fillId="0" applyFill="1" borderId="16" applyBorder="1" xfId="0" applyProtection="1" applyAlignment="1">
      <alignment horizontal="center" vertical="center" wrapText="1"/>
    </xf>
  </cellXfs>
  <cellStyles count="28">
    <cellStyle name="0,0_x000d__x000a_NA_x000d__x000a_" xfId="1"/>
    <cellStyle name="Normal" xfId="0" builtinId="0"/>
    <cellStyle name="Normal 12" xfId="2"/>
    <cellStyle name="Normal 12 2" xfId="3"/>
    <cellStyle name="Normal 12 3" xfId="4"/>
    <cellStyle name="Normal 12 4" xfId="5"/>
    <cellStyle name="Normal 2" xfId="6"/>
    <cellStyle name="Normal 2 2" xfId="7"/>
    <cellStyle name="Normal 2 3" xfId="8"/>
    <cellStyle name="Normal 3" xfId="9"/>
    <cellStyle name="Normal 3 2" xfId="10"/>
    <cellStyle name="Normal 3 3" xfId="11"/>
    <cellStyle name="Normal 3 3 2" xfId="12"/>
    <cellStyle name="Normal 4" xfId="13"/>
    <cellStyle name="Normal 4 2" xfId="14"/>
    <cellStyle name="Normal 4 2 2" xfId="15"/>
    <cellStyle name="Normal 4 3" xfId="16"/>
    <cellStyle name="Normal 4 4" xfId="17"/>
    <cellStyle name="Normal 4 5" xfId="18"/>
    <cellStyle name="Normal 5" xfId="19"/>
    <cellStyle name="Normal 6" xfId="20"/>
    <cellStyle name="Normal 6 2" xfId="21"/>
    <cellStyle name="Normal 6 2 2" xfId="22"/>
    <cellStyle name="Normal 6 3" xfId="23"/>
    <cellStyle name="Normal 7" xfId="24"/>
    <cellStyle name="Normal 8" xfId="25"/>
    <cellStyle name="常规 2" xfId="26"/>
    <cellStyle name="常规 6" xfId="27"/>
  </cellStyles>
  <dxfs count="439"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 patternType="solid"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 patternType="solid"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 patternType="solid"/>
      </fill>
    </dxf>
    <dxf>
      <font>
        <color theme="0"/>
      </font>
      <fill>
        <patternFill patternType="solid"/>
      </fill>
    </dxf>
    <dxf>
      <font>
        <color theme="0"/>
      </font>
      <fill>
        <patternFill patternType="solid"/>
      </fill>
    </dxf>
    <dxf>
      <font>
        <color theme="0"/>
      </font>
      <fill>
        <patternFill patternType="solid"/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  <b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  <b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 patternType="solid"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fill>
        <patternFill patternType="solid">
          <fgColor indexed="64"/>
          <bgColor theme="6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 Narrow"/>
        <scheme val="none"/>
      </font>
      <alignment horizontal="center" vertical="center" textRotation="0" wrapText="0" indent="0" justifyLastLine="0" shrinkToFit="0" readingOrder="1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left style="thin">
          <color auto="1"/>
        </left>
        <right style="thin">
          <color auto="1"/>
        </right>
        <bottom style="thin">
          <color indexed="64"/>
        </bottom>
      </border>
    </dxf>
    <dxf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92D05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1"/>
        <i val="0"/>
        <strike val="0"/>
        <condense val="0"/>
        <extend val="0"/>
        <outline val="0"/>
        <shadow val="0"/>
        <sz val="11"/>
        <color theme="1"/>
        <name val="Calibri"/>
        <vertAlign val="baseline"/>
      </font>
      <fill>
        <patternFill patternType="solid">
          <fgColor indexed="64"/>
          <bgColor rgb="ff92d050"/>
        </patternFill>
      </fill>
      <border>
        <left style="thin">
          <color auto="1"/>
        </left>
        <right style="thin">
          <color auto="1"/>
        </right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sz val="11"/>
        <color auto="1"/>
        <name val="Arial Narrow"/>
        <vertAlign val="baseline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indexed="64"/>
        </lef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6" tint="0.3999755851924192"/>
        </patternFill>
      </fill>
      <border>
        <left style="thin">
          <color auto="1"/>
        </left>
        <right style="thin">
          <color auto="1"/>
        </right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indexed="64"/>
        </left>
        <top style="thin">
          <color indexed="64"/>
        </top>
        <bottom style="thin">
          <color indexed="64"/>
        </bottom>
      </border>
    </dxf>
  </dxfs>
  <tableStyles count="0" defaultTableStyle="TableStyleMedium2" defaultPivotStyle="PivotStyleLight16"/>
  <colors>
    <mruColors>
      <color rgb="FFCC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2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9" Type="http://schemas.openxmlformats.org/officeDocument/2006/relationships/worksheet" Target="worksheets/sheet3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Relationship Id="rId20" Type="http://schemas.openxmlformats.org/officeDocument/2006/relationships/worksheet" Target="worksheets/sheet32.xml"/><Relationship Id="rId21" Type="http://schemas.openxmlformats.org/officeDocument/2006/relationships/worksheet" Target="worksheets/sheet33.xml"/><Relationship Id="rId22" Type="http://schemas.openxmlformats.org/officeDocument/2006/relationships/worksheet" Target="worksheets/sheet34.xml"/></Relationships>
</file>

<file path=xl/drawings/_rels/drawing1.xml.rels><?xml version="1.0" encoding="UTF-8" standalone="yes"?><Relationships xmlns="http://schemas.openxmlformats.org/package/2006/relationships"><Relationship Id="rId1" Type="http://schemas.openxmlformats.org/officeDocument/2006/relationships/image" Target="../media/image1.png"/><Relationship Id="rId2" Type="http://schemas.openxmlformats.org/officeDocument/2006/relationships/image" Target="../media/image1.png"/></Relationships>
</file>

<file path=xl/drawings/_rels/drawing2.xml.rels><?xml version="1.0" encoding="UTF-8" standalone="yes"?><Relationships xmlns="http://schemas.openxmlformats.org/package/2006/relationships"><Relationship Id="rId1" Type="http://schemas.openxmlformats.org/officeDocument/2006/relationships/image" Target="../media/image2.png"/><Relationship Id="rId2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27</xdr:row>
      <xdr:rowOff>0</xdr:rowOff>
    </xdr:from>
    <xdr:to>
      <xdr:col>5</xdr:col>
      <xdr:colOff>85725</xdr:colOff>
      <xdr:row>31</xdr:row>
      <xdr:rowOff>42734</xdr:rowOff>
    </xdr:to>
    <xdr:pic>
      <xdr:nvPicPr>
        <xdr:cNvPr id="2" name="Picture 1">
          <a:extLst>
            <a:ext uri="{FF2B5EF4-FFF2-40B4-BE49-F238E27FC236}">
              <a16:creationId xmlns=""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5006340"/>
          <a:ext cx="5755123" cy="71329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423333</xdr:colOff>
      <xdr:row>5</xdr:row>
      <xdr:rowOff>74083</xdr:rowOff>
    </xdr:from>
    <xdr:to>
      <xdr:col>19</xdr:col>
      <xdr:colOff>47625</xdr:colOff>
      <xdr:row>27</xdr:row>
      <xdr:rowOff>142088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304000" y="1111250"/>
          <a:ext cx="2700762" cy="5084505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" name="SiteListTable" displayName="SiteListTable" ref="A1:J41" totalsRowShown="0" headerRowDxfId="425" headerRowCellStyle="Normal 3 3 2" dataCellStyle="Normal 3 3 2">
  <autoFilter ref="A1:J41"/>
  <tableColumns count="10">
    <tableColumn id="1" name=" BOM Code" dataDxfId="426" dataCellStyle="Normal 3 3 2"/>
    <tableColumn id="2" name="SAP Number" dataDxfId="427" dataCellStyle="Normal 3 3 2"/>
    <tableColumn id="3" name="Type" dataDxfId="428" dataCellStyle="Normal 3 3 2"/>
    <tableColumn id="4" name="Module" dataDxfId="429" dataCellStyle="Normal 3 3 2"/>
    <tableColumn id="5" name="Reuse/replace" dataDxfId="430" dataCellStyle="Normal 3 3 2"/>
    <tableColumn id="6" name="Action" dataDxfId="431" dataCellStyle="Normal 3 3 2"/>
    <tableColumn id="7" name="De-installation Week" dataDxfId="432" dataCellStyle="Normal 3 3 2"/>
    <tableColumn id="8" name="Expected Quantity" dataDxfId="433" dataCellStyle="Normal 3 3 2"/>
    <tableColumn id="9" name="Actual Quantity" dataDxfId="434" dataCellStyle="Normal 3 3 2"/>
    <tableColumn id="10" name="Remark" dataDxfId="435" dataCellStyle="Normal 3 3 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ScrapTable" displayName="ScrapTable" ref="A1:B188" totalsRowShown="0" headerRowDxfId="436" totalsRowBorderDxfId="408" headerRowCellStyle="Normal 8">
  <autoFilter ref="A1:B188"/>
  <tableColumns count="2">
    <tableColumn id="1" name="antenna" dataDxfId="437" dataCellStyle="Normal 8"/>
    <tableColumn id="2" name="Scrap" dataDxfId="438" dataCellStyle="Normal 8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2" Type="http://schemas.openxmlformats.org/officeDocument/2006/relationships/drawing" Target="../drawings/drawing1.xml"/></Relationships>
</file>

<file path=xl/worksheets/_rels/sheet12.xml.rels><?xml version="1.0" encoding="UTF-8" standalone="yes"?>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2.xml"/></Relationships>
</file>

<file path=xl/worksheets/_rels/sheet13.xml.rels><?xml version="1.0" encoding="UTF-8" standalone="yes"?>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1">
    <pageSetUpPr fitToPage="1"/>
  </sheetPr>
  <dimension ref="A2:Y24"/>
  <sheetViews>
    <sheetView workbookViewId="0">
      <selection activeCell="H22" sqref="H22"/>
    </sheetView>
  </sheetViews>
  <sheetFormatPr defaultColWidth="9.1328125" defaultRowHeight="12.75"/>
  <cols>
    <col min="1" max="1" width="24.1328125" customWidth="1" style="2"/>
    <col min="2" max="2" width="31" customWidth="1" style="2"/>
    <col min="3" max="3" width="9.1328125" customWidth="1" style="2"/>
    <col min="4" max="4" width="9.1328125" customWidth="1" style="2"/>
    <col min="5" max="5" width="9.265625" customWidth="1" style="2"/>
    <col min="6" max="7" width="9.1328125" customWidth="1" style="2"/>
    <col min="8" max="8" width="10.59765625" customWidth="1" style="2"/>
    <col min="9" max="9" width="9.73046875" customWidth="1" style="2"/>
    <col min="10" max="10" width="9.86328125" customWidth="1" style="2"/>
    <col min="11" max="11" width="10.3984375" customWidth="1" style="2"/>
    <col min="12" max="12" width="10.1328125" customWidth="1" style="2"/>
    <col min="13" max="13" width="11" customWidth="1" style="2"/>
    <col min="14" max="14" width="10.3984375" customWidth="1" style="2"/>
    <col min="15" max="15" width="9.59765625" customWidth="1" style="2"/>
    <col min="16" max="16" width="9.59765625" customWidth="1" style="21"/>
    <col min="17" max="17" bestFit="1" width="11.1328125" customWidth="1" style="21"/>
    <col min="18" max="18" width="10.73046875" customWidth="1" style="2"/>
    <col min="19" max="19" bestFit="1" width="12.3984375" customWidth="1" style="2"/>
    <col min="20" max="20" width="9.1328125" customWidth="1" style="2"/>
    <col min="21" max="21" bestFit="1" width="10.59765625" customWidth="1" style="2"/>
    <col min="22" max="22" width="9.73046875" customWidth="1" style="2"/>
    <col min="23" max="23" width="9.86328125" customWidth="1" style="2"/>
    <col min="24" max="24" width="12" customWidth="1" style="21"/>
    <col min="25" max="25" width="13.3984375" customWidth="1" style="21"/>
    <col min="26" max="16384" width="9.1328125" customWidth="1" style="2"/>
  </cols>
  <sheetData>
    <row r="2" ht="21" customHeight="1">
      <c r="A2" s="3" t="s">
        <v>68</v>
      </c>
      <c r="B2" s="277" t="s">
        <v>69</v>
      </c>
      <c r="D2" s="20"/>
      <c r="E2" s="34"/>
      <c r="F2" s="189" t="s">
        <v>70</v>
      </c>
      <c r="G2" s="189"/>
      <c r="H2" s="189" t="s">
        <v>71</v>
      </c>
      <c r="I2" s="189"/>
      <c r="J2" s="189" t="s">
        <v>70</v>
      </c>
      <c r="K2" s="189"/>
      <c r="L2" s="189" t="s">
        <v>71</v>
      </c>
      <c r="M2" s="190"/>
      <c r="N2" s="191" t="s">
        <v>70</v>
      </c>
      <c r="O2" s="192"/>
      <c r="P2" s="192"/>
      <c r="Q2" s="192"/>
      <c r="R2" s="192"/>
      <c r="S2" s="192"/>
      <c r="T2" s="192"/>
      <c r="U2" s="193"/>
      <c r="V2" s="189" t="s">
        <v>70</v>
      </c>
      <c r="W2" s="189"/>
      <c r="X2" s="189" t="s">
        <v>70</v>
      </c>
      <c r="Y2" s="189"/>
    </row>
    <row r="3" ht="20.25">
      <c r="A3" s="3" t="s">
        <v>72</v>
      </c>
      <c r="B3" s="277" t="s">
        <v>73</v>
      </c>
      <c r="D3" s="20"/>
      <c r="E3" s="34"/>
      <c r="F3" s="37" t="s">
        <v>74</v>
      </c>
      <c r="G3" s="35" t="s">
        <v>75</v>
      </c>
      <c r="H3" s="37" t="s">
        <v>74</v>
      </c>
      <c r="I3" s="35" t="s">
        <v>75</v>
      </c>
      <c r="J3" s="37" t="s">
        <v>74</v>
      </c>
      <c r="K3" s="35" t="s">
        <v>75</v>
      </c>
      <c r="L3" s="37" t="s">
        <v>74</v>
      </c>
      <c r="M3" s="35" t="s">
        <v>75</v>
      </c>
      <c r="N3" s="54" t="s">
        <v>74</v>
      </c>
      <c r="O3" s="35" t="s">
        <v>75</v>
      </c>
      <c r="P3" s="100" t="s">
        <v>74</v>
      </c>
      <c r="Q3" s="35" t="s">
        <v>75</v>
      </c>
      <c r="R3" s="54" t="s">
        <v>74</v>
      </c>
      <c r="S3" s="35" t="s">
        <v>75</v>
      </c>
      <c r="T3" s="54" t="s">
        <v>74</v>
      </c>
      <c r="U3" s="35" t="s">
        <v>75</v>
      </c>
      <c r="V3" s="56" t="s">
        <v>74</v>
      </c>
      <c r="W3" s="58" t="s">
        <v>75</v>
      </c>
      <c r="X3" s="100" t="s">
        <v>74</v>
      </c>
      <c r="Y3" s="58" t="s">
        <v>75</v>
      </c>
    </row>
    <row r="4" ht="20.65">
      <c r="A4" s="3" t="s">
        <v>76</v>
      </c>
      <c r="B4" s="275" t="s">
        <v>77</v>
      </c>
      <c r="D4" s="19"/>
      <c r="E4" s="34"/>
      <c r="F4" s="38" t="s">
        <v>78</v>
      </c>
      <c r="G4" s="39" t="s">
        <v>79</v>
      </c>
      <c r="H4" s="38" t="s">
        <v>80</v>
      </c>
      <c r="I4" s="39" t="s">
        <v>81</v>
      </c>
      <c r="J4" s="38" t="s">
        <v>82</v>
      </c>
      <c r="K4" s="39" t="s">
        <v>83</v>
      </c>
      <c r="L4" s="38" t="s">
        <v>84</v>
      </c>
      <c r="M4" s="39" t="s">
        <v>85</v>
      </c>
      <c r="N4" s="38" t="s">
        <v>86</v>
      </c>
      <c r="O4" s="39" t="s">
        <v>87</v>
      </c>
      <c r="P4" s="102" t="s">
        <v>88</v>
      </c>
      <c r="Q4" s="35" t="s">
        <v>89</v>
      </c>
      <c r="R4" s="38" t="s">
        <v>90</v>
      </c>
      <c r="S4" s="39" t="s">
        <v>91</v>
      </c>
      <c r="T4" s="55" t="s">
        <v>92</v>
      </c>
      <c r="U4" s="103" t="s">
        <v>93</v>
      </c>
      <c r="V4" s="57" t="s">
        <v>94</v>
      </c>
      <c r="W4" s="60" t="s">
        <v>95</v>
      </c>
      <c r="X4" s="101" t="s">
        <v>96</v>
      </c>
      <c r="Y4" s="104" t="s">
        <v>97</v>
      </c>
    </row>
    <row r="5" ht="15">
      <c r="A5" s="16" t="s">
        <v>98</v>
      </c>
      <c r="B5" s="1"/>
      <c r="C5" s="15"/>
      <c r="D5" s="19"/>
      <c r="E5" s="36" t="s">
        <v>65</v>
      </c>
      <c r="F5" s="278">
        <v>1</v>
      </c>
      <c r="G5" s="41"/>
      <c r="H5" s="278">
        <v>1</v>
      </c>
      <c r="I5" s="41"/>
      <c r="J5" s="278">
        <v>1</v>
      </c>
      <c r="K5" s="41"/>
      <c r="L5" s="278">
        <v>0</v>
      </c>
      <c r="M5" s="41"/>
      <c r="N5" s="278">
        <v>1</v>
      </c>
      <c r="O5" s="41"/>
      <c r="P5" s="279">
        <v>0</v>
      </c>
      <c r="Q5" s="41"/>
      <c r="R5" s="278">
        <v>0</v>
      </c>
      <c r="S5" s="41"/>
      <c r="T5" s="278">
        <v>0</v>
      </c>
      <c r="U5" s="41"/>
      <c r="V5" s="278">
        <v>0</v>
      </c>
      <c r="W5" s="59"/>
      <c r="X5" s="278">
        <v>0</v>
      </c>
      <c r="Y5" s="59"/>
    </row>
    <row r="6">
      <c r="A6" s="1" t="s">
        <v>99</v>
      </c>
      <c r="B6" s="276" t="s">
        <v>100</v>
      </c>
      <c r="D6" s="19"/>
      <c r="E6" s="36" t="s">
        <v>67</v>
      </c>
      <c r="F6" s="278">
        <v>1</v>
      </c>
      <c r="G6" s="41"/>
      <c r="H6" s="278">
        <v>1</v>
      </c>
      <c r="I6" s="41"/>
      <c r="J6" s="278">
        <v>1</v>
      </c>
      <c r="K6" s="41"/>
      <c r="L6" s="278">
        <v>0</v>
      </c>
      <c r="M6" s="41"/>
      <c r="N6" s="278">
        <v>1</v>
      </c>
      <c r="O6" s="41"/>
      <c r="P6" s="279">
        <v>0</v>
      </c>
      <c r="Q6" s="41"/>
      <c r="R6" s="278">
        <v>0</v>
      </c>
      <c r="S6" s="41"/>
      <c r="T6" s="278">
        <v>0</v>
      </c>
      <c r="U6" s="41"/>
      <c r="V6" s="278">
        <v>0</v>
      </c>
      <c r="W6" s="59"/>
      <c r="X6" s="278">
        <v>0</v>
      </c>
      <c r="Y6" s="59"/>
    </row>
    <row r="7">
      <c r="A7" s="1" t="s">
        <v>101</v>
      </c>
      <c r="B7" s="4"/>
      <c r="D7" s="19"/>
      <c r="E7" s="36" t="s">
        <v>0</v>
      </c>
      <c r="F7" s="278">
        <v>1</v>
      </c>
      <c r="G7" s="41"/>
      <c r="H7" s="278">
        <v>1</v>
      </c>
      <c r="I7" s="41"/>
      <c r="J7" s="278">
        <v>1</v>
      </c>
      <c r="K7" s="41"/>
      <c r="L7" s="278">
        <v>0</v>
      </c>
      <c r="M7" s="41"/>
      <c r="N7" s="278">
        <v>1</v>
      </c>
      <c r="O7" s="41"/>
      <c r="P7" s="279">
        <v>0</v>
      </c>
      <c r="Q7" s="41"/>
      <c r="R7" s="278">
        <v>0</v>
      </c>
      <c r="S7" s="41"/>
      <c r="T7" s="278">
        <v>0</v>
      </c>
      <c r="U7" s="41"/>
      <c r="V7" s="278">
        <v>0</v>
      </c>
      <c r="W7" s="59"/>
      <c r="X7" s="278">
        <v>0</v>
      </c>
      <c r="Y7" s="59"/>
    </row>
    <row r="8">
      <c r="A8" s="1" t="s">
        <v>102</v>
      </c>
      <c r="B8" s="276" t="s">
        <v>103</v>
      </c>
      <c r="C8" s="15"/>
      <c r="D8" s="19"/>
      <c r="E8" s="36" t="s">
        <v>104</v>
      </c>
      <c r="F8" s="40"/>
      <c r="G8" s="41"/>
      <c r="H8" s="40"/>
      <c r="I8" s="41"/>
      <c r="J8" s="40"/>
      <c r="K8" s="41"/>
      <c r="L8" s="40"/>
      <c r="M8" s="41"/>
      <c r="N8" s="40"/>
      <c r="O8" s="41"/>
      <c r="P8" s="41"/>
      <c r="Q8" s="41"/>
      <c r="R8" s="40"/>
      <c r="S8" s="41"/>
      <c r="T8" s="40"/>
      <c r="U8" s="41"/>
      <c r="V8" s="40"/>
      <c r="W8" s="59"/>
      <c r="X8" s="40"/>
      <c r="Y8" s="59"/>
    </row>
    <row r="9" ht="13.5" customHeight="1">
      <c r="A9" s="1" t="s">
        <v>105</v>
      </c>
      <c r="B9" s="276" t="s">
        <v>106</v>
      </c>
      <c r="C9" s="15"/>
      <c r="D9" s="19"/>
      <c r="E9" s="36" t="s">
        <v>107</v>
      </c>
      <c r="F9" s="40"/>
      <c r="G9" s="41"/>
      <c r="H9" s="40"/>
      <c r="I9" s="41"/>
      <c r="J9" s="40"/>
      <c r="K9" s="41"/>
      <c r="L9" s="40"/>
      <c r="M9" s="41"/>
      <c r="N9" s="40"/>
      <c r="O9" s="41"/>
      <c r="P9" s="41"/>
      <c r="Q9" s="41"/>
      <c r="R9" s="40"/>
      <c r="S9" s="41"/>
      <c r="T9" s="40"/>
      <c r="U9" s="41"/>
      <c r="V9" s="40"/>
      <c r="W9" s="59"/>
      <c r="X9" s="40"/>
      <c r="Y9" s="59"/>
    </row>
    <row r="10">
      <c r="A10" s="1" t="s">
        <v>108</v>
      </c>
      <c r="B10" s="276" t="s">
        <v>109</v>
      </c>
      <c r="C10" s="15"/>
      <c r="D10" s="19"/>
      <c r="E10" s="36" t="s">
        <v>110</v>
      </c>
      <c r="F10" s="40"/>
      <c r="G10" s="41"/>
      <c r="H10" s="40"/>
      <c r="I10" s="41"/>
      <c r="J10" s="40"/>
      <c r="K10" s="41"/>
      <c r="L10" s="40"/>
      <c r="M10" s="41"/>
      <c r="N10" s="40"/>
      <c r="O10" s="41"/>
      <c r="P10" s="41"/>
      <c r="Q10" s="41"/>
      <c r="R10" s="40"/>
      <c r="S10" s="41"/>
      <c r="T10" s="40"/>
      <c r="U10" s="41"/>
      <c r="V10" s="40"/>
      <c r="W10" s="59"/>
      <c r="X10" s="40"/>
      <c r="Y10" s="59"/>
    </row>
    <row r="11">
      <c r="A11" s="1" t="s">
        <v>111</v>
      </c>
      <c r="B11" s="276" t="s">
        <v>112</v>
      </c>
      <c r="E11" s="36" t="s">
        <v>113</v>
      </c>
      <c r="F11" s="40"/>
      <c r="G11" s="41"/>
      <c r="H11" s="40"/>
      <c r="I11" s="41"/>
      <c r="J11" s="40"/>
      <c r="K11" s="41"/>
      <c r="L11" s="40"/>
      <c r="M11" s="41"/>
      <c r="N11" s="40"/>
      <c r="O11" s="41"/>
      <c r="P11" s="41"/>
      <c r="Q11" s="41"/>
      <c r="R11" s="40"/>
      <c r="S11" s="41"/>
      <c r="T11" s="40"/>
      <c r="U11" s="41"/>
      <c r="V11" s="40"/>
      <c r="W11" s="59"/>
      <c r="X11" s="40"/>
      <c r="Y11" s="59"/>
    </row>
    <row r="12">
      <c r="A12" s="1" t="s">
        <v>114</v>
      </c>
      <c r="B12" s="276">
        <v>41.90038889</v>
      </c>
      <c r="E12" s="36" t="s">
        <v>115</v>
      </c>
      <c r="F12" s="40"/>
      <c r="G12" s="41"/>
      <c r="H12" s="40"/>
      <c r="I12" s="41"/>
      <c r="J12" s="40"/>
      <c r="K12" s="41"/>
      <c r="L12" s="40"/>
      <c r="M12" s="41"/>
      <c r="N12" s="40"/>
      <c r="O12" s="41"/>
      <c r="P12" s="41"/>
      <c r="Q12" s="41"/>
      <c r="R12" s="40"/>
      <c r="S12" s="41"/>
      <c r="T12" s="40"/>
      <c r="U12" s="41"/>
      <c r="V12" s="40"/>
      <c r="W12" s="59"/>
      <c r="X12" s="40"/>
      <c r="Y12" s="59"/>
    </row>
    <row r="13">
      <c r="A13" s="1" t="s">
        <v>116</v>
      </c>
      <c r="B13" s="276">
        <v>25.29683333</v>
      </c>
      <c r="E13" s="36" t="s">
        <v>117</v>
      </c>
      <c r="F13" s="40"/>
      <c r="G13" s="41"/>
      <c r="H13" s="40"/>
      <c r="I13" s="41"/>
      <c r="J13" s="40"/>
      <c r="K13" s="41"/>
      <c r="L13" s="40"/>
      <c r="M13" s="41"/>
      <c r="N13" s="40"/>
      <c r="O13" s="41"/>
      <c r="P13" s="41"/>
      <c r="Q13" s="41"/>
      <c r="R13" s="40"/>
      <c r="S13" s="41"/>
      <c r="T13" s="40"/>
      <c r="U13" s="41"/>
      <c r="V13" s="40"/>
      <c r="W13" s="59"/>
      <c r="X13" s="40"/>
      <c r="Y13" s="59"/>
    </row>
    <row r="14">
      <c r="A14" s="1" t="s">
        <v>118</v>
      </c>
      <c r="B14" s="276" t="s">
        <v>119</v>
      </c>
    </row>
    <row r="15">
      <c r="A15" s="1" t="s">
        <v>120</v>
      </c>
      <c r="B15" s="276">
        <v>24</v>
      </c>
    </row>
    <row r="16">
      <c r="A16" s="1" t="s">
        <v>121</v>
      </c>
      <c r="B16" s="276" t="s">
        <v>122</v>
      </c>
    </row>
    <row r="17">
      <c r="A17" s="1" t="s">
        <v>123</v>
      </c>
      <c r="B17" s="276" t="s">
        <v>124</v>
      </c>
    </row>
    <row r="18">
      <c r="A18" s="1" t="s">
        <v>125</v>
      </c>
      <c r="B18" s="4"/>
    </row>
    <row r="19" s="21" customFormat="1">
      <c r="A19" s="1" t="s">
        <v>126</v>
      </c>
      <c r="B19" s="23"/>
    </row>
    <row r="20">
      <c r="A20" s="1" t="s">
        <v>127</v>
      </c>
      <c r="B20" s="4"/>
    </row>
    <row r="21">
      <c r="A21" s="1" t="s">
        <v>128</v>
      </c>
      <c r="B21" s="4"/>
    </row>
    <row r="22">
      <c r="A22" s="1" t="s">
        <v>129</v>
      </c>
      <c r="B22" s="276" t="s">
        <v>130</v>
      </c>
    </row>
    <row r="23">
      <c r="A23" s="1" t="s">
        <v>131</v>
      </c>
      <c r="B23" s="276" t="s">
        <v>132</v>
      </c>
      <c r="E23" s="17"/>
    </row>
    <row r="24">
      <c r="A24" s="1" t="s">
        <v>133</v>
      </c>
      <c r="B24" s="276" t="s">
        <v>134</v>
      </c>
    </row>
  </sheetData>
  <mergeCells>
    <mergeCell ref="X2:Y2"/>
    <mergeCell ref="V2:W2"/>
    <mergeCell ref="F2:G2"/>
    <mergeCell ref="H2:I2"/>
    <mergeCell ref="J2:K2"/>
    <mergeCell ref="L2:M2"/>
    <mergeCell ref="N2:U2"/>
  </mergeCells>
  <conditionalFormatting sqref="G5:G13">
    <cfRule type="expression" dxfId="0" priority="22">
      <formula>$G5&lt;&gt;$F5</formula>
    </cfRule>
  </conditionalFormatting>
  <conditionalFormatting sqref="I5:I13">
    <cfRule type="expression" dxfId="0" priority="21">
      <formula>$I5&lt;&gt;$H5</formula>
    </cfRule>
  </conditionalFormatting>
  <conditionalFormatting sqref="K5:K13">
    <cfRule type="expression" dxfId="0" priority="20">
      <formula>$K5&lt;&gt;$J5</formula>
    </cfRule>
  </conditionalFormatting>
  <conditionalFormatting sqref="M5:M13">
    <cfRule type="expression" dxfId="0" priority="19">
      <formula>$M5&lt;&gt;$L5</formula>
    </cfRule>
  </conditionalFormatting>
  <conditionalFormatting sqref="O5:O13">
    <cfRule type="expression" dxfId="0" priority="18">
      <formula>$O5&lt;&gt;$N5</formula>
    </cfRule>
  </conditionalFormatting>
  <conditionalFormatting sqref="Q5:Q13">
    <cfRule type="expression" dxfId="0" priority="17">
      <formula>$Q5&lt;&gt;$P5</formula>
    </cfRule>
  </conditionalFormatting>
  <conditionalFormatting sqref="S5:S13">
    <cfRule type="expression" dxfId="0" priority="16">
      <formula>$S5&lt;&gt;$R5</formula>
    </cfRule>
  </conditionalFormatting>
  <conditionalFormatting sqref="U5:U13">
    <cfRule type="expression" dxfId="0" priority="15">
      <formula>$U5&lt;&gt;$T5</formula>
    </cfRule>
  </conditionalFormatting>
  <conditionalFormatting sqref="W5:W13">
    <cfRule type="expression" dxfId="0" priority="12">
      <formula>$W5&lt;&gt;$V5</formula>
    </cfRule>
  </conditionalFormatting>
  <conditionalFormatting sqref="Y5:Y13">
    <cfRule type="expression" dxfId="0" priority="11">
      <formula>$Y5&lt;&gt;$X5</formula>
    </cfRule>
  </conditionalFormatting>
  <conditionalFormatting sqref="G5:G13">
    <cfRule type="expression" dxfId="386" priority="10">
      <formula>ISBLANK($G5)</formula>
    </cfRule>
  </conditionalFormatting>
  <conditionalFormatting sqref="I5:I13">
    <cfRule type="expression" dxfId="386" priority="9">
      <formula>ISBLANK($I5)</formula>
    </cfRule>
  </conditionalFormatting>
  <conditionalFormatting sqref="K5:K13">
    <cfRule type="expression" dxfId="386" priority="8">
      <formula>ISBLANK($K5)</formula>
    </cfRule>
  </conditionalFormatting>
  <conditionalFormatting sqref="M5:M13">
    <cfRule type="expression" dxfId="392" priority="7">
      <formula>ISBLANK($M5)</formula>
    </cfRule>
  </conditionalFormatting>
  <conditionalFormatting sqref="O5:O13">
    <cfRule type="expression" dxfId="386" priority="6">
      <formula>ISBLANK($O5)</formula>
    </cfRule>
  </conditionalFormatting>
  <conditionalFormatting sqref="Q5:Q13">
    <cfRule type="expression" dxfId="386" priority="5">
      <formula>ISBLANK($Q5)</formula>
    </cfRule>
  </conditionalFormatting>
  <conditionalFormatting sqref="S5:S13">
    <cfRule type="expression" dxfId="386" priority="4">
      <formula>ISBLANK($S5)</formula>
    </cfRule>
  </conditionalFormatting>
  <conditionalFormatting sqref="U5:U13">
    <cfRule type="expression" dxfId="386" priority="3">
      <formula>ISBLANK($U5)</formula>
    </cfRule>
  </conditionalFormatting>
  <conditionalFormatting sqref="W5:W13">
    <cfRule type="expression" dxfId="386" priority="2">
      <formula>ISBLANK($W5)</formula>
    </cfRule>
  </conditionalFormatting>
  <conditionalFormatting sqref="Y5:Y13">
    <cfRule type="expression" dxfId="386" priority="1">
      <formula>ISBLANK($Y5)</formula>
    </cfRule>
  </conditionalFormatting>
  <dataValidations count="45">
    <dataValidation type="list" xr:uid="{FD126573-32F6-42A6-BB6A-F2470B9DB4F5}" sqref="B18" showErrorMessage="1" errorTitle="An invalid feedback was entered" error="Please choose feedback from drop down only.">
      <formula1>"APM30,OMB,TMC,VIRTUAL,pico 3911B,BTS3911E"</formula1>
    </dataValidation>
    <dataValidation type="list" xr:uid="{C78D2F49-FBD1-439A-9F71-921B158DF1A4}" sqref="C18" showErrorMessage="1" errorTitle="An invalid feedback was entered" error="Please choose feedback from drop down only.">
      <formula1>"APM30,OMB,TMC,VIRTUAL,pico 3911B,BTS3911E"</formula1>
    </dataValidation>
    <dataValidation type="list" xr:uid="{73077481-1219-4B53-B229-F14F0DCA440E}" sqref="D18" showErrorMessage="1" errorTitle="An invalid feedback was entered" error="Please choose feedback from drop down only.">
      <formula1>"APM30,OMB,TMC,VIRTUAL,pico 3911B,BTS3911E"</formula1>
    </dataValidation>
    <dataValidation type="list" xr:uid="{04997425-556C-4956-93B0-E2239EEB4793}" sqref="E18" showErrorMessage="1" errorTitle="An invalid feedback was entered" error="Please choose feedback from drop down only.">
      <formula1>"APM30,OMB,TMC,VIRTUAL,pico 3911B,BTS3911E"</formula1>
    </dataValidation>
    <dataValidation type="list" xr:uid="{A122A947-A696-4F66-BE26-DB20355DDAE1}" sqref="F18" showErrorMessage="1" errorTitle="An invalid feedback was entered" error="Please choose feedback from drop down only.">
      <formula1>"APM30,OMB,TMC,VIRTUAL,pico 3911B,BTS3911E"</formula1>
    </dataValidation>
    <dataValidation type="list" xr:uid="{964E99B6-1F2C-4DAD-B1D1-75AEF57E00BB}" sqref="G18" showErrorMessage="1" errorTitle="An invalid feedback was entered" error="Please choose feedback from drop down only.">
      <formula1>"APM30,OMB,TMC,VIRTUAL,pico 3911B,BTS3911E"</formula1>
    </dataValidation>
    <dataValidation type="list" xr:uid="{69A1C27A-B09C-4BC5-BBE4-04636BDB147D}" sqref="H18" showErrorMessage="1" errorTitle="An invalid feedback was entered" error="Please choose feedback from drop down only.">
      <formula1>"APM30,OMB,TMC,VIRTUAL,pico 3911B,BTS3911E"</formula1>
    </dataValidation>
    <dataValidation type="list" xr:uid="{44977336-72F4-44E9-B51F-048843E64204}" sqref="I18" showErrorMessage="1" errorTitle="An invalid feedback was entered" error="Please choose feedback from drop down only.">
      <formula1>"APM30,OMB,TMC,VIRTUAL,pico 3911B,BTS3911E"</formula1>
    </dataValidation>
    <dataValidation type="list" xr:uid="{14CA0923-1586-4775-A24E-43CE57BD3037}" sqref="J18" showErrorMessage="1" errorTitle="An invalid feedback was entered" error="Please choose feedback from drop down only.">
      <formula1>"APM30,OMB,TMC,VIRTUAL,pico 3911B,BTS3911E"</formula1>
    </dataValidation>
    <dataValidation type="list" xr:uid="{0C4C740E-6549-4F83-B565-E1AA23DDA59A}" sqref="K18" showErrorMessage="1" errorTitle="An invalid feedback was entered" error="Please choose feedback from drop down only.">
      <formula1>"APM30,OMB,TMC,VIRTUAL,pico 3911B,BTS3911E"</formula1>
    </dataValidation>
    <dataValidation type="list" xr:uid="{C9D75E78-6A52-4D8F-A7AF-9B514CB1B8CF}" sqref="L18" showErrorMessage="1" errorTitle="An invalid feedback was entered" error="Please choose feedback from drop down only.">
      <formula1>"APM30,OMB,TMC,VIRTUAL,pico 3911B,BTS3911E"</formula1>
    </dataValidation>
    <dataValidation type="list" xr:uid="{79C95D4E-A6F6-49FC-8DF3-05658CBE8654}" sqref="M18" showErrorMessage="1" errorTitle="An invalid feedback was entered" error="Please choose feedback from drop down only.">
      <formula1>"APM30,OMB,TMC,VIRTUAL,pico 3911B,BTS3911E"</formula1>
    </dataValidation>
    <dataValidation type="list" xr:uid="{75CADB8E-C9F2-40EB-9814-8921219477B3}" sqref="N18" showErrorMessage="1" errorTitle="An invalid feedback was entered" error="Please choose feedback from drop down only.">
      <formula1>"APM30,OMB,TMC,VIRTUAL,pico 3911B,BTS3911E"</formula1>
    </dataValidation>
    <dataValidation type="list" xr:uid="{22CA289C-AAFC-49C7-804E-354E81943B0B}" sqref="O18" showErrorMessage="1" errorTitle="An invalid feedback was entered" error="Please choose feedback from drop down only.">
      <formula1>"APM30,OMB,TMC,VIRTUAL,pico 3911B,BTS3911E"</formula1>
    </dataValidation>
    <dataValidation type="list" xr:uid="{619DC565-B090-44A5-B1EB-830252C5052E}" sqref="P18" showErrorMessage="1" errorTitle="An invalid feedback was entered" error="Please choose feedback from drop down only.">
      <formula1>"APM30,OMB,TMC,VIRTUAL,pico 3911B,BTS3911E"</formula1>
    </dataValidation>
    <dataValidation type="list" xr:uid="{3C7A5BF0-56E2-49C2-AD8A-05A162BF68D2}" sqref="B21" showErrorMessage="1" errorTitle="An invalid feedback was entered" error="Please choose feedback from drop down only.">
      <formula1>"Standard,Non standard,Fast track"</formula1>
    </dataValidation>
    <dataValidation type="list" xr:uid="{EEA2AB38-E27F-49E2-A92D-1971A0CE6DDA}" sqref="C21" showErrorMessage="1" errorTitle="An invalid feedback was entered" error="Please choose feedback from drop down only.">
      <formula1>"Standard,Non standard,Fast track"</formula1>
    </dataValidation>
    <dataValidation type="list" xr:uid="{A09D718E-36E7-4B97-B716-8B31B5560E7F}" sqref="D21" showErrorMessage="1" errorTitle="An invalid feedback was entered" error="Please choose feedback from drop down only.">
      <formula1>"Standard,Non standard,Fast track"</formula1>
    </dataValidation>
    <dataValidation type="list" xr:uid="{AD2AA0F6-D1CD-4A70-9DFE-A48CFF950661}" sqref="E21" showErrorMessage="1" errorTitle="An invalid feedback was entered" error="Please choose feedback from drop down only.">
      <formula1>"Standard,Non standard,Fast track"</formula1>
    </dataValidation>
    <dataValidation type="list" xr:uid="{9913511E-AFC8-49DF-A613-FE4E74C20836}" sqref="F21" showErrorMessage="1" errorTitle="An invalid feedback was entered" error="Please choose feedback from drop down only.">
      <formula1>"Standard,Non standard,Fast track"</formula1>
    </dataValidation>
    <dataValidation type="list" xr:uid="{40B4AA0D-4F31-4220-BE12-F57A92BA2D9E}" sqref="G21" showErrorMessage="1" errorTitle="An invalid feedback was entered" error="Please choose feedback from drop down only.">
      <formula1>"Standard,Non standard,Fast track"</formula1>
    </dataValidation>
    <dataValidation type="list" xr:uid="{00D2ACC1-E41D-4A91-B1FD-F2AE57BA7A3B}" sqref="H21" showErrorMessage="1" errorTitle="An invalid feedback was entered" error="Please choose feedback from drop down only.">
      <formula1>"Standard,Non standard,Fast track"</formula1>
    </dataValidation>
    <dataValidation type="list" xr:uid="{A8C46EED-3BE4-49AD-95A6-F19B697BB3ED}" sqref="I21" showErrorMessage="1" errorTitle="An invalid feedback was entered" error="Please choose feedback from drop down only.">
      <formula1>"Standard,Non standard,Fast track"</formula1>
    </dataValidation>
    <dataValidation type="list" xr:uid="{FE6CE8E0-4E3D-44F4-9A10-C07A81FAE676}" sqref="J21" showErrorMessage="1" errorTitle="An invalid feedback was entered" error="Please choose feedback from drop down only.">
      <formula1>"Standard,Non standard,Fast track"</formula1>
    </dataValidation>
    <dataValidation type="list" xr:uid="{65E01597-AB9A-4F75-BA78-33E025B02D5D}" sqref="K21" showErrorMessage="1" errorTitle="An invalid feedback was entered" error="Please choose feedback from drop down only.">
      <formula1>"Standard,Non standard,Fast track"</formula1>
    </dataValidation>
    <dataValidation type="list" xr:uid="{9924CD62-9997-40D2-A93E-A9C047339C1B}" sqref="L21" showErrorMessage="1" errorTitle="An invalid feedback was entered" error="Please choose feedback from drop down only.">
      <formula1>"Standard,Non standard,Fast track"</formula1>
    </dataValidation>
    <dataValidation type="list" xr:uid="{6190AF94-4324-4F80-8DF1-A46A70DDBB09}" sqref="M21" showErrorMessage="1" errorTitle="An invalid feedback was entered" error="Please choose feedback from drop down only.">
      <formula1>"Standard,Non standard,Fast track"</formula1>
    </dataValidation>
    <dataValidation type="list" xr:uid="{D8E42BBE-E105-425E-BF23-D974C2B86C9D}" sqref="N21" showErrorMessage="1" errorTitle="An invalid feedback was entered" error="Please choose feedback from drop down only.">
      <formula1>"Standard,Non standard,Fast track"</formula1>
    </dataValidation>
    <dataValidation type="list" xr:uid="{E8A4B6F4-2471-431D-B85B-44503E3AA36A}" sqref="O21" showErrorMessage="1" errorTitle="An invalid feedback was entered" error="Please choose feedback from drop down only.">
      <formula1>"Standard,Non standard,Fast track"</formula1>
    </dataValidation>
    <dataValidation type="list" xr:uid="{642024EB-42F1-45D0-8272-88D9A05627DB}" sqref="P21" showErrorMessage="1" errorTitle="An invalid feedback was entered" error="Please choose feedback from drop down only.">
      <formula1>"Standard,Non standard,Fast track"</formula1>
    </dataValidation>
    <dataValidation type="list" xr:uid="{23A3C5C4-FD5C-47E9-B699-9524D44602BA}" sqref="B20" showErrorMessage="1" errorTitle="An invalid feedback was entered" error="Please choose feedback from drop down only.">
      <formula1>"Rollout,VIP,3G capacity"</formula1>
    </dataValidation>
    <dataValidation type="list" xr:uid="{372EC237-A0C5-43EA-9147-4B0BD6896B2B}" sqref="C20" showErrorMessage="1" errorTitle="An invalid feedback was entered" error="Please choose feedback from drop down only.">
      <formula1>"Rollout,VIP,3G capacity"</formula1>
    </dataValidation>
    <dataValidation type="list" xr:uid="{79AC23C3-15BA-4591-9770-FA1C83078C9A}" sqref="D20" showErrorMessage="1" errorTitle="An invalid feedback was entered" error="Please choose feedback from drop down only.">
      <formula1>"Rollout,VIP,3G capacity"</formula1>
    </dataValidation>
    <dataValidation type="list" xr:uid="{1FCE853E-3B41-4E3B-8581-7CBFB0ADB7A7}" sqref="E20" showErrorMessage="1" errorTitle="An invalid feedback was entered" error="Please choose feedback from drop down only.">
      <formula1>"Rollout,VIP,3G capacity"</formula1>
    </dataValidation>
    <dataValidation type="list" xr:uid="{B2720344-1D35-48D6-A1F6-1AF5C15A01C7}" sqref="F20" showErrorMessage="1" errorTitle="An invalid feedback was entered" error="Please choose feedback from drop down only.">
      <formula1>"Rollout,VIP,3G capacity"</formula1>
    </dataValidation>
    <dataValidation type="list" xr:uid="{879B6DCB-4E30-48FF-90D2-928506B97A55}" sqref="G20" showErrorMessage="1" errorTitle="An invalid feedback was entered" error="Please choose feedback from drop down only.">
      <formula1>"Rollout,VIP,3G capacity"</formula1>
    </dataValidation>
    <dataValidation type="list" xr:uid="{0CFD59BF-37E2-49C2-AF25-69DC1E50E57F}" sqref="H20" showErrorMessage="1" errorTitle="An invalid feedback was entered" error="Please choose feedback from drop down only.">
      <formula1>"Rollout,VIP,3G capacity"</formula1>
    </dataValidation>
    <dataValidation type="list" xr:uid="{887B349B-CA09-4360-A5E7-DB31D7834C45}" sqref="I20" showErrorMessage="1" errorTitle="An invalid feedback was entered" error="Please choose feedback from drop down only.">
      <formula1>"Rollout,VIP,3G capacity"</formula1>
    </dataValidation>
    <dataValidation type="list" xr:uid="{2928B671-3751-48CE-B4B2-A39907E230B0}" sqref="J20" showErrorMessage="1" errorTitle="An invalid feedback was entered" error="Please choose feedback from drop down only.">
      <formula1>"Rollout,VIP,3G capacity"</formula1>
    </dataValidation>
    <dataValidation type="list" xr:uid="{EB2F9CA7-C087-4C44-B986-105E57931AE7}" sqref="K20" showErrorMessage="1" errorTitle="An invalid feedback was entered" error="Please choose feedback from drop down only.">
      <formula1>"Rollout,VIP,3G capacity"</formula1>
    </dataValidation>
    <dataValidation type="list" xr:uid="{D7F17FAB-BFD9-4A84-84B6-600FE8D02F96}" sqref="L20" showErrorMessage="1" errorTitle="An invalid feedback was entered" error="Please choose feedback from drop down only.">
      <formula1>"Rollout,VIP,3G capacity"</formula1>
    </dataValidation>
    <dataValidation type="list" xr:uid="{E8845E6B-E6E2-4B74-AD53-A3954F83E1E0}" sqref="M20" showErrorMessage="1" errorTitle="An invalid feedback was entered" error="Please choose feedback from drop down only.">
      <formula1>"Rollout,VIP,3G capacity"</formula1>
    </dataValidation>
    <dataValidation type="list" xr:uid="{3741DF5D-EBA5-4D6E-AC8B-A2E80EE815E5}" sqref="N20" showErrorMessage="1" errorTitle="An invalid feedback was entered" error="Please choose feedback from drop down only.">
      <formula1>"Rollout,VIP,3G capacity"</formula1>
    </dataValidation>
    <dataValidation type="list" xr:uid="{35EE770A-BB4C-4129-AB27-0AF350CE7D27}" sqref="O20" showErrorMessage="1" errorTitle="An invalid feedback was entered" error="Please choose feedback from drop down only.">
      <formula1>"Rollout,VIP,3G capacity"</formula1>
    </dataValidation>
    <dataValidation type="list" xr:uid="{9E1F7FC8-BE5E-4C86-9952-8E27D11FD5F6}" sqref="P20" showErrorMessage="1" errorTitle="An invalid feedback was entered" error="Please choose feedback from drop down only.">
      <formula1>"Rollout,VIP,3G capacity"</formula1>
    </dataValidation>
  </dataValidations>
  <pageMargins left="0.25" right="0.25" top="0.75" bottom="0.75" header="0.3" footer="0.3"/>
  <pageSetup scale="53" fitToHeight="0" orientation="landscape"/>
  <headerFooter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2">
    <pageSetUpPr fitToPage="1"/>
  </sheetPr>
  <dimension ref="A1:U46"/>
  <sheetViews>
    <sheetView zoomScale="90" zoomScaleNormal="90" workbookViewId="0">
      <selection sqref="A1:B1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5" width="9.1328125" customWidth="1" style="2"/>
    <col min="6" max="6" width="9.1328125" customWidth="1" style="21"/>
    <col min="7" max="7" width="9.1328125" customWidth="1" style="2"/>
    <col min="8" max="8" bestFit="1" width="9.3984375" customWidth="1" style="2"/>
    <col min="9" max="15" width="9.1328125" customWidth="1" style="2"/>
    <col min="16" max="16" width="9.1328125" customWidth="1" style="21"/>
    <col min="17" max="16384" width="9.1328125" customWidth="1" style="2"/>
  </cols>
  <sheetData>
    <row r="1" ht="25.15" customHeight="1">
      <c r="A1" s="197">
        <f>Common!B2</f>
        <v>0</v>
      </c>
      <c r="B1" s="198"/>
      <c r="C1" s="194" t="s">
        <v>65</v>
      </c>
      <c r="D1" s="195"/>
      <c r="E1" s="195"/>
      <c r="F1" s="195"/>
      <c r="G1" s="195"/>
      <c r="H1" s="195"/>
      <c r="I1" s="195"/>
      <c r="J1" s="195"/>
      <c r="K1" s="195"/>
      <c r="L1" s="195"/>
      <c r="M1" s="195"/>
      <c r="N1" s="195"/>
      <c r="O1" s="195"/>
      <c r="P1" s="196"/>
    </row>
    <row r="2" ht="18">
      <c r="A2" s="33"/>
      <c r="B2" s="14" t="s">
        <v>1</v>
      </c>
      <c r="C2" s="217">
        <v>1</v>
      </c>
      <c r="D2" s="218"/>
      <c r="E2" s="218"/>
      <c r="F2" s="218"/>
      <c r="G2" s="218"/>
      <c r="H2" s="219"/>
      <c r="I2" s="220">
        <v>2</v>
      </c>
      <c r="J2" s="221"/>
      <c r="K2" s="221"/>
      <c r="L2" s="222"/>
      <c r="M2" s="220">
        <v>3</v>
      </c>
      <c r="N2" s="221"/>
      <c r="O2" s="222"/>
      <c r="P2" s="72">
        <v>4</v>
      </c>
    </row>
    <row r="3" ht="17.25">
      <c r="A3" s="241"/>
      <c r="B3" s="12" t="s">
        <v>2</v>
      </c>
      <c r="C3" s="211"/>
      <c r="D3" s="212"/>
      <c r="E3" s="212"/>
      <c r="F3" s="212"/>
      <c r="G3" s="212"/>
      <c r="H3" s="212"/>
      <c r="I3" s="212"/>
      <c r="J3" s="212"/>
      <c r="K3" s="212"/>
      <c r="L3" s="212"/>
      <c r="M3" s="212"/>
      <c r="N3" s="212"/>
      <c r="O3" s="212"/>
      <c r="P3" s="213"/>
    </row>
    <row r="4" ht="25.15" s="5" customFormat="1">
      <c r="A4" s="241"/>
      <c r="B4" s="9" t="s">
        <v>3</v>
      </c>
      <c r="C4" s="242"/>
      <c r="D4" s="243"/>
      <c r="E4" s="243"/>
      <c r="F4" s="243"/>
      <c r="G4" s="243"/>
      <c r="H4" s="243"/>
      <c r="I4" s="243"/>
      <c r="J4" s="243"/>
      <c r="K4" s="243"/>
      <c r="L4" s="243"/>
      <c r="M4" s="243"/>
      <c r="N4" s="243"/>
      <c r="O4" s="243"/>
      <c r="P4" s="244"/>
    </row>
    <row r="5" ht="24.75">
      <c r="A5" s="241"/>
      <c r="B5" s="82" t="s">
        <v>4</v>
      </c>
      <c r="C5" s="245">
        <v>50</v>
      </c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5" customFormat="1">
      <c r="A6" s="241"/>
      <c r="B6" s="83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 t="s">
        <v>7</v>
      </c>
      <c r="D7" s="227"/>
      <c r="E7" s="227"/>
      <c r="F7" s="227"/>
      <c r="G7" s="227"/>
      <c r="H7" s="228"/>
      <c r="I7" s="227"/>
      <c r="J7" s="227"/>
      <c r="K7" s="227"/>
      <c r="L7" s="228"/>
      <c r="M7" s="226"/>
      <c r="N7" s="227"/>
      <c r="O7" s="228"/>
      <c r="P7" s="94"/>
    </row>
    <row r="8" ht="17.65" s="5" customFormat="1">
      <c r="A8" s="241"/>
      <c r="B8" s="9" t="s">
        <v>8</v>
      </c>
      <c r="C8" s="229" t="s">
        <v>7</v>
      </c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95"/>
    </row>
    <row r="9" ht="17.25">
      <c r="A9" s="241"/>
      <c r="B9" s="8" t="s">
        <v>9</v>
      </c>
      <c r="C9" s="211" t="s">
        <v>66</v>
      </c>
      <c r="D9" s="212"/>
      <c r="E9" s="212"/>
      <c r="F9" s="212"/>
      <c r="G9" s="212"/>
      <c r="H9" s="213"/>
      <c r="I9" s="212"/>
      <c r="J9" s="212"/>
      <c r="K9" s="212"/>
      <c r="L9" s="213"/>
      <c r="M9" s="211"/>
      <c r="N9" s="212"/>
      <c r="O9" s="213"/>
      <c r="P9" s="94"/>
    </row>
    <row r="10" ht="17.65" s="5" customFormat="1">
      <c r="A10" s="241"/>
      <c r="B10" s="10" t="s">
        <v>11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95"/>
    </row>
    <row r="11" ht="17.25">
      <c r="A11" s="241"/>
      <c r="B11" s="8" t="s">
        <v>12</v>
      </c>
      <c r="C11" s="211">
        <v>24</v>
      </c>
      <c r="D11" s="212"/>
      <c r="E11" s="212"/>
      <c r="F11" s="212"/>
      <c r="G11" s="212"/>
      <c r="H11" s="213"/>
      <c r="I11" s="212"/>
      <c r="J11" s="212"/>
      <c r="K11" s="212"/>
      <c r="L11" s="213"/>
      <c r="M11" s="211"/>
      <c r="N11" s="212"/>
      <c r="O11" s="213"/>
      <c r="P11" s="94"/>
    </row>
    <row r="12" ht="17.65" s="5" customFormat="1">
      <c r="A12" s="241"/>
      <c r="B12" s="10" t="s">
        <v>13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95"/>
    </row>
    <row r="13" ht="17.25">
      <c r="A13" s="241"/>
      <c r="B13" s="8" t="s">
        <v>14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1"/>
      <c r="N13" s="212"/>
      <c r="O13" s="213"/>
      <c r="P13" s="94"/>
    </row>
    <row r="14" ht="17.65" s="5" customFormat="1">
      <c r="A14" s="241"/>
      <c r="B14" s="10" t="s">
        <v>15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96"/>
    </row>
    <row r="15" ht="17.25">
      <c r="A15" s="241"/>
      <c r="B15" s="8" t="s">
        <v>16</v>
      </c>
      <c r="C15" s="211">
        <v>1</v>
      </c>
      <c r="D15" s="212"/>
      <c r="E15" s="212"/>
      <c r="F15" s="212"/>
      <c r="G15" s="212"/>
      <c r="H15" s="213"/>
      <c r="I15" s="212"/>
      <c r="J15" s="212"/>
      <c r="K15" s="212"/>
      <c r="L15" s="213"/>
      <c r="M15" s="211"/>
      <c r="N15" s="212"/>
      <c r="O15" s="213"/>
      <c r="P15" s="97"/>
    </row>
    <row r="16" ht="17.25" s="5" customFormat="1">
      <c r="A16" s="241"/>
      <c r="B16" s="68" t="s">
        <v>17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5"/>
      <c r="N16" s="206"/>
      <c r="O16" s="207"/>
      <c r="P16" s="98"/>
    </row>
    <row r="17" ht="17.25">
      <c r="A17" s="241"/>
      <c r="B17" s="84" t="s">
        <v>18</v>
      </c>
      <c r="C17" s="65" t="s">
        <v>19</v>
      </c>
      <c r="D17" s="65" t="s">
        <v>20</v>
      </c>
      <c r="E17" s="65" t="s">
        <v>21</v>
      </c>
      <c r="F17" s="65" t="s">
        <v>22</v>
      </c>
      <c r="G17" s="65" t="s">
        <v>23</v>
      </c>
      <c r="H17" s="65" t="s">
        <v>24</v>
      </c>
      <c r="I17" s="65" t="s">
        <v>19</v>
      </c>
      <c r="J17" s="65" t="s">
        <v>20</v>
      </c>
      <c r="K17" s="65" t="s">
        <v>21</v>
      </c>
      <c r="L17" s="65" t="s">
        <v>22</v>
      </c>
      <c r="M17" s="65" t="s">
        <v>19</v>
      </c>
      <c r="N17" s="65" t="s">
        <v>20</v>
      </c>
      <c r="O17" s="65" t="s">
        <v>21</v>
      </c>
      <c r="P17" s="76" t="s">
        <v>19</v>
      </c>
    </row>
    <row r="18" ht="17.25" s="21" customFormat="1">
      <c r="A18" s="241"/>
      <c r="B18" s="84" t="s">
        <v>25</v>
      </c>
      <c r="C18" s="63" t="s">
        <v>26</v>
      </c>
      <c r="D18" s="64" t="s">
        <v>27</v>
      </c>
      <c r="E18" s="64" t="s">
        <v>28</v>
      </c>
      <c r="F18" s="64" t="s">
        <v>29</v>
      </c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 s="21" customFormat="1">
      <c r="A19" s="241"/>
      <c r="B19" s="85" t="s">
        <v>30</v>
      </c>
      <c r="C19" s="99">
        <f>VLOOKUP(C8,AntennasPortName!A:H,2,FALSE)</f>
      </c>
      <c r="D19" s="99">
        <f>VLOOKUP(C8,AntennasPortName!A:H,3,FALSE)</f>
      </c>
      <c r="E19" s="99">
        <f>VLOOKUP(C8,AntennasPortName!A:H,4,FALSE)</f>
      </c>
      <c r="F19" s="99">
        <f>VLOOKUP(C8,AntennasPortName!A:H,5,FALSE)</f>
      </c>
      <c r="G19" s="99">
        <f>VLOOKUP(C8,AntennasPortName!A:H,6,FALSE)</f>
      </c>
      <c r="H19" s="99">
        <f>VLOOKUP(C8,AntennasPortName!A:H,7,FALSE)</f>
      </c>
      <c r="I19" s="99">
        <f>VLOOKUP(I8,AntennasPortName!A:H,2,FALSE)</f>
      </c>
      <c r="J19" s="99">
        <f>VLOOKUP(I8,AntennasPortName!A:H,3,FALSE)</f>
      </c>
      <c r="K19" s="99">
        <f>VLOOKUP(I8,AntennasPortName!A:H,4,FALSE)</f>
      </c>
      <c r="L19" s="99">
        <f>VLOOKUP(I8,AntennasPortName!A:H,5,FALSE)</f>
      </c>
      <c r="M19" s="99">
        <f>VLOOKUP(M8,AntennasPortName!A:H,2,FALSE)</f>
      </c>
      <c r="N19" s="99">
        <f>VLOOKUP(M8,AntennasPortName!A:H,3,FALSE)</f>
      </c>
      <c r="O19" s="99">
        <f>VLOOKUP(M8,AntennasPortName!A:H,4,FALSE)</f>
      </c>
      <c r="P19" s="99">
        <f>VLOOKUP(P8,AntennasPortName!A:H,2,FALSE)</f>
      </c>
    </row>
    <row r="20" ht="17.25">
      <c r="A20" s="241"/>
      <c r="B20" s="86" t="s">
        <v>31</v>
      </c>
      <c r="C20" s="61" t="s">
        <v>32</v>
      </c>
      <c r="D20" s="62" t="s">
        <v>32</v>
      </c>
      <c r="E20" s="62" t="s">
        <v>33</v>
      </c>
      <c r="F20" s="62" t="s">
        <v>33</v>
      </c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87" t="s">
        <v>34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5" customFormat="1">
      <c r="A22" s="241"/>
      <c r="B22" s="68" t="s">
        <v>35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68" t="s">
        <v>36</v>
      </c>
      <c r="C23" s="51"/>
      <c r="D23" s="51"/>
      <c r="E23" s="51"/>
      <c r="F23" s="51"/>
      <c r="G23" s="51"/>
      <c r="H23" s="51"/>
      <c r="I23" s="51"/>
      <c r="J23" s="51"/>
      <c r="K23" s="51"/>
      <c r="L23" s="51"/>
      <c r="M23" s="51"/>
      <c r="N23" s="51"/>
      <c r="O23" s="51"/>
      <c r="P23" s="51"/>
    </row>
    <row r="24" ht="17.25">
      <c r="A24" s="241"/>
      <c r="B24" s="88" t="s">
        <v>37</v>
      </c>
      <c r="C24" s="25" t="s">
        <v>38</v>
      </c>
      <c r="D24" s="25" t="s">
        <v>39</v>
      </c>
      <c r="E24" s="25" t="s">
        <v>39</v>
      </c>
      <c r="F24" s="25" t="s">
        <v>40</v>
      </c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5" customFormat="1">
      <c r="A25" s="241"/>
      <c r="B25" s="10" t="s">
        <v>41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8" t="s">
        <v>42</v>
      </c>
      <c r="C26" s="24">
        <v>5</v>
      </c>
      <c r="D26" s="24">
        <v>5</v>
      </c>
      <c r="E26" s="24">
        <v>6</v>
      </c>
      <c r="F26" s="24">
        <v>0</v>
      </c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5" customFormat="1">
      <c r="A27" s="241"/>
      <c r="B27" s="89" t="s">
        <v>43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88" t="s">
        <v>44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5" customFormat="1">
      <c r="A29" s="241"/>
      <c r="B29" s="9" t="s">
        <v>45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8" t="s">
        <v>46</v>
      </c>
      <c r="C30" s="24" t="s">
        <v>47</v>
      </c>
      <c r="D30" s="24" t="s">
        <v>47</v>
      </c>
      <c r="E30" s="24" t="s">
        <v>47</v>
      </c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5" customFormat="1">
      <c r="A31" s="241"/>
      <c r="B31" s="89" t="s">
        <v>48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88" t="s">
        <v>49</v>
      </c>
      <c r="C32" s="25">
        <v>4</v>
      </c>
      <c r="D32" s="25">
        <v>4</v>
      </c>
      <c r="E32" s="25">
        <v>4</v>
      </c>
      <c r="F32" s="25">
        <v>0</v>
      </c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5" customFormat="1">
      <c r="A33" s="241"/>
      <c r="B33" s="89" t="s">
        <v>50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51</v>
      </c>
      <c r="C34" s="24" t="s">
        <v>52</v>
      </c>
      <c r="D34" s="24" t="s">
        <v>53</v>
      </c>
      <c r="E34" s="24" t="s">
        <v>54</v>
      </c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5" customFormat="1">
      <c r="A35" s="241"/>
      <c r="B35" s="28" t="s">
        <v>55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56</v>
      </c>
      <c r="C36" s="25" t="s">
        <v>57</v>
      </c>
      <c r="D36" s="25" t="s">
        <v>57</v>
      </c>
      <c r="E36" s="25" t="s">
        <v>57</v>
      </c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5" customFormat="1">
      <c r="A37" s="241"/>
      <c r="B37" s="28" t="s">
        <v>58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59</v>
      </c>
      <c r="C38" s="25" t="s">
        <v>60</v>
      </c>
      <c r="D38" s="25" t="s">
        <v>60</v>
      </c>
      <c r="E38" s="25" t="s">
        <v>60</v>
      </c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5" customFormat="1">
      <c r="A39" s="241"/>
      <c r="B39" s="28" t="s">
        <v>61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62</v>
      </c>
      <c r="C40" s="26" t="s">
        <v>60</v>
      </c>
      <c r="D40" s="26" t="s">
        <v>60</v>
      </c>
      <c r="E40" s="26" t="s">
        <v>60</v>
      </c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5" customFormat="1">
      <c r="A41" s="241"/>
      <c r="B41" s="29" t="s">
        <v>63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64</v>
      </c>
      <c r="B42" s="280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5"/>
      <c r="R42" s="5"/>
      <c r="S42" s="5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5"/>
      <c r="S43" s="5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5"/>
      <c r="R44" s="5"/>
      <c r="S44" s="5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5"/>
      <c r="R45" s="5"/>
      <c r="S45" s="5"/>
    </row>
    <row r="46">
      <c r="G46" s="21"/>
    </row>
  </sheetData>
  <mergeCells>
    <mergeCell ref="B42:P45"/>
    <mergeCell ref="A3:A33"/>
    <mergeCell ref="A34:A35"/>
    <mergeCell ref="A36:A41"/>
    <mergeCell ref="I11:L11"/>
    <mergeCell ref="M11:O11"/>
    <mergeCell ref="C4:P4"/>
    <mergeCell ref="C3:P3"/>
    <mergeCell ref="C5:P5"/>
    <mergeCell ref="C6:P6"/>
    <mergeCell ref="M10:O10"/>
    <mergeCell ref="C11:H11"/>
    <mergeCell ref="C2:H2"/>
    <mergeCell ref="I2:L2"/>
    <mergeCell ref="M2:O2"/>
    <mergeCell ref="A42:A45"/>
    <mergeCell ref="C7:H7"/>
    <mergeCell ref="I7:L7"/>
    <mergeCell ref="M7:O7"/>
    <mergeCell ref="C9:H9"/>
    <mergeCell ref="I9:L9"/>
    <mergeCell ref="M9:O9"/>
    <mergeCell ref="C8:H8"/>
    <mergeCell ref="I8:L8"/>
    <mergeCell ref="M8:O8"/>
    <mergeCell ref="M13:O13"/>
    <mergeCell ref="C10:H10"/>
    <mergeCell ref="I10:L10"/>
    <mergeCell ref="C1:P1"/>
    <mergeCell ref="A1:B1"/>
    <mergeCell ref="C16:H16"/>
    <mergeCell ref="I16:L16"/>
    <mergeCell ref="M16:O16"/>
    <mergeCell ref="C14:H14"/>
    <mergeCell ref="I14:L14"/>
    <mergeCell ref="M14:O14"/>
    <mergeCell ref="C15:H15"/>
    <mergeCell ref="I15:L15"/>
    <mergeCell ref="M15:O15"/>
    <mergeCell ref="C12:H12"/>
    <mergeCell ref="I12:L12"/>
    <mergeCell ref="M12:O12"/>
    <mergeCell ref="C13:H13"/>
    <mergeCell ref="I13:L13"/>
  </mergeCells>
  <conditionalFormatting sqref="C22:E22 C4 H22:O22">
    <cfRule type="cellIs" dxfId="0" priority="143" operator="greaterThan">
      <formula>0</formula>
    </cfRule>
  </conditionalFormatting>
  <conditionalFormatting sqref="C21:E21 H21:O21">
    <cfRule type="expression" dxfId="1" priority="122">
      <formula>ISERROR(C21)</formula>
    </cfRule>
  </conditionalFormatting>
  <conditionalFormatting sqref="C21:E21 H21:O21">
    <cfRule type="cellIs" dxfId="1" priority="121" operator="equal">
      <formula>0</formula>
    </cfRule>
  </conditionalFormatting>
  <conditionalFormatting sqref="C21:E21 H21:O21">
    <cfRule type="cellIs" dxfId="3" priority="120" operator="greaterThan">
      <formula>0</formula>
    </cfRule>
  </conditionalFormatting>
  <conditionalFormatting sqref="C27:O27 D29:O29 D33:O33">
    <cfRule type="cellIs" dxfId="0" priority="119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113">
      <formula>ISBLANK(C8)</formula>
    </cfRule>
  </conditionalFormatting>
  <conditionalFormatting sqref="C29">
    <cfRule type="cellIs" dxfId="0" priority="115" operator="notEqual">
      <formula>VALUE(C28)</formula>
    </cfRule>
  </conditionalFormatting>
  <conditionalFormatting sqref="C29">
    <cfRule type="expression" dxfId="10" priority="114">
      <formula>ISBLANK(C29)</formula>
    </cfRule>
  </conditionalFormatting>
  <conditionalFormatting sqref="C8:O8 C10:O10 C12:O12 C14:O14 C16:O16 C31:O31 D35:O35 D37:O37 D25:O25 D39:O39 D41:O41">
    <cfRule type="cellIs" dxfId="0" priority="118" operator="notEqual">
      <formula>C7</formula>
    </cfRule>
  </conditionalFormatting>
  <conditionalFormatting sqref="C31">
    <cfRule type="expression" dxfId="10" priority="112">
      <formula>ISBLANK(C31)</formula>
    </cfRule>
  </conditionalFormatting>
  <conditionalFormatting sqref="C33">
    <cfRule type="cellIs" dxfId="0" priority="111" operator="notEqual">
      <formula>VALUE(C32)</formula>
    </cfRule>
  </conditionalFormatting>
  <conditionalFormatting sqref="C33">
    <cfRule type="expression" dxfId="10" priority="110">
      <formula>ISBLANK(C33)</formula>
    </cfRule>
  </conditionalFormatting>
  <conditionalFormatting sqref="C35">
    <cfRule type="cellIs" dxfId="0" priority="107" operator="notEqual">
      <formula>C34</formula>
    </cfRule>
  </conditionalFormatting>
  <conditionalFormatting sqref="C35">
    <cfRule type="expression" dxfId="10" priority="106">
      <formula>ISBLANK(C35)</formula>
    </cfRule>
  </conditionalFormatting>
  <conditionalFormatting sqref="C37">
    <cfRule type="cellIs" dxfId="0" priority="99" operator="notEqual">
      <formula>C36</formula>
    </cfRule>
  </conditionalFormatting>
  <conditionalFormatting sqref="C37">
    <cfRule type="expression" dxfId="10" priority="98">
      <formula>ISBLANK(C37)</formula>
    </cfRule>
  </conditionalFormatting>
  <conditionalFormatting sqref="C6">
    <cfRule type="expression" dxfId="10" priority="89">
      <formula>ISBLANK(C6)</formula>
    </cfRule>
    <cfRule type="cellIs" dxfId="0" priority="90" operator="notEqual">
      <formula>C5</formula>
    </cfRule>
  </conditionalFormatting>
  <conditionalFormatting sqref="C25">
    <cfRule type="cellIs" dxfId="0" priority="78" operator="notEqual">
      <formula>C24</formula>
    </cfRule>
  </conditionalFormatting>
  <conditionalFormatting sqref="C25">
    <cfRule type="expression" dxfId="10" priority="77">
      <formula>ISBLANK(C25)</formula>
    </cfRule>
  </conditionalFormatting>
  <conditionalFormatting sqref="C39">
    <cfRule type="cellIs" dxfId="0" priority="68" operator="notEqual">
      <formula>C38</formula>
    </cfRule>
  </conditionalFormatting>
  <conditionalFormatting sqref="C39">
    <cfRule type="expression" dxfId="10" priority="67">
      <formula>ISBLANK(C39)</formula>
    </cfRule>
  </conditionalFormatting>
  <conditionalFormatting sqref="C41">
    <cfRule type="cellIs" dxfId="0" priority="66" operator="notEqual">
      <formula>C40</formula>
    </cfRule>
  </conditionalFormatting>
  <conditionalFormatting sqref="C41">
    <cfRule type="expression" dxfId="10" priority="65">
      <formula>ISBLANK(C41)</formula>
    </cfRule>
  </conditionalFormatting>
  <conditionalFormatting sqref="C24:O41">
    <cfRule type="expression" dxfId="1" priority="64" stopIfTrue="1">
      <formula>OR(C$22="Free",C$22="Telenor",C$22="Mtel",C$22="Telenor&amp;Mtel")</formula>
    </cfRule>
  </conditionalFormatting>
  <conditionalFormatting sqref="F22:G22">
    <cfRule type="cellIs" dxfId="0" priority="22" operator="greaterThan">
      <formula>0</formula>
    </cfRule>
  </conditionalFormatting>
  <conditionalFormatting sqref="F21:G21">
    <cfRule type="expression" dxfId="1" priority="21">
      <formula>ISERROR(F21)</formula>
    </cfRule>
  </conditionalFormatting>
  <conditionalFormatting sqref="F21:G21">
    <cfRule type="cellIs" dxfId="1" priority="20" operator="equal">
      <formula>0</formula>
    </cfRule>
  </conditionalFormatting>
  <conditionalFormatting sqref="F21:G21">
    <cfRule type="cellIs" dxfId="3" priority="19" operator="greaterThan">
      <formula>0</formula>
    </cfRule>
  </conditionalFormatting>
  <conditionalFormatting sqref="P22">
    <cfRule type="cellIs" dxfId="0" priority="18" operator="greaterThan">
      <formula>0</formula>
    </cfRule>
  </conditionalFormatting>
  <conditionalFormatting sqref="P21">
    <cfRule type="expression" dxfId="1" priority="17">
      <formula>ISERROR(P21)</formula>
    </cfRule>
  </conditionalFormatting>
  <conditionalFormatting sqref="P21">
    <cfRule type="cellIs" dxfId="1" priority="16" operator="equal">
      <formula>0</formula>
    </cfRule>
  </conditionalFormatting>
  <conditionalFormatting sqref="P21">
    <cfRule type="cellIs" dxfId="3" priority="15" operator="greaterThan">
      <formula>0</formula>
    </cfRule>
  </conditionalFormatting>
  <conditionalFormatting sqref="P27 P29 P33">
    <cfRule type="cellIs" dxfId="0" priority="14" operator="notEqual">
      <formula>VALUE(P26)</formula>
    </cfRule>
  </conditionalFormatting>
  <conditionalFormatting sqref="P8 P10 P12 P14 P16 P27 P29 P31 P33 P35 P37 P25 P39 P41">
    <cfRule type="expression" dxfId="10" priority="12">
      <formula>ISBLANK(P8)</formula>
    </cfRule>
  </conditionalFormatting>
  <conditionalFormatting sqref="P8 P10 P12 P14 P16 P31 P35 P37 P25 P39 P41">
    <cfRule type="cellIs" dxfId="0" priority="13" operator="notEqual">
      <formula>P7</formula>
    </cfRule>
  </conditionalFormatting>
  <conditionalFormatting sqref="P24:P41">
    <cfRule type="expression" dxfId="1" priority="9" stopIfTrue="1">
      <formula>OR(P$22="Free",P$22="Telenor",P$22="Mtel",P$22="Telenor&amp;Mtel")</formula>
    </cfRule>
  </conditionalFormatting>
  <conditionalFormatting sqref="C19">
    <cfRule type="cellIs" dxfId="1" priority="6" operator="equal">
      <formula>0</formula>
    </cfRule>
    <cfRule type="expression" dxfId="345" priority="8">
      <formula>ISERROR(C19)</formula>
    </cfRule>
  </conditionalFormatting>
  <conditionalFormatting sqref="D19:P19">
    <cfRule type="cellIs" dxfId="1" priority="4" operator="equal">
      <formula>0</formula>
    </cfRule>
    <cfRule type="expression" dxfId="345" priority="5">
      <formula>ISERROR(D19)</formula>
    </cfRule>
  </conditionalFormatting>
  <conditionalFormatting sqref="C23:P23">
    <cfRule type="cellIs" dxfId="0" priority="3" operator="notEqual">
      <formula>C22</formula>
    </cfRule>
  </conditionalFormatting>
  <conditionalFormatting sqref="C23:P23">
    <cfRule type="expression" dxfId="10" priority="2">
      <formula>ISBLANK(C23)</formula>
    </cfRule>
  </conditionalFormatting>
  <conditionalFormatting sqref="C23:P23">
    <cfRule type="expression" dxfId="1" priority="1" stopIfTrue="1">
      <formula>OR(C$22="Free",C$22="Telenor",C$22="Mtel",C$22="Telenor&amp;Mtel")</formula>
    </cfRule>
  </conditionalFormatting>
  <dataValidations count="165">
    <dataValidation type="list" xr:uid="{73FDD5A5-7D6E-4103-B7F9-61CD400546D2}" sqref="C2" showErrorMessage="1" errorTitle="An invalid feedback was entered" error="Please choose feedback from drop down only.">
      <formula1>"1,2,3"</formula1>
    </dataValidation>
    <dataValidation type="list" xr:uid="{47F1DB41-8677-4E7C-BFEA-AC75ADA8576B}" sqref="D2" showErrorMessage="1" errorTitle="An invalid feedback was entered" error="Please choose feedback from drop down only.">
      <formula1>"1,2,3"</formula1>
    </dataValidation>
    <dataValidation type="list" xr:uid="{2C40B438-8555-4CAB-953D-CD65D85E7CA1}" sqref="E2" showErrorMessage="1" errorTitle="An invalid feedback was entered" error="Please choose feedback from drop down only.">
      <formula1>"1,2,3"</formula1>
    </dataValidation>
    <dataValidation type="list" xr:uid="{CC25D90A-857A-458F-95C0-CAF0C04284FD}" sqref="F2" showErrorMessage="1" errorTitle="An invalid feedback was entered" error="Please choose feedback from drop down only.">
      <formula1>"1,2,3"</formula1>
    </dataValidation>
    <dataValidation type="list" xr:uid="{BDCDD03B-477F-4A5E-B226-2721CCD87C84}" sqref="G2" showErrorMessage="1" errorTitle="An invalid feedback was entered" error="Please choose feedback from drop down only.">
      <formula1>"1,2,3"</formula1>
    </dataValidation>
    <dataValidation type="list" xr:uid="{6B3FC0F4-15F1-41F9-8A4B-D8D3B91030A9}" sqref="H2" showErrorMessage="1" errorTitle="An invalid feedback was entered" error="Please choose feedback from drop down only.">
      <formula1>"1,2,3"</formula1>
    </dataValidation>
    <dataValidation type="list" xr:uid="{1ACCA96D-3977-4DD3-A253-0E777758983E}" sqref="I2" showErrorMessage="1" errorTitle="An invalid feedback was entered" error="Please choose feedback from drop down only.">
      <formula1>"1,2,3"</formula1>
    </dataValidation>
    <dataValidation type="list" xr:uid="{908B6877-06D7-4042-836C-B25A12FE011C}" sqref="J2" showErrorMessage="1" errorTitle="An invalid feedback was entered" error="Please choose feedback from drop down only.">
      <formula1>"1,2,3"</formula1>
    </dataValidation>
    <dataValidation type="list" xr:uid="{8F3059B4-7BA3-42BD-BB62-6F20A5229671}" sqref="K2" showErrorMessage="1" errorTitle="An invalid feedback was entered" error="Please choose feedback from drop down only.">
      <formula1>"1,2,3"</formula1>
    </dataValidation>
    <dataValidation type="list" xr:uid="{CEC48BBD-B60C-4ADF-8BC0-C023C49932D6}" sqref="L2" showErrorMessage="1" errorTitle="An invalid feedback was entered" error="Please choose feedback from drop down only.">
      <formula1>"1,2,3"</formula1>
    </dataValidation>
    <dataValidation type="list" xr:uid="{4BF6F502-33B5-4A7C-83CA-7C42635BB41D}" sqref="M2" showErrorMessage="1" errorTitle="An invalid feedback was entered" error="Please choose feedback from drop down only.">
      <formula1>"1,2,3"</formula1>
    </dataValidation>
    <dataValidation type="list" xr:uid="{CC629794-B7D9-4C88-B16D-97E04FF429BC}" sqref="N2" showErrorMessage="1" errorTitle="An invalid feedback was entered" error="Please choose feedback from drop down only.">
      <formula1>"1,2,3"</formula1>
    </dataValidation>
    <dataValidation type="list" xr:uid="{CDFC0D22-E270-45FE-BA37-E13F201D6AE9}" sqref="O2" showErrorMessage="1" errorTitle="An invalid feedback was entered" error="Please choose feedback from drop down only.">
      <formula1>"1,2,3"</formula1>
    </dataValidation>
    <dataValidation type="list" xr:uid="{55C45596-7AA3-4D78-937C-C04E58DBCBF0}" sqref="P2" showErrorMessage="1" errorTitle="An invalid feedback was entered" error="Please choose feedback from drop down only.">
      <formula1>"1,2,3"</formula1>
    </dataValidation>
    <dataValidation type="list" xr:uid="{C7EB5C9C-5767-433A-8FEB-204669A038A4}" sqref="Q2" showErrorMessage="1" errorTitle="An invalid feedback was entered" error="Please choose feedback from drop down only.">
      <formula1>"1,2,3"</formula1>
    </dataValidation>
    <dataValidation type="list" xr:uid="{3E090577-EAED-48C2-80D4-D253BC49504E}" sqref="C17" showErrorMessage="1" errorTitle="An invalid feedback was entered" error="Please choose feedback from drop down only.">
      <formula1>"1-2,3-4,5-6,7-8,9-10,N/A"</formula1>
    </dataValidation>
    <dataValidation type="list" xr:uid="{8D112E02-FD87-4D21-9CCA-3A9C27DC6123}" sqref="D17" showErrorMessage="1" errorTitle="An invalid feedback was entered" error="Please choose feedback from drop down only.">
      <formula1>"1-2,3-4,5-6,7-8,9-10,N/A"</formula1>
    </dataValidation>
    <dataValidation type="list" xr:uid="{C4BB4734-19B0-4D2D-93C2-747FAEA6C370}" sqref="E17" showErrorMessage="1" errorTitle="An invalid feedback was entered" error="Please choose feedback from drop down only.">
      <formula1>"1-2,3-4,5-6,7-8,9-10,N/A"</formula1>
    </dataValidation>
    <dataValidation type="list" xr:uid="{BBE65E2F-D9C3-44A3-A5CD-F1858769636B}" sqref="F17" showErrorMessage="1" errorTitle="An invalid feedback was entered" error="Please choose feedback from drop down only.">
      <formula1>"1-2,3-4,5-6,7-8,9-10,N/A"</formula1>
    </dataValidation>
    <dataValidation type="list" xr:uid="{BF6A366C-CBD1-4C03-843F-51CA1F455106}" sqref="G17" showErrorMessage="1" errorTitle="An invalid feedback was entered" error="Please choose feedback from drop down only.">
      <formula1>"1-2,3-4,5-6,7-8,9-10,N/A"</formula1>
    </dataValidation>
    <dataValidation type="list" xr:uid="{1C1C13D9-C7E9-49D4-8804-06D0D3E88C0D}" sqref="H17" showErrorMessage="1" errorTitle="An invalid feedback was entered" error="Please choose feedback from drop down only.">
      <formula1>"1-2,3-4,5-6,7-8,9-10,N/A"</formula1>
    </dataValidation>
    <dataValidation type="list" xr:uid="{8C83C62C-4CC7-47C2-8108-51AFDAB3393E}" sqref="I17" showErrorMessage="1" errorTitle="An invalid feedback was entered" error="Please choose feedback from drop down only.">
      <formula1>"1-2,3-4,5-6,7-8,9-10,N/A"</formula1>
    </dataValidation>
    <dataValidation type="list" xr:uid="{8EC8826C-307C-403D-B004-62B0E269F90A}" sqref="J17" showErrorMessage="1" errorTitle="An invalid feedback was entered" error="Please choose feedback from drop down only.">
      <formula1>"1-2,3-4,5-6,7-8,9-10,N/A"</formula1>
    </dataValidation>
    <dataValidation type="list" xr:uid="{A591B32C-A1AB-46E8-8759-9A4044E561BA}" sqref="K17" showErrorMessage="1" errorTitle="An invalid feedback was entered" error="Please choose feedback from drop down only.">
      <formula1>"1-2,3-4,5-6,7-8,9-10,N/A"</formula1>
    </dataValidation>
    <dataValidation type="list" xr:uid="{B6E89457-1DAE-42AD-AE19-C90168FEBD5F}" sqref="L17" showErrorMessage="1" errorTitle="An invalid feedback was entered" error="Please choose feedback from drop down only.">
      <formula1>"1-2,3-4,5-6,7-8,9-10,N/A"</formula1>
    </dataValidation>
    <dataValidation type="list" xr:uid="{54E526FC-95D5-45DC-9A08-B57616E64BEB}" sqref="M17" showErrorMessage="1" errorTitle="An invalid feedback was entered" error="Please choose feedback from drop down only.">
      <formula1>"1-2,3-4,5-6,7-8,9-10,N/A"</formula1>
    </dataValidation>
    <dataValidation type="list" xr:uid="{A28E1902-2D76-4AFC-ACD1-3F0E9A385C2B}" sqref="N17" showErrorMessage="1" errorTitle="An invalid feedback was entered" error="Please choose feedback from drop down only.">
      <formula1>"1-2,3-4,5-6,7-8,9-10,N/A"</formula1>
    </dataValidation>
    <dataValidation type="list" xr:uid="{8B3AB8EB-9B63-4E32-96A3-DA714CDFCCE3}" sqref="O17" showErrorMessage="1" errorTitle="An invalid feedback was entered" error="Please choose feedback from drop down only.">
      <formula1>"1-2,3-4,5-6,7-8,9-10,N/A"</formula1>
    </dataValidation>
    <dataValidation type="list" xr:uid="{054E7E07-2E72-4E02-BB72-9669F9E68719}" sqref="P17" showErrorMessage="1" errorTitle="An invalid feedback was entered" error="Please choose feedback from drop down only.">
      <formula1>"1-2,3-4,5-6,7-8,9-10,N/A"</formula1>
    </dataValidation>
    <dataValidation type="list" xr:uid="{7090C663-4321-46C3-819B-8ECC7F46FB1B}" sqref="Q17" showErrorMessage="1" errorTitle="An invalid feedback was entered" error="Please choose feedback from drop down only.">
      <formula1>"1-2,3-4,5-6,7-8,9-10,N/A"</formula1>
    </dataValidation>
    <dataValidation type="list" xr:uid="{4D51CDC3-E8B2-4813-83B7-06DBF1D6377D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9E000915-70A1-49B3-9F64-2917C46573FA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FE5479BD-3BF4-40F3-9AD9-73034E469C3F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24831B1F-9E98-4325-8AFE-9F066C19FAFF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B22DE247-BE30-4FC8-807D-3095F7A22003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316FC0A4-FEE7-4758-B654-92A965927C1B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3ACA31D6-23A9-40ED-AD2A-B5D029661EC5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F2AC2F49-C49F-4167-A723-B5D8CD58096A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DD439EAC-CAE1-4AC2-A165-31FE1F89CE78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79039CEF-2415-48DB-92E1-3B2F8A08CB8A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392B3D5F-829D-4019-99FF-B7F5F4A74F4A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13E92E41-E3CD-4655-8648-08345BD83027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6D3A70EF-7319-4F2B-97BE-0F3D2441A184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D802C9A9-04F8-4E09-B806-964F400B329E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5DF0E20B-2271-4693-A697-CE631D0AFE17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29A2A00F-E7A2-4192-8709-3555861E628D}" sqref="C23" showErrorMessage="1" errorTitle="An invalid feedback was entered" error="Please choose feedback from drop down only.">
      <formula1>"Yetel,Bulsatcom,A1,Yetel&amp;A1,N/A"</formula1>
    </dataValidation>
    <dataValidation type="list" xr:uid="{CB0C333A-FE0F-474C-ACA9-DC97B2147957}" sqref="D23" showErrorMessage="1" errorTitle="An invalid feedback was entered" error="Please choose feedback from drop down only.">
      <formula1>"Yetel,Bulsatcom,A1,Yetel&amp;A1,N/A"</formula1>
    </dataValidation>
    <dataValidation type="list" xr:uid="{DCF3E457-C221-4CA1-8477-4C7427D9E213}" sqref="E23" showErrorMessage="1" errorTitle="An invalid feedback was entered" error="Please choose feedback from drop down only.">
      <formula1>"Yetel,Bulsatcom,A1,Yetel&amp;A1,N/A"</formula1>
    </dataValidation>
    <dataValidation type="list" xr:uid="{CD718D02-1E60-4905-AE43-6A3D88F2088A}" sqref="F23" showErrorMessage="1" errorTitle="An invalid feedback was entered" error="Please choose feedback from drop down only.">
      <formula1>"Yetel,Bulsatcom,A1,Yetel&amp;A1,N/A"</formula1>
    </dataValidation>
    <dataValidation type="list" xr:uid="{9AD96615-220A-479F-A6DC-44DACAA4433A}" sqref="G23" showErrorMessage="1" errorTitle="An invalid feedback was entered" error="Please choose feedback from drop down only.">
      <formula1>"Yetel,Bulsatcom,A1,Yetel&amp;A1,N/A"</formula1>
    </dataValidation>
    <dataValidation type="list" xr:uid="{6B0862DF-41B3-40C2-B1CC-9F02C531958E}" sqref="H23" showErrorMessage="1" errorTitle="An invalid feedback was entered" error="Please choose feedback from drop down only.">
      <formula1>"Yetel,Bulsatcom,A1,Yetel&amp;A1,N/A"</formula1>
    </dataValidation>
    <dataValidation type="list" xr:uid="{86230455-5DB3-4191-B653-1CFE17F15AD5}" sqref="I23" showErrorMessage="1" errorTitle="An invalid feedback was entered" error="Please choose feedback from drop down only.">
      <formula1>"Yetel,Bulsatcom,A1,Yetel&amp;A1,N/A"</formula1>
    </dataValidation>
    <dataValidation type="list" xr:uid="{2953230F-28C8-4E26-B138-8A50D0BB83D5}" sqref="J23" showErrorMessage="1" errorTitle="An invalid feedback was entered" error="Please choose feedback from drop down only.">
      <formula1>"Yetel,Bulsatcom,A1,Yetel&amp;A1,N/A"</formula1>
    </dataValidation>
    <dataValidation type="list" xr:uid="{9817AF28-97DD-4F94-BF59-3BA013F886F2}" sqref="K23" showErrorMessage="1" errorTitle="An invalid feedback was entered" error="Please choose feedback from drop down only.">
      <formula1>"Yetel,Bulsatcom,A1,Yetel&amp;A1,N/A"</formula1>
    </dataValidation>
    <dataValidation type="list" xr:uid="{907CA60D-22E9-43A4-90CC-2D2A3EE0B777}" sqref="L23" showErrorMessage="1" errorTitle="An invalid feedback was entered" error="Please choose feedback from drop down only.">
      <formula1>"Yetel,Bulsatcom,A1,Yetel&amp;A1,N/A"</formula1>
    </dataValidation>
    <dataValidation type="list" xr:uid="{B42E78ED-572E-4132-B909-B3C52A1522E4}" sqref="M23" showErrorMessage="1" errorTitle="An invalid feedback was entered" error="Please choose feedback from drop down only.">
      <formula1>"Yetel,Bulsatcom,A1,Yetel&amp;A1,N/A"</formula1>
    </dataValidation>
    <dataValidation type="list" xr:uid="{D2A5ABC8-5C6F-426B-9704-B0C756748ECE}" sqref="N23" showErrorMessage="1" errorTitle="An invalid feedback was entered" error="Please choose feedback from drop down only.">
      <formula1>"Yetel,Bulsatcom,A1,Yetel&amp;A1,N/A"</formula1>
    </dataValidation>
    <dataValidation type="list" xr:uid="{85C7C0BF-5DA0-440A-A1E2-81CE8ECD0340}" sqref="O23" showErrorMessage="1" errorTitle="An invalid feedback was entered" error="Please choose feedback from drop down only.">
      <formula1>"Yetel,Bulsatcom,A1,Yetel&amp;A1,N/A"</formula1>
    </dataValidation>
    <dataValidation type="list" xr:uid="{6481FE1C-D690-4714-952E-C5649F5809D5}" sqref="P23" showErrorMessage="1" errorTitle="An invalid feedback was entered" error="Please choose feedback from drop down only.">
      <formula1>"Yetel,Bulsatcom,A1,Yetel&amp;A1,N/A"</formula1>
    </dataValidation>
    <dataValidation type="list" xr:uid="{1B90DD80-3666-4C20-A1CE-CFE86302566B}" sqref="Q23" showErrorMessage="1" errorTitle="An invalid feedback was entered" error="Please choose feedback from drop down only.">
      <formula1>"Yetel,Bulsatcom,A1,Yetel&amp;A1,N/A"</formula1>
    </dataValidation>
    <dataValidation type="list" xr:uid="{9099739E-FBA6-433E-A70C-F86349C36BB6}" sqref="C31" showErrorMessage="1" errorTitle="An invalid feedback was entered" error="Please choose feedback from drop down only.">
      <formula1>"1/2,5/4,7/8,RRU TOP JUMPER,N/A"</formula1>
    </dataValidation>
    <dataValidation type="list" xr:uid="{42763B18-7651-4376-B5EE-8FD95BA190D2}" sqref="D31" showErrorMessage="1" errorTitle="An invalid feedback was entered" error="Please choose feedback from drop down only.">
      <formula1>"1/2,5/4,7/8,RRU TOP JUMPER,N/A"</formula1>
    </dataValidation>
    <dataValidation type="list" xr:uid="{0A231CFC-578F-4336-B25C-28C53886910D}" sqref="E31" showErrorMessage="1" errorTitle="An invalid feedback was entered" error="Please choose feedback from drop down only.">
      <formula1>"1/2,5/4,7/8,RRU TOP JUMPER,N/A"</formula1>
    </dataValidation>
    <dataValidation type="list" xr:uid="{E7A46F0C-BC64-4842-AC06-3539BE611681}" sqref="F31" showErrorMessage="1" errorTitle="An invalid feedback was entered" error="Please choose feedback from drop down only.">
      <formula1>"1/2,5/4,7/8,RRU TOP JUMPER,N/A"</formula1>
    </dataValidation>
    <dataValidation type="list" xr:uid="{BE455274-012E-43BB-AE6E-B924D38A31B5}" sqref="G31" showErrorMessage="1" errorTitle="An invalid feedback was entered" error="Please choose feedback from drop down only.">
      <formula1>"1/2,5/4,7/8,RRU TOP JUMPER,N/A"</formula1>
    </dataValidation>
    <dataValidation type="list" xr:uid="{624FFDD5-3B0A-464E-B470-6A892E4623DB}" sqref="H31" showErrorMessage="1" errorTitle="An invalid feedback was entered" error="Please choose feedback from drop down only.">
      <formula1>"1/2,5/4,7/8,RRU TOP JUMPER,N/A"</formula1>
    </dataValidation>
    <dataValidation type="list" xr:uid="{3BF8CC76-2766-4887-A8CD-AEB5B5138B6B}" sqref="I31" showErrorMessage="1" errorTitle="An invalid feedback was entered" error="Please choose feedback from drop down only.">
      <formula1>"1/2,5/4,7/8,RRU TOP JUMPER,N/A"</formula1>
    </dataValidation>
    <dataValidation type="list" xr:uid="{82005AC3-BAF7-4A8F-BF0B-0EE5A8592DC1}" sqref="J31" showErrorMessage="1" errorTitle="An invalid feedback was entered" error="Please choose feedback from drop down only.">
      <formula1>"1/2,5/4,7/8,RRU TOP JUMPER,N/A"</formula1>
    </dataValidation>
    <dataValidation type="list" xr:uid="{79B3BEF1-CE54-4773-9E9D-8611DCBFC8D7}" sqref="K31" showErrorMessage="1" errorTitle="An invalid feedback was entered" error="Please choose feedback from drop down only.">
      <formula1>"1/2,5/4,7/8,RRU TOP JUMPER,N/A"</formula1>
    </dataValidation>
    <dataValidation type="list" xr:uid="{E25F3B32-4695-437A-AD2F-6D2993E8061C}" sqref="L31" showErrorMessage="1" errorTitle="An invalid feedback was entered" error="Please choose feedback from drop down only.">
      <formula1>"1/2,5/4,7/8,RRU TOP JUMPER,N/A"</formula1>
    </dataValidation>
    <dataValidation type="list" xr:uid="{71D5894A-D970-497A-BBF7-F0C625C957A8}" sqref="M31" showErrorMessage="1" errorTitle="An invalid feedback was entered" error="Please choose feedback from drop down only.">
      <formula1>"1/2,5/4,7/8,RRU TOP JUMPER,N/A"</formula1>
    </dataValidation>
    <dataValidation type="list" xr:uid="{558DB0BA-14AB-4D3F-95A6-541E597BC9B8}" sqref="N31" showErrorMessage="1" errorTitle="An invalid feedback was entered" error="Please choose feedback from drop down only.">
      <formula1>"1/2,5/4,7/8,RRU TOP JUMPER,N/A"</formula1>
    </dataValidation>
    <dataValidation type="list" xr:uid="{8EBEE59D-10C5-4326-AEA5-A997EA8DABE6}" sqref="O31" showErrorMessage="1" errorTitle="An invalid feedback was entered" error="Please choose feedback from drop down only.">
      <formula1>"1/2,5/4,7/8,RRU TOP JUMPER,N/A"</formula1>
    </dataValidation>
    <dataValidation type="list" xr:uid="{9DC38449-0A17-4759-9BB3-3AD29AD17FEF}" sqref="P31" showErrorMessage="1" errorTitle="An invalid feedback was entered" error="Please choose feedback from drop down only.">
      <formula1>"1/2,5/4,7/8,RRU TOP JUMPER,N/A"</formula1>
    </dataValidation>
    <dataValidation type="list" xr:uid="{E58BB567-8A05-42D2-A7C6-AEE6E1C6C936}" sqref="Q31" showErrorMessage="1" errorTitle="An invalid feedback was entered" error="Please choose feedback from drop down only.">
      <formula1>"1/2,5/4,7/8,RRU TOP JUMPER,N/A"</formula1>
    </dataValidation>
    <dataValidation type="list" xr:uid="{CE0064DC-C1F8-4E6E-A5E4-735DBE3EDC30}" sqref="C4" showErrorMessage="1" errorTitle="An invalid feedback was entered" error="Please choose feedback from drop down only.">
      <formula1>"1,2,3,4,5,6,N/A"</formula1>
    </dataValidation>
    <dataValidation type="list" xr:uid="{4E0C3711-0C86-4CAA-9BAF-34F77FE04A1C}" sqref="D4" showErrorMessage="1" errorTitle="An invalid feedback was entered" error="Please choose feedback from drop down only.">
      <formula1>"1,2,3,4,5,6,N/A"</formula1>
    </dataValidation>
    <dataValidation type="list" xr:uid="{C9EE056D-A8FB-454E-950F-31F213647E9B}" sqref="E4" showErrorMessage="1" errorTitle="An invalid feedback was entered" error="Please choose feedback from drop down only.">
      <formula1>"1,2,3,4,5,6,N/A"</formula1>
    </dataValidation>
    <dataValidation type="list" xr:uid="{5CC98EEE-A6A5-488A-98B3-8709BC4161BE}" sqref="F4" showErrorMessage="1" errorTitle="An invalid feedback was entered" error="Please choose feedback from drop down only.">
      <formula1>"1,2,3,4,5,6,N/A"</formula1>
    </dataValidation>
    <dataValidation type="list" xr:uid="{F396723A-C690-4385-B248-56CFAA93276B}" sqref="G4" showErrorMessage="1" errorTitle="An invalid feedback was entered" error="Please choose feedback from drop down only.">
      <formula1>"1,2,3,4,5,6,N/A"</formula1>
    </dataValidation>
    <dataValidation type="list" xr:uid="{299A41B2-EFA4-4CA8-BA2D-4B481BD681B2}" sqref="H4" showErrorMessage="1" errorTitle="An invalid feedback was entered" error="Please choose feedback from drop down only.">
      <formula1>"1,2,3,4,5,6,N/A"</formula1>
    </dataValidation>
    <dataValidation type="list" xr:uid="{2C394442-C5D1-4EA6-AD36-3634223ACE67}" sqref="I4" showErrorMessage="1" errorTitle="An invalid feedback was entered" error="Please choose feedback from drop down only.">
      <formula1>"1,2,3,4,5,6,N/A"</formula1>
    </dataValidation>
    <dataValidation type="list" xr:uid="{7BA26900-644A-4D47-8993-F8A47DDD63E4}" sqref="J4" showErrorMessage="1" errorTitle="An invalid feedback was entered" error="Please choose feedback from drop down only.">
      <formula1>"1,2,3,4,5,6,N/A"</formula1>
    </dataValidation>
    <dataValidation type="list" xr:uid="{D62CB30C-FAD8-472B-85E5-14EA066CC7E3}" sqref="K4" showErrorMessage="1" errorTitle="An invalid feedback was entered" error="Please choose feedback from drop down only.">
      <formula1>"1,2,3,4,5,6,N/A"</formula1>
    </dataValidation>
    <dataValidation type="list" xr:uid="{BC6DBD60-247E-4B56-B1F7-4572B9B4B50F}" sqref="L4" showErrorMessage="1" errorTitle="An invalid feedback was entered" error="Please choose feedback from drop down only.">
      <formula1>"1,2,3,4,5,6,N/A"</formula1>
    </dataValidation>
    <dataValidation type="list" xr:uid="{92D51BF5-BC15-4C3B-8B7A-8F1F0BA87FC2}" sqref="M4" showErrorMessage="1" errorTitle="An invalid feedback was entered" error="Please choose feedback from drop down only.">
      <formula1>"1,2,3,4,5,6,N/A"</formula1>
    </dataValidation>
    <dataValidation type="list" xr:uid="{29C2FB5A-EF4A-413A-AD01-9CAA9F8CB0D8}" sqref="N4" showErrorMessage="1" errorTitle="An invalid feedback was entered" error="Please choose feedback from drop down only.">
      <formula1>"1,2,3,4,5,6,N/A"</formula1>
    </dataValidation>
    <dataValidation type="list" xr:uid="{64A5E197-9709-4A21-B8FF-4730F45F11BF}" sqref="O4" showErrorMessage="1" errorTitle="An invalid feedback was entered" error="Please choose feedback from drop down only.">
      <formula1>"1,2,3,4,5,6,N/A"</formula1>
    </dataValidation>
    <dataValidation type="list" xr:uid="{26C36D80-3C91-4DA4-B682-2184D47D20C8}" sqref="P4" showErrorMessage="1" errorTitle="An invalid feedback was entered" error="Please choose feedback from drop down only.">
      <formula1>"1,2,3,4,5,6,N/A"</formula1>
    </dataValidation>
    <dataValidation type="list" xr:uid="{C9293748-27AA-47F3-8B32-FC271163974D}" sqref="Q4" showErrorMessage="1" errorTitle="An invalid feedback was entered" error="Please choose feedback from drop down only.">
      <formula1>"1,2,3,4,5,6,N/A"</formula1>
    </dataValidation>
    <dataValidation type="list" xr:uid="{65F157B3-DBCA-4725-A420-6064E196A823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BDB6742-5F2F-4E99-81EE-C1373A867C38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70C2CE7-62C8-4A32-9415-F3A759205494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7B8296F-F357-47AB-9EB4-72A85F62AC1A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EA1D89E-3EE1-4F89-9514-6612A3E6F946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E06C670-DAE4-406D-A2E5-7ADC0F53D34F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900DF2A-752B-41FC-A9EA-7E14A140AF0F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A9718DF-BCC5-47C8-88CB-C29E369C9BD0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05A4B7B-699A-4E9C-892F-F4235D53B7A5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FD61865-DDA9-4BA1-A7F5-26CB31201666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D0EB947-565B-41DB-9BEC-040CEB00E88B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967D0B1-D535-4876-80DB-838384B5E7E1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2FC6331-B3E6-4C25-A61E-48ED3451D24B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968B75C-FEB5-4979-B50D-7A626052484A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F0D6F4C-F6F6-483A-ABCD-19840A0949A6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B530DE3-3730-439E-91AA-EBF00244C05A}" sqref="C28" showErrorMessage="1" errorTitle="An invalid feedback was entered" error="Please choose feedback from drop down only.">
      <formula1>"Yes,No,FlexRET"</formula1>
    </dataValidation>
    <dataValidation type="list" xr:uid="{169F7CE1-BE89-4D45-9212-F7A0A06FB278}" sqref="D28" showErrorMessage="1" errorTitle="An invalid feedback was entered" error="Please choose feedback from drop down only.">
      <formula1>"Yes,No,FlexRET"</formula1>
    </dataValidation>
    <dataValidation type="list" xr:uid="{18E46A2D-6AB7-4971-A52D-0BF3C1D19D24}" sqref="E28" showErrorMessage="1" errorTitle="An invalid feedback was entered" error="Please choose feedback from drop down only.">
      <formula1>"Yes,No,FlexRET"</formula1>
    </dataValidation>
    <dataValidation type="list" xr:uid="{D3B7793F-1EF0-4061-89D3-B4AA1F4F6DE4}" sqref="F28" showErrorMessage="1" errorTitle="An invalid feedback was entered" error="Please choose feedback from drop down only.">
      <formula1>"Yes,No,FlexRET"</formula1>
    </dataValidation>
    <dataValidation type="list" xr:uid="{013BAE77-BD98-4468-957C-38CC1D421836}" sqref="G28" showErrorMessage="1" errorTitle="An invalid feedback was entered" error="Please choose feedback from drop down only.">
      <formula1>"Yes,No,FlexRET"</formula1>
    </dataValidation>
    <dataValidation type="list" xr:uid="{2510734E-04C8-4D0D-82A3-B4E7213EEB9E}" sqref="H28" showErrorMessage="1" errorTitle="An invalid feedback was entered" error="Please choose feedback from drop down only.">
      <formula1>"Yes,No,FlexRET"</formula1>
    </dataValidation>
    <dataValidation type="list" xr:uid="{4EAFCC60-3D9E-46C3-AF1B-7C19C00BA3FA}" sqref="I28" showErrorMessage="1" errorTitle="An invalid feedback was entered" error="Please choose feedback from drop down only.">
      <formula1>"Yes,No,FlexRET"</formula1>
    </dataValidation>
    <dataValidation type="list" xr:uid="{ECE4A5E8-D7E5-48A7-A899-25A330DCD3BB}" sqref="J28" showErrorMessage="1" errorTitle="An invalid feedback was entered" error="Please choose feedback from drop down only.">
      <formula1>"Yes,No,FlexRET"</formula1>
    </dataValidation>
    <dataValidation type="list" xr:uid="{94DD7DB5-4FC8-4894-9100-E61BAD070992}" sqref="K28" showErrorMessage="1" errorTitle="An invalid feedback was entered" error="Please choose feedback from drop down only.">
      <formula1>"Yes,No,FlexRET"</formula1>
    </dataValidation>
    <dataValidation type="list" xr:uid="{483601E8-41A8-4C1F-AA6D-B831202D3E3C}" sqref="L28" showErrorMessage="1" errorTitle="An invalid feedback was entered" error="Please choose feedback from drop down only.">
      <formula1>"Yes,No,FlexRET"</formula1>
    </dataValidation>
    <dataValidation type="list" xr:uid="{2DCE52B4-2A07-4367-BFB2-7C04873AFA5B}" sqref="M28" showErrorMessage="1" errorTitle="An invalid feedback was entered" error="Please choose feedback from drop down only.">
      <formula1>"Yes,No,FlexRET"</formula1>
    </dataValidation>
    <dataValidation type="list" xr:uid="{8E5CD469-8ABA-408A-A921-FDA97F84DF5D}" sqref="N28" showErrorMessage="1" errorTitle="An invalid feedback was entered" error="Please choose feedback from drop down only.">
      <formula1>"Yes,No,FlexRET"</formula1>
    </dataValidation>
    <dataValidation type="list" xr:uid="{2157E045-3B19-48DD-BB61-156D18B09721}" sqref="O28" showErrorMessage="1" errorTitle="An invalid feedback was entered" error="Please choose feedback from drop down only.">
      <formula1>"Yes,No,FlexRET"</formula1>
    </dataValidation>
    <dataValidation type="list" xr:uid="{AE1D0049-532B-4CE6-A5A4-4D1A88D072CB}" sqref="P28" showErrorMessage="1" errorTitle="An invalid feedback was entered" error="Please choose feedback from drop down only.">
      <formula1>"Yes,No,FlexRET"</formula1>
    </dataValidation>
    <dataValidation type="list" xr:uid="{782268FC-6E2C-4FDB-B73C-7064856D28AD}" sqref="Q28" showErrorMessage="1" errorTitle="An invalid feedback was entered" error="Please choose feedback from drop down only.">
      <formula1>"Yes,No,FlexRET"</formula1>
    </dataValidation>
    <dataValidation type="list" xr:uid="{1DF807B4-10C4-447B-9CE6-0932DB404AE3}" sqref="C29" showErrorMessage="1" errorTitle="An invalid feedback was entered" error="Please choose feedback from drop down only.">
      <formula1>"Yes,No,FlexRET"</formula1>
    </dataValidation>
    <dataValidation type="list" xr:uid="{67351031-0FDC-4C22-98C7-5B5887604E8B}" sqref="D29" showErrorMessage="1" errorTitle="An invalid feedback was entered" error="Please choose feedback from drop down only.">
      <formula1>"Yes,No,FlexRET"</formula1>
    </dataValidation>
    <dataValidation type="list" xr:uid="{71A94E36-A1D9-4391-A012-9267DA422287}" sqref="E29" showErrorMessage="1" errorTitle="An invalid feedback was entered" error="Please choose feedback from drop down only.">
      <formula1>"Yes,No,FlexRET"</formula1>
    </dataValidation>
    <dataValidation type="list" xr:uid="{097B8868-86C1-4DB0-AD22-7A43AE431224}" sqref="F29" showErrorMessage="1" errorTitle="An invalid feedback was entered" error="Please choose feedback from drop down only.">
      <formula1>"Yes,No,FlexRET"</formula1>
    </dataValidation>
    <dataValidation type="list" xr:uid="{DC132782-8DB3-469C-8ED9-4AE3038B98AF}" sqref="G29" showErrorMessage="1" errorTitle="An invalid feedback was entered" error="Please choose feedback from drop down only.">
      <formula1>"Yes,No,FlexRET"</formula1>
    </dataValidation>
    <dataValidation type="list" xr:uid="{E06191D4-6F3D-4334-A5D9-066FB9F238F3}" sqref="H29" showErrorMessage="1" errorTitle="An invalid feedback was entered" error="Please choose feedback from drop down only.">
      <formula1>"Yes,No,FlexRET"</formula1>
    </dataValidation>
    <dataValidation type="list" xr:uid="{132F82FD-715E-43B1-9474-D5A67ADF9B77}" sqref="I29" showErrorMessage="1" errorTitle="An invalid feedback was entered" error="Please choose feedback from drop down only.">
      <formula1>"Yes,No,FlexRET"</formula1>
    </dataValidation>
    <dataValidation type="list" xr:uid="{33D8DC13-873C-46BB-A4EB-6D45D591B36F}" sqref="J29" showErrorMessage="1" errorTitle="An invalid feedback was entered" error="Please choose feedback from drop down only.">
      <formula1>"Yes,No,FlexRET"</formula1>
    </dataValidation>
    <dataValidation type="list" xr:uid="{2356CF28-BA63-473C-A853-36F253B15449}" sqref="K29" showErrorMessage="1" errorTitle="An invalid feedback was entered" error="Please choose feedback from drop down only.">
      <formula1>"Yes,No,FlexRET"</formula1>
    </dataValidation>
    <dataValidation type="list" xr:uid="{B6945613-3523-432E-B38C-60D0B9547030}" sqref="L29" showErrorMessage="1" errorTitle="An invalid feedback was entered" error="Please choose feedback from drop down only.">
      <formula1>"Yes,No,FlexRET"</formula1>
    </dataValidation>
    <dataValidation type="list" xr:uid="{57AF4EA0-F966-4565-B875-28486359ECCE}" sqref="M29" showErrorMessage="1" errorTitle="An invalid feedback was entered" error="Please choose feedback from drop down only.">
      <formula1>"Yes,No,FlexRET"</formula1>
    </dataValidation>
    <dataValidation type="list" xr:uid="{1CF6E7EE-74D7-462D-9DE2-DAE97179DA41}" sqref="N29" showErrorMessage="1" errorTitle="An invalid feedback was entered" error="Please choose feedback from drop down only.">
      <formula1>"Yes,No,FlexRET"</formula1>
    </dataValidation>
    <dataValidation type="list" xr:uid="{BDC9ADB9-CA26-4EB8-917A-1448F9D95ED4}" sqref="O29" showErrorMessage="1" errorTitle="An invalid feedback was entered" error="Please choose feedback from drop down only.">
      <formula1>"Yes,No,FlexRET"</formula1>
    </dataValidation>
    <dataValidation type="list" xr:uid="{F6C2C2DF-8287-4F34-80CE-EAFB5737EB19}" sqref="P29" showErrorMessage="1" errorTitle="An invalid feedback was entered" error="Please choose feedback from drop down only.">
      <formula1>"Yes,No,FlexRET"</formula1>
    </dataValidation>
    <dataValidation type="list" xr:uid="{AF21AAB2-3B55-4F2D-B281-5C8D0CF40DB5}" sqref="Q29" showErrorMessage="1" errorTitle="An invalid feedback was entered" error="Please choose feedback from drop down only.">
      <formula1>"Yes,No,FlexRET"</formula1>
    </dataValidation>
    <dataValidation type="list" xr:uid="{EBEF9083-D054-4F81-B3DC-BF7D46DBBA57}" sqref="C25" showErrorMessage="1" errorTitle="An invalid feedback was entered" error="Please choose feedback from drop down only.">
      <formula1>"G,U,L,NR,GU,UL,GL,GUL,LNR,ULNR,None"</formula1>
    </dataValidation>
    <dataValidation type="list" xr:uid="{D1BEB0A0-F732-427F-BE00-E634E0E9B6A1}" sqref="D25" showErrorMessage="1" errorTitle="An invalid feedback was entered" error="Please choose feedback from drop down only.">
      <formula1>"G,U,L,NR,GU,UL,GL,GUL,LNR,ULNR,None"</formula1>
    </dataValidation>
    <dataValidation type="list" xr:uid="{411DB424-B11C-4645-9917-F8D0B3BF746F}" sqref="E25" showErrorMessage="1" errorTitle="An invalid feedback was entered" error="Please choose feedback from drop down only.">
      <formula1>"G,U,L,NR,GU,UL,GL,GUL,LNR,ULNR,None"</formula1>
    </dataValidation>
    <dataValidation type="list" xr:uid="{C8625906-2152-4367-AA5F-3A661383E302}" sqref="F25" showErrorMessage="1" errorTitle="An invalid feedback was entered" error="Please choose feedback from drop down only.">
      <formula1>"G,U,L,NR,GU,UL,GL,GUL,LNR,ULNR,None"</formula1>
    </dataValidation>
    <dataValidation type="list" xr:uid="{C9C69B34-D3D5-4B6A-822E-681733509CF5}" sqref="G25" showErrorMessage="1" errorTitle="An invalid feedback was entered" error="Please choose feedback from drop down only.">
      <formula1>"G,U,L,NR,GU,UL,GL,GUL,LNR,ULNR,None"</formula1>
    </dataValidation>
    <dataValidation type="list" xr:uid="{94828AC6-F9F4-45BE-9776-CC1736560FAB}" sqref="H25" showErrorMessage="1" errorTitle="An invalid feedback was entered" error="Please choose feedback from drop down only.">
      <formula1>"G,U,L,NR,GU,UL,GL,GUL,LNR,ULNR,None"</formula1>
    </dataValidation>
    <dataValidation type="list" xr:uid="{61D1D035-3C42-4206-9D7E-35FD67671B67}" sqref="I25" showErrorMessage="1" errorTitle="An invalid feedback was entered" error="Please choose feedback from drop down only.">
      <formula1>"G,U,L,NR,GU,UL,GL,GUL,LNR,ULNR,None"</formula1>
    </dataValidation>
    <dataValidation type="list" xr:uid="{DA53C353-4CD0-4F65-9276-3400EDFD6250}" sqref="J25" showErrorMessage="1" errorTitle="An invalid feedback was entered" error="Please choose feedback from drop down only.">
      <formula1>"G,U,L,NR,GU,UL,GL,GUL,LNR,ULNR,None"</formula1>
    </dataValidation>
    <dataValidation type="list" xr:uid="{CC19815B-EF24-42C6-8BBC-B4DB5C459549}" sqref="K25" showErrorMessage="1" errorTitle="An invalid feedback was entered" error="Please choose feedback from drop down only.">
      <formula1>"G,U,L,NR,GU,UL,GL,GUL,LNR,ULNR,None"</formula1>
    </dataValidation>
    <dataValidation type="list" xr:uid="{27322796-EB3C-4032-BED0-F5BE1938F086}" sqref="L25" showErrorMessage="1" errorTitle="An invalid feedback was entered" error="Please choose feedback from drop down only.">
      <formula1>"G,U,L,NR,GU,UL,GL,GUL,LNR,ULNR,None"</formula1>
    </dataValidation>
    <dataValidation type="list" xr:uid="{1ACCE53C-A1D5-4021-AB7B-30EBF38F83A0}" sqref="M25" showErrorMessage="1" errorTitle="An invalid feedback was entered" error="Please choose feedback from drop down only.">
      <formula1>"G,U,L,NR,GU,UL,GL,GUL,LNR,ULNR,None"</formula1>
    </dataValidation>
    <dataValidation type="list" xr:uid="{FC361D28-33DF-4187-BCCA-FCE92330B163}" sqref="N25" showErrorMessage="1" errorTitle="An invalid feedback was entered" error="Please choose feedback from drop down only.">
      <formula1>"G,U,L,NR,GU,UL,GL,GUL,LNR,ULNR,None"</formula1>
    </dataValidation>
    <dataValidation type="list" xr:uid="{545B3500-FBB7-4D69-A6AB-0A7BF7B3BB92}" sqref="O25" showErrorMessage="1" errorTitle="An invalid feedback was entered" error="Please choose feedback from drop down only.">
      <formula1>"G,U,L,NR,GU,UL,GL,GUL,LNR,ULNR,None"</formula1>
    </dataValidation>
    <dataValidation type="list" xr:uid="{BF3AC9CA-C577-40B0-A707-82B830E531D8}" sqref="P25" showErrorMessage="1" errorTitle="An invalid feedback was entered" error="Please choose feedback from drop down only.">
      <formula1>"G,U,L,NR,GU,UL,GL,GUL,LNR,ULNR,None"</formula1>
    </dataValidation>
    <dataValidation type="list" xr:uid="{E63C701F-ABF5-4A9E-A75F-2646F7D0D5A1}" sqref="Q25" showErrorMessage="1" errorTitle="An invalid feedback was entered" error="Please choose feedback from drop down only.">
      <formula1>"G,U,L,NR,GU,UL,GL,GUL,LNR,ULNR,None"</formula1>
    </dataValidation>
    <dataValidation type="list" xr:uid="{729D8A58-CA2C-4ABC-873B-7AA6F5F439CE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7EFAAF1-9C15-474F-A138-47C851857AE5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60B3340-8DE0-4202-9B3E-12C2AE463AAF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74D840A-AFEB-4176-93A4-6CE96B94FDC4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CA87F41-0C64-439E-8E73-021F73998F83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ECEDFD2-D8A0-48D2-9B0B-7B648FB6510A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7084FF3-AD43-4F4E-92B4-25208306019C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39CB626-93E0-45EC-8C72-7AEEB4C266D8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3304D0D-4724-423E-9401-9F39D88B7F7B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B8E5C8D-71A5-4434-9CAF-6C87D8C81E22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4895927-FE0A-44AD-9238-811C70065B84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25DEBFD-BD9A-4B69-97EA-D7E8057C5EF0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018FEAE-E200-4E4D-9EF5-D91219BFBE2A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177FAE7-DAEB-4A16-A2E9-88CF34B9A5AC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8DEFDEC-1F96-4DD0-B2C8-4F76808EFBD6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25" right="0.25" top="0.75" bottom="0.75" header="0.3" footer="0.3"/>
  <pageSetup paperSize="9" scale="56" fitToHeight="0"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5FAE5A53-9577-42C7-8029-C160D32A03B8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BECFADAC-CD68-4EDF-A606-C2B68C7ADFA2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6679B90B-32FC-49D9-A15A-D1F1F8ED192D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F4A08210-8A54-4A0A-B36D-42CEB4C992B0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A937DDAC-EB76-454B-BA65-5402BE435E6A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F109549D-6948-4697-AE3D-EA2E11C86574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1A86662B-ED63-4CAF-ACD8-EBD10BFF4B3C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3FBC113F-9EFC-43F2-A935-68C1C4499EC2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490A5E2A-A7C3-4E7A-86D1-964272AAF3E1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7DBF7DD0-CEF0-4457-83F9-D5769D0F65A8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3E2BC1E4-D358-486A-9EEC-38FB3E120577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4B04217E-ECA1-4A02-9946-8967ADECFFA5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1CD5AEBE-05EF-4EF7-8A0E-D2910DD2ACEB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6C811306-D327-4989-8351-0F0FF48BBFBC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4D14338E-D5B3-4879-8D28-565C4845CAA2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966F224F-FDF6-4C7E-ADDC-574990057A2E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FCC4699F-24E7-491E-BDE4-5E7F87F9A49C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C343588B-34B9-49CC-998B-9E5DF77CD731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F207240D-008F-4B11-BBC1-F7B60F87783D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E317CA86-267D-4C57-A12D-01CEB163B453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77CA7DB0-B37A-4C28-827F-C72DE18AEC1D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51149D40-8B36-43F4-B406-E581D05AA30B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E7951E88-B32C-49C7-8452-33F97D4746A8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74C6C785-BD17-4C95-9F61-1025E8F287BB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D8F9C873-5CA0-461A-B78D-127034799DAA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DF0B77E4-289F-4851-9638-DE5E12EF150B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6AFED728-8A61-4255-858B-EEDDD92DDEEC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90225956-C81E-4BED-8A03-0159C6BFB90B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54C342DE-7F64-4D39-971A-7B9185258034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DD9D8B54-9241-44D2-9A3C-ED659952070C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D175625E-2E25-464B-BE83-A72DCF919D0B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94022C78-5752-4045-BD8D-61EE4350F751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CE1D89CD-3F6C-4655-909D-58C9968CC8C4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B168D51A-7628-4DD7-BCD8-6A67476C6513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8D960599-51E9-4CB5-AC8D-6383B7C84ED6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726D4DD5-C8AC-4DA4-9E5D-1CDC216CF931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C1F230FF-5E34-42BB-805D-842494C63DC5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C846A245-428A-406F-8123-88BA815669AB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25D12D22-F4CB-4CF8-A0B4-999A342528E7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F03AD868-CDC1-4FFB-BBBA-8542EF74D161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F10077BA-BD5E-4B95-94AB-CB4486FEABE8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D2A024B6-8D3A-4CFE-AE65-5E66928DD5CC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36EB5F27-F9A0-4041-8C73-0811EAA47894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731C3731-AE3F-44F7-8960-590EA77E9DD6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80F27BE8-185F-45AF-B8BB-2762DB5A92D9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8AEE35D3-A7A9-49CC-8A88-E928F8BC3C6E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CFEA68ED-55E1-4D89-8392-64C5890E6817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05E2D138-FEC7-4C7C-8465-39E19DF05237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54C2E42E-BA59-40CE-9EE9-6869B3F2D146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4DB55CD4-3BFA-48F2-AA2A-18379A9EC40E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3CE85D3F-726E-40FB-9C9C-A6277FCAD033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4E4E190A-6CB2-4C64-B8FA-AC6B7907059F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0D34FC52-F5DB-4C2B-A5A4-2C74B73833E4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BD60BF21-ED1F-4E0B-8FAA-626450944ABE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8E1A1BED-5DDF-4676-B1DF-FFF793E8F71A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38630E7D-B01A-4CEB-BC6B-4CD862FC138F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323C40F9-E32B-403F-8132-8F8470411E7F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4701617D-9521-47BB-B32C-AB9F9E335881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0B467499-C13E-4E79-9A25-2513229CD15A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22352CEF-F955-409A-BABA-5039E8ED6889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3">
    <pageSetUpPr fitToPage="1"/>
  </sheetPr>
  <dimension ref="A1:U45"/>
  <sheetViews>
    <sheetView zoomScale="90" zoomScaleNormal="90" workbookViewId="0">
      <selection sqref="A1:B1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>
        <f>Common!B2</f>
        <v>0</v>
      </c>
      <c r="B1" s="198"/>
      <c r="C1" s="257" t="s">
        <v>67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9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26"/>
      <c r="D3" s="227"/>
      <c r="E3" s="227"/>
      <c r="F3" s="227"/>
      <c r="G3" s="227"/>
      <c r="H3" s="227"/>
      <c r="I3" s="227"/>
      <c r="J3" s="227"/>
      <c r="K3" s="227"/>
      <c r="L3" s="227"/>
      <c r="M3" s="227"/>
      <c r="N3" s="227"/>
      <c r="O3" s="227"/>
      <c r="P3" s="228"/>
    </row>
    <row r="4" ht="25.15" s="22" customFormat="1">
      <c r="A4" s="241"/>
      <c r="B4" s="9" t="s">
        <v>3</v>
      </c>
      <c r="C4" s="248"/>
      <c r="D4" s="249"/>
      <c r="E4" s="249"/>
      <c r="F4" s="249"/>
      <c r="G4" s="249"/>
      <c r="H4" s="249"/>
      <c r="I4" s="249"/>
      <c r="J4" s="249"/>
      <c r="K4" s="249"/>
      <c r="L4" s="249"/>
      <c r="M4" s="249"/>
      <c r="N4" s="249"/>
      <c r="O4" s="249"/>
      <c r="P4" s="250"/>
    </row>
    <row r="5" ht="24.75">
      <c r="A5" s="241"/>
      <c r="B5" s="13" t="s">
        <v>4</v>
      </c>
      <c r="C5" s="245">
        <v>150</v>
      </c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60"/>
      <c r="D6" s="261"/>
      <c r="E6" s="261"/>
      <c r="F6" s="261"/>
      <c r="G6" s="261"/>
      <c r="H6" s="261"/>
      <c r="I6" s="261"/>
      <c r="J6" s="261"/>
      <c r="K6" s="261"/>
      <c r="L6" s="261"/>
      <c r="M6" s="261"/>
      <c r="N6" s="261"/>
      <c r="O6" s="261"/>
      <c r="P6" s="262"/>
    </row>
    <row r="7" ht="17.25">
      <c r="A7" s="241"/>
      <c r="B7" s="8" t="s">
        <v>6</v>
      </c>
      <c r="C7" s="226" t="s">
        <v>7</v>
      </c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0"/>
    </row>
    <row r="8" ht="17.65" s="22" customFormat="1">
      <c r="A8" s="241"/>
      <c r="B8" s="9" t="s">
        <v>8</v>
      </c>
      <c r="C8" s="229" t="s">
        <v>7</v>
      </c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91"/>
    </row>
    <row r="9" ht="17.25">
      <c r="A9" s="241"/>
      <c r="B9" s="8" t="s">
        <v>9</v>
      </c>
      <c r="C9" s="211" t="s">
        <v>66</v>
      </c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90"/>
    </row>
    <row r="10" ht="17.65" s="22" customFormat="1">
      <c r="A10" s="241"/>
      <c r="B10" s="10" t="s">
        <v>11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91"/>
    </row>
    <row r="11" ht="17.25">
      <c r="A11" s="241"/>
      <c r="B11" s="8" t="s">
        <v>12</v>
      </c>
      <c r="C11" s="211">
        <v>25.2</v>
      </c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90"/>
    </row>
    <row r="12" ht="17.65" s="22" customFormat="1">
      <c r="A12" s="241"/>
      <c r="B12" s="10" t="s">
        <v>13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91"/>
    </row>
    <row r="13" ht="17.25">
      <c r="A13" s="241"/>
      <c r="B13" s="8" t="s">
        <v>14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90"/>
    </row>
    <row r="14" ht="17.65" s="22" customFormat="1">
      <c r="A14" s="241"/>
      <c r="B14" s="10" t="s">
        <v>15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92"/>
    </row>
    <row r="15" ht="17.25">
      <c r="A15" s="241"/>
      <c r="B15" s="8" t="s">
        <v>16</v>
      </c>
      <c r="C15" s="211">
        <v>1</v>
      </c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93"/>
    </row>
    <row r="16" ht="17.25" s="22" customFormat="1">
      <c r="A16" s="241"/>
      <c r="B16" s="68" t="s">
        <v>17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18</v>
      </c>
      <c r="C17" s="65" t="s">
        <v>19</v>
      </c>
      <c r="D17" s="65" t="s">
        <v>20</v>
      </c>
      <c r="E17" s="65" t="s">
        <v>21</v>
      </c>
      <c r="F17" s="65" t="s">
        <v>22</v>
      </c>
      <c r="G17" s="65" t="s">
        <v>23</v>
      </c>
      <c r="H17" s="65" t="s">
        <v>24</v>
      </c>
      <c r="I17" s="65" t="s">
        <v>19</v>
      </c>
      <c r="J17" s="65" t="s">
        <v>20</v>
      </c>
      <c r="K17" s="65" t="s">
        <v>21</v>
      </c>
      <c r="L17" s="65" t="s">
        <v>22</v>
      </c>
      <c r="M17" s="65" t="s">
        <v>19</v>
      </c>
      <c r="N17" s="65" t="s">
        <v>20</v>
      </c>
      <c r="O17" s="65" t="s">
        <v>21</v>
      </c>
      <c r="P17" s="76" t="s">
        <v>19</v>
      </c>
    </row>
    <row r="18" ht="17.25">
      <c r="A18" s="256"/>
      <c r="B18" s="70" t="s">
        <v>25</v>
      </c>
      <c r="C18" s="63" t="s">
        <v>26</v>
      </c>
      <c r="D18" s="64" t="s">
        <v>27</v>
      </c>
      <c r="E18" s="64" t="s">
        <v>28</v>
      </c>
      <c r="F18" s="64" t="s">
        <v>29</v>
      </c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30</v>
      </c>
      <c r="C19" s="99">
        <f>VLOOKUP(C8,AntennasPortName!A:H,2,FALSE)</f>
      </c>
      <c r="D19" s="99">
        <f>VLOOKUP(C8,AntennasPortName!A:H,3,FALSE)</f>
      </c>
      <c r="E19" s="99">
        <f>VLOOKUP(C8,AntennasPortName!A:H,4,FALSE)</f>
      </c>
      <c r="F19" s="99">
        <f>VLOOKUP(C8,AntennasPortName!A:H,5,FALSE)</f>
      </c>
      <c r="G19" s="99">
        <f>VLOOKUP(C8,AntennasPortName!A:H,6,FALSE)</f>
      </c>
      <c r="H19" s="99">
        <f>VLOOKUP(C8,AntennasPortName!A:H,7,FALSE)</f>
      </c>
      <c r="I19" s="99">
        <f>VLOOKUP(I8,AntennasPortName!A:H,2,FALSE)</f>
      </c>
      <c r="J19" s="99">
        <f>VLOOKUP(I8,AntennasPortName!A:H,3,FALSE)</f>
      </c>
      <c r="K19" s="99">
        <f>VLOOKUP(I8,AntennasPortName!A:H,4,FALSE)</f>
      </c>
      <c r="L19" s="99">
        <f>VLOOKUP(I8,AntennasPortName!A:H,5,FALSE)</f>
      </c>
      <c r="M19" s="99">
        <f>VLOOKUP(M8,AntennasPortName!A:H,2,FALSE)</f>
      </c>
      <c r="N19" s="99">
        <f>VLOOKUP(M8,AntennasPortName!A:H,3,FALSE)</f>
      </c>
      <c r="O19" s="99">
        <f>VLOOKUP(M8,AntennasPortName!A:H,4,FALSE)</f>
      </c>
      <c r="P19" s="99">
        <f>VLOOKUP(P8,AntennasPortName!A:H,2,FALSE)</f>
      </c>
    </row>
    <row r="20" ht="17.25">
      <c r="A20" s="241"/>
      <c r="B20" s="69" t="s">
        <v>31</v>
      </c>
      <c r="C20" s="61" t="s">
        <v>32</v>
      </c>
      <c r="D20" s="62" t="s">
        <v>32</v>
      </c>
      <c r="E20" s="62" t="s">
        <v>33</v>
      </c>
      <c r="F20" s="62" t="s">
        <v>33</v>
      </c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34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35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36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37</v>
      </c>
      <c r="C24" s="25" t="s">
        <v>38</v>
      </c>
      <c r="D24" s="25" t="s">
        <v>39</v>
      </c>
      <c r="E24" s="25" t="s">
        <v>39</v>
      </c>
      <c r="F24" s="25" t="s">
        <v>40</v>
      </c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41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42</v>
      </c>
      <c r="C26" s="24">
        <v>4</v>
      </c>
      <c r="D26" s="24">
        <v>4</v>
      </c>
      <c r="E26" s="24">
        <v>6</v>
      </c>
      <c r="F26" s="24">
        <v>0</v>
      </c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43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44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45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46</v>
      </c>
      <c r="C30" s="24" t="s">
        <v>47</v>
      </c>
      <c r="D30" s="24" t="s">
        <v>47</v>
      </c>
      <c r="E30" s="24" t="s">
        <v>47</v>
      </c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48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49</v>
      </c>
      <c r="C32" s="25">
        <v>3</v>
      </c>
      <c r="D32" s="25">
        <v>3</v>
      </c>
      <c r="E32" s="25">
        <v>3</v>
      </c>
      <c r="F32" s="25">
        <v>0</v>
      </c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50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51</v>
      </c>
      <c r="C34" s="24" t="s">
        <v>52</v>
      </c>
      <c r="D34" s="24" t="s">
        <v>53</v>
      </c>
      <c r="E34" s="24" t="s">
        <v>54</v>
      </c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55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56</v>
      </c>
      <c r="C36" s="25" t="s">
        <v>57</v>
      </c>
      <c r="D36" s="25" t="s">
        <v>57</v>
      </c>
      <c r="E36" s="25" t="s">
        <v>57</v>
      </c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58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59</v>
      </c>
      <c r="C38" s="25" t="s">
        <v>60</v>
      </c>
      <c r="D38" s="25" t="s">
        <v>60</v>
      </c>
      <c r="E38" s="25" t="s">
        <v>60</v>
      </c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61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62</v>
      </c>
      <c r="C40" s="26" t="s">
        <v>60</v>
      </c>
      <c r="D40" s="26" t="s">
        <v>60</v>
      </c>
      <c r="E40" s="26" t="s">
        <v>60</v>
      </c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63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64</v>
      </c>
      <c r="B42" s="280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C1:P1"/>
    <mergeCell ref="C3:P3"/>
    <mergeCell ref="C4:P4"/>
    <mergeCell ref="C5:P5"/>
    <mergeCell ref="C6:P6"/>
    <mergeCell ref="C16:H16"/>
    <mergeCell ref="I16:L16"/>
    <mergeCell ref="M16:O16"/>
    <mergeCell ref="B42:P45"/>
    <mergeCell ref="C12:H12"/>
    <mergeCell ref="I12:L12"/>
    <mergeCell ref="M12:O12"/>
    <mergeCell ref="C13:H13"/>
    <mergeCell ref="I13:L13"/>
    <mergeCell ref="M13:O13"/>
    <mergeCell ref="C14:H14"/>
    <mergeCell ref="I14:L14"/>
    <mergeCell ref="M14:O14"/>
    <mergeCell ref="C15:H15"/>
    <mergeCell ref="I15:L15"/>
    <mergeCell ref="M15:O15"/>
    <mergeCell ref="C10:H10"/>
    <mergeCell ref="I10:L10"/>
    <mergeCell ref="M10:O10"/>
    <mergeCell ref="C11:H11"/>
    <mergeCell ref="I11:L11"/>
    <mergeCell ref="M11:O11"/>
    <mergeCell ref="C8:H8"/>
    <mergeCell ref="I8:L8"/>
    <mergeCell ref="M8:O8"/>
    <mergeCell ref="C9:H9"/>
    <mergeCell ref="I9:L9"/>
    <mergeCell ref="M9:O9"/>
    <mergeCell ref="A1:B1"/>
    <mergeCell ref="A42:A45"/>
    <mergeCell ref="A36:A41"/>
    <mergeCell ref="A34:A35"/>
    <mergeCell ref="A3:A33"/>
    <mergeCell ref="C7:H7"/>
    <mergeCell ref="C2:H2"/>
    <mergeCell ref="I2:L2"/>
    <mergeCell ref="M2:O2"/>
    <mergeCell ref="I7:L7"/>
    <mergeCell ref="M7:O7"/>
  </mergeCells>
  <conditionalFormatting sqref="C22:E22 C4 H22:O22">
    <cfRule type="cellIs" dxfId="0" priority="43" operator="greaterThan">
      <formula>0</formula>
    </cfRule>
  </conditionalFormatting>
  <conditionalFormatting sqref="C21:E21 H21:O21">
    <cfRule type="expression" dxfId="1" priority="42">
      <formula>ISERROR(C21)</formula>
    </cfRule>
  </conditionalFormatting>
  <conditionalFormatting sqref="C21:E21 H21:O21">
    <cfRule type="cellIs" dxfId="1" priority="41" operator="equal">
      <formula>0</formula>
    </cfRule>
  </conditionalFormatting>
  <conditionalFormatting sqref="C21:E21 H21:O21">
    <cfRule type="cellIs" dxfId="3" priority="40" operator="greaterThan">
      <formula>0</formula>
    </cfRule>
  </conditionalFormatting>
  <conditionalFormatting sqref="C27:O27 D29:O29 D33:O33">
    <cfRule type="cellIs" dxfId="0" priority="39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35">
      <formula>ISBLANK(C8)</formula>
    </cfRule>
  </conditionalFormatting>
  <conditionalFormatting sqref="C29">
    <cfRule type="cellIs" dxfId="0" priority="37" operator="notEqual">
      <formula>VALUE(C28)</formula>
    </cfRule>
  </conditionalFormatting>
  <conditionalFormatting sqref="C29">
    <cfRule type="expression" dxfId="10" priority="36">
      <formula>ISBLANK(C29)</formula>
    </cfRule>
  </conditionalFormatting>
  <conditionalFormatting sqref="C8:O8 C10:O10 C12:O12 C14:O14 C16:O16 C31:O31 D35:O35 D37:O37 D25:O25 D39:O39 D41:O41">
    <cfRule type="cellIs" dxfId="0" priority="38" operator="notEqual">
      <formula>C7</formula>
    </cfRule>
  </conditionalFormatting>
  <conditionalFormatting sqref="C31">
    <cfRule type="expression" dxfId="10" priority="34">
      <formula>ISBLANK(C31)</formula>
    </cfRule>
  </conditionalFormatting>
  <conditionalFormatting sqref="C33">
    <cfRule type="cellIs" dxfId="0" priority="33" operator="notEqual">
      <formula>VALUE(C32)</formula>
    </cfRule>
  </conditionalFormatting>
  <conditionalFormatting sqref="C33">
    <cfRule type="expression" dxfId="10" priority="32">
      <formula>ISBLANK(C33)</formula>
    </cfRule>
  </conditionalFormatting>
  <conditionalFormatting sqref="C35">
    <cfRule type="cellIs" dxfId="0" priority="31" operator="notEqual">
      <formula>C34</formula>
    </cfRule>
  </conditionalFormatting>
  <conditionalFormatting sqref="C35">
    <cfRule type="expression" dxfId="10" priority="30">
      <formula>ISBLANK(C35)</formula>
    </cfRule>
  </conditionalFormatting>
  <conditionalFormatting sqref="C37">
    <cfRule type="cellIs" dxfId="0" priority="29" operator="notEqual">
      <formula>C36</formula>
    </cfRule>
  </conditionalFormatting>
  <conditionalFormatting sqref="C37">
    <cfRule type="expression" dxfId="10" priority="28">
      <formula>ISBLANK(C37)</formula>
    </cfRule>
  </conditionalFormatting>
  <conditionalFormatting sqref="C6">
    <cfRule type="expression" dxfId="10" priority="26">
      <formula>ISBLANK(C6)</formula>
    </cfRule>
    <cfRule type="cellIs" dxfId="0" priority="27" operator="notEqual">
      <formula>C5</formula>
    </cfRule>
  </conditionalFormatting>
  <conditionalFormatting sqref="C25">
    <cfRule type="cellIs" dxfId="0" priority="25" operator="notEqual">
      <formula>C24</formula>
    </cfRule>
  </conditionalFormatting>
  <conditionalFormatting sqref="C25">
    <cfRule type="expression" dxfId="10" priority="24">
      <formula>ISBLANK(C25)</formula>
    </cfRule>
  </conditionalFormatting>
  <conditionalFormatting sqref="C39">
    <cfRule type="cellIs" dxfId="0" priority="23" operator="notEqual">
      <formula>C38</formula>
    </cfRule>
  </conditionalFormatting>
  <conditionalFormatting sqref="C39">
    <cfRule type="expression" dxfId="10" priority="22">
      <formula>ISBLANK(C39)</formula>
    </cfRule>
  </conditionalFormatting>
  <conditionalFormatting sqref="C41">
    <cfRule type="cellIs" dxfId="0" priority="21" operator="notEqual">
      <formula>C40</formula>
    </cfRule>
  </conditionalFormatting>
  <conditionalFormatting sqref="C41">
    <cfRule type="expression" dxfId="10" priority="20">
      <formula>ISBLANK(C41)</formula>
    </cfRule>
  </conditionalFormatting>
  <conditionalFormatting sqref="C24:O41">
    <cfRule type="expression" dxfId="1" priority="19" stopIfTrue="1">
      <formula>OR(C$22="Free",C$22="Telenor",C$22="Mtel",C$22="Telenor&amp;Mtel")</formula>
    </cfRule>
  </conditionalFormatting>
  <conditionalFormatting sqref="F22:G22">
    <cfRule type="cellIs" dxfId="0" priority="18" operator="greaterThan">
      <formula>0</formula>
    </cfRule>
  </conditionalFormatting>
  <conditionalFormatting sqref="F21:G21">
    <cfRule type="expression" dxfId="1" priority="17">
      <formula>ISERROR(F21)</formula>
    </cfRule>
  </conditionalFormatting>
  <conditionalFormatting sqref="F21:G21">
    <cfRule type="cellIs" dxfId="1" priority="16" operator="equal">
      <formula>0</formula>
    </cfRule>
  </conditionalFormatting>
  <conditionalFormatting sqref="F21:G21">
    <cfRule type="cellIs" dxfId="3" priority="15" operator="greaterThan">
      <formula>0</formula>
    </cfRule>
  </conditionalFormatting>
  <conditionalFormatting sqref="P22">
    <cfRule type="cellIs" dxfId="0" priority="14" operator="greaterThan">
      <formula>0</formula>
    </cfRule>
  </conditionalFormatting>
  <conditionalFormatting sqref="P21">
    <cfRule type="expression" dxfId="1" priority="13">
      <formula>ISERROR(P21)</formula>
    </cfRule>
  </conditionalFormatting>
  <conditionalFormatting sqref="P21">
    <cfRule type="cellIs" dxfId="1" priority="12" operator="equal">
      <formula>0</formula>
    </cfRule>
  </conditionalFormatting>
  <conditionalFormatting sqref="P21">
    <cfRule type="cellIs" dxfId="3" priority="11" operator="greaterThan">
      <formula>0</formula>
    </cfRule>
  </conditionalFormatting>
  <conditionalFormatting sqref="P27 P29 P33">
    <cfRule type="cellIs" dxfId="0" priority="10" operator="notEqual">
      <formula>VALUE(P26)</formula>
    </cfRule>
  </conditionalFormatting>
  <conditionalFormatting sqref="P8 P10 P12 P14 P16 P27 P29 P31 P33 P35 P37 P25 P39 P41">
    <cfRule type="expression" dxfId="10" priority="8">
      <formula>ISBLANK(P8)</formula>
    </cfRule>
  </conditionalFormatting>
  <conditionalFormatting sqref="P8 P10 P12 P14 P16 P31 P35 P37 P25 P39 P41">
    <cfRule type="cellIs" dxfId="0" priority="9" operator="notEqual">
      <formula>P7</formula>
    </cfRule>
  </conditionalFormatting>
  <conditionalFormatting sqref="P24:P41">
    <cfRule type="expression" dxfId="1" priority="7" stopIfTrue="1">
      <formula>OR(P$22="Free",P$22="Telenor",P$22="Mtel",P$22="Telenor&amp;Mtel")</formula>
    </cfRule>
  </conditionalFormatting>
  <conditionalFormatting sqref="C19">
    <cfRule type="cellIs" dxfId="1" priority="4" operator="equal">
      <formula>0</formula>
    </cfRule>
    <cfRule type="expression" dxfId="1" priority="6">
      <formula>ISERROR(C19)</formula>
    </cfRule>
  </conditionalFormatting>
  <conditionalFormatting sqref="D19:P19">
    <cfRule type="cellIs" dxfId="1" priority="2" operator="equal">
      <formula>0</formula>
    </cfRule>
    <cfRule type="expression" dxfId="1" priority="3">
      <formula>ISERROR(D19)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5BA9F588-F8FC-4075-BF21-48371613FBF6}" sqref="C2" showErrorMessage="1" errorTitle="An invalid feedback was entered" error="Please choose feedback from drop down only.">
      <formula1>"1,2,3"</formula1>
    </dataValidation>
    <dataValidation type="list" xr:uid="{C0D084E6-2ABD-4F1E-B5E1-3D769EC1A772}" sqref="D2" showErrorMessage="1" errorTitle="An invalid feedback was entered" error="Please choose feedback from drop down only.">
      <formula1>"1,2,3"</formula1>
    </dataValidation>
    <dataValidation type="list" xr:uid="{58EA283B-8DA4-470F-AF48-5333F08B9F43}" sqref="E2" showErrorMessage="1" errorTitle="An invalid feedback was entered" error="Please choose feedback from drop down only.">
      <formula1>"1,2,3"</formula1>
    </dataValidation>
    <dataValidation type="list" xr:uid="{4E05ACA1-C73C-46B4-B1C7-56C68AE097BE}" sqref="F2" showErrorMessage="1" errorTitle="An invalid feedback was entered" error="Please choose feedback from drop down only.">
      <formula1>"1,2,3"</formula1>
    </dataValidation>
    <dataValidation type="list" xr:uid="{865A7D70-AD79-4920-9E7D-6C8C1791B1AF}" sqref="G2" showErrorMessage="1" errorTitle="An invalid feedback was entered" error="Please choose feedback from drop down only.">
      <formula1>"1,2,3"</formula1>
    </dataValidation>
    <dataValidation type="list" xr:uid="{2CBD7A5C-779F-4A0F-9324-7A8521BC676E}" sqref="H2" showErrorMessage="1" errorTitle="An invalid feedback was entered" error="Please choose feedback from drop down only.">
      <formula1>"1,2,3"</formula1>
    </dataValidation>
    <dataValidation type="list" xr:uid="{760D01ED-78CE-4FE5-99AB-DCD48C867E52}" sqref="I2" showErrorMessage="1" errorTitle="An invalid feedback was entered" error="Please choose feedback from drop down only.">
      <formula1>"1,2,3"</formula1>
    </dataValidation>
    <dataValidation type="list" xr:uid="{ED6094E9-A138-48B1-B138-EAFB3BBA8FA5}" sqref="J2" showErrorMessage="1" errorTitle="An invalid feedback was entered" error="Please choose feedback from drop down only.">
      <formula1>"1,2,3"</formula1>
    </dataValidation>
    <dataValidation type="list" xr:uid="{B2BC3474-F862-48FF-B6E5-348416F15E0B}" sqref="K2" showErrorMessage="1" errorTitle="An invalid feedback was entered" error="Please choose feedback from drop down only.">
      <formula1>"1,2,3"</formula1>
    </dataValidation>
    <dataValidation type="list" xr:uid="{3DF092A2-902B-400C-84F4-19871A27FDD1}" sqref="L2" showErrorMessage="1" errorTitle="An invalid feedback was entered" error="Please choose feedback from drop down only.">
      <formula1>"1,2,3"</formula1>
    </dataValidation>
    <dataValidation type="list" xr:uid="{310FB9AF-7786-4581-91EB-B4FAE48DB396}" sqref="M2" showErrorMessage="1" errorTitle="An invalid feedback was entered" error="Please choose feedback from drop down only.">
      <formula1>"1,2,3"</formula1>
    </dataValidation>
    <dataValidation type="list" xr:uid="{63C726C7-1230-4C35-9CBF-BE34BBF3671B}" sqref="N2" showErrorMessage="1" errorTitle="An invalid feedback was entered" error="Please choose feedback from drop down only.">
      <formula1>"1,2,3"</formula1>
    </dataValidation>
    <dataValidation type="list" xr:uid="{6454592B-AF50-4D29-BB25-8D90EFC7B0C9}" sqref="O2" showErrorMessage="1" errorTitle="An invalid feedback was entered" error="Please choose feedback from drop down only.">
      <formula1>"1,2,3"</formula1>
    </dataValidation>
    <dataValidation type="list" xr:uid="{95A9945F-4FB1-412F-8430-85F223580128}" sqref="P2" showErrorMessage="1" errorTitle="An invalid feedback was entered" error="Please choose feedback from drop down only.">
      <formula1>"1,2,3"</formula1>
    </dataValidation>
    <dataValidation type="list" xr:uid="{9B93A4EA-9D9E-46E5-BAF6-FDFE3DA777F8}" sqref="Q2" showErrorMessage="1" errorTitle="An invalid feedback was entered" error="Please choose feedback from drop down only.">
      <formula1>"1,2,3"</formula1>
    </dataValidation>
    <dataValidation type="list" xr:uid="{97509372-9259-44F5-9A20-5C2A4D38740F}" sqref="C17" showErrorMessage="1" errorTitle="An invalid feedback was entered" error="Please choose feedback from drop down only.">
      <formula1>"1-2,3-4,5-6,7-8,9-10,N/A"</formula1>
    </dataValidation>
    <dataValidation type="list" xr:uid="{A13881CD-7DB6-47D8-B390-18DAC853CE47}" sqref="D17" showErrorMessage="1" errorTitle="An invalid feedback was entered" error="Please choose feedback from drop down only.">
      <formula1>"1-2,3-4,5-6,7-8,9-10,N/A"</formula1>
    </dataValidation>
    <dataValidation type="list" xr:uid="{787CE32D-0638-4993-A63B-A6CA93597E6D}" sqref="E17" showErrorMessage="1" errorTitle="An invalid feedback was entered" error="Please choose feedback from drop down only.">
      <formula1>"1-2,3-4,5-6,7-8,9-10,N/A"</formula1>
    </dataValidation>
    <dataValidation type="list" xr:uid="{536364AF-09EA-40EE-86FA-5A1BB9973DC9}" sqref="F17" showErrorMessage="1" errorTitle="An invalid feedback was entered" error="Please choose feedback from drop down only.">
      <formula1>"1-2,3-4,5-6,7-8,9-10,N/A"</formula1>
    </dataValidation>
    <dataValidation type="list" xr:uid="{5810EB47-4434-4219-88D3-AB9132719242}" sqref="G17" showErrorMessage="1" errorTitle="An invalid feedback was entered" error="Please choose feedback from drop down only.">
      <formula1>"1-2,3-4,5-6,7-8,9-10,N/A"</formula1>
    </dataValidation>
    <dataValidation type="list" xr:uid="{982D3929-60B1-493B-8156-7F62B02E2218}" sqref="H17" showErrorMessage="1" errorTitle="An invalid feedback was entered" error="Please choose feedback from drop down only.">
      <formula1>"1-2,3-4,5-6,7-8,9-10,N/A"</formula1>
    </dataValidation>
    <dataValidation type="list" xr:uid="{AB5F10C2-6AC1-4787-8D98-053ADE7DD046}" sqref="I17" showErrorMessage="1" errorTitle="An invalid feedback was entered" error="Please choose feedback from drop down only.">
      <formula1>"1-2,3-4,5-6,7-8,9-10,N/A"</formula1>
    </dataValidation>
    <dataValidation type="list" xr:uid="{8AD60D68-3F4C-490A-AD94-FA78F085DCB5}" sqref="J17" showErrorMessage="1" errorTitle="An invalid feedback was entered" error="Please choose feedback from drop down only.">
      <formula1>"1-2,3-4,5-6,7-8,9-10,N/A"</formula1>
    </dataValidation>
    <dataValidation type="list" xr:uid="{7DE86344-5A9D-40DA-9F19-FEA9CCD949D2}" sqref="K17" showErrorMessage="1" errorTitle="An invalid feedback was entered" error="Please choose feedback from drop down only.">
      <formula1>"1-2,3-4,5-6,7-8,9-10,N/A"</formula1>
    </dataValidation>
    <dataValidation type="list" xr:uid="{9AD3460D-8416-44B5-819A-4B0FA758B6C4}" sqref="L17" showErrorMessage="1" errorTitle="An invalid feedback was entered" error="Please choose feedback from drop down only.">
      <formula1>"1-2,3-4,5-6,7-8,9-10,N/A"</formula1>
    </dataValidation>
    <dataValidation type="list" xr:uid="{C046ECFF-D771-4521-8307-645BB5713672}" sqref="M17" showErrorMessage="1" errorTitle="An invalid feedback was entered" error="Please choose feedback from drop down only.">
      <formula1>"1-2,3-4,5-6,7-8,9-10,N/A"</formula1>
    </dataValidation>
    <dataValidation type="list" xr:uid="{8DBDDF9F-533C-40A6-8BF2-3B975DDC10D3}" sqref="N17" showErrorMessage="1" errorTitle="An invalid feedback was entered" error="Please choose feedback from drop down only.">
      <formula1>"1-2,3-4,5-6,7-8,9-10,N/A"</formula1>
    </dataValidation>
    <dataValidation type="list" xr:uid="{1C5BD991-FC50-47C8-9092-FEC6DF633048}" sqref="O17" showErrorMessage="1" errorTitle="An invalid feedback was entered" error="Please choose feedback from drop down only.">
      <formula1>"1-2,3-4,5-6,7-8,9-10,N/A"</formula1>
    </dataValidation>
    <dataValidation type="list" xr:uid="{D60D039C-E629-4F35-B8F2-2B16A9A9B042}" sqref="P17" showErrorMessage="1" errorTitle="An invalid feedback was entered" error="Please choose feedback from drop down only.">
      <formula1>"1-2,3-4,5-6,7-8,9-10,N/A"</formula1>
    </dataValidation>
    <dataValidation type="list" xr:uid="{9269BC6C-2AAF-4427-BD11-E9B73EBD30AB}" sqref="Q17" showErrorMessage="1" errorTitle="An invalid feedback was entered" error="Please choose feedback from drop down only.">
      <formula1>"1-2,3-4,5-6,7-8,9-10,N/A"</formula1>
    </dataValidation>
    <dataValidation type="list" xr:uid="{F9F2072D-5154-4ED7-B476-90111863A58C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626B6E1C-8D18-419C-BA40-7FCEB658387D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65D841F2-6A84-417D-BA69-1CDE23BB665F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F463AADE-738B-4490-A871-9B04CFCFF4DA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74EC8635-D724-4215-8487-B0D9D7B89370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F9E50582-3A5A-4754-9BDA-B064943A42A9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C4D803F5-9DB1-4F2B-8B6C-562741CF78F7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F583F44E-C175-442D-B350-7C3423B4ECB6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CC162E2B-615E-4C37-8EAB-071D9E89BAAD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4B2E5015-A705-40A3-A02C-9E4BAF5BBDD5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2276BEC9-EFA9-4D93-91E9-E518171F83F2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1D9323D6-A368-495F-A4DA-1E1807E90EE4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FB0DAC39-82F6-440E-97A9-4B8D9CB9C6C8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EE30ADE0-C38E-4CBE-8EB3-58F58D236D9E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9B1308C8-C8F3-45C6-ADA2-C7A39FD1B689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D1EB4387-B676-4117-B1F8-09EB69A43C03}" sqref="C23" showErrorMessage="1" errorTitle="An invalid feedback was entered" error="Please choose feedback from drop down only.">
      <formula1>"Yetel,Bulsatcom,A1,Yetel&amp;A1,N/A"</formula1>
    </dataValidation>
    <dataValidation type="list" xr:uid="{B21645AD-7D87-4737-9985-9C4A22BAC349}" sqref="D23" showErrorMessage="1" errorTitle="An invalid feedback was entered" error="Please choose feedback from drop down only.">
      <formula1>"Yetel,Bulsatcom,A1,Yetel&amp;A1,N/A"</formula1>
    </dataValidation>
    <dataValidation type="list" xr:uid="{99E9DCA3-936A-4C4C-BFD8-EA08132EC633}" sqref="E23" showErrorMessage="1" errorTitle="An invalid feedback was entered" error="Please choose feedback from drop down only.">
      <formula1>"Yetel,Bulsatcom,A1,Yetel&amp;A1,N/A"</formula1>
    </dataValidation>
    <dataValidation type="list" xr:uid="{B528BA62-BAE4-402A-9E8B-E6F932C71172}" sqref="F23" showErrorMessage="1" errorTitle="An invalid feedback was entered" error="Please choose feedback from drop down only.">
      <formula1>"Yetel,Bulsatcom,A1,Yetel&amp;A1,N/A"</formula1>
    </dataValidation>
    <dataValidation type="list" xr:uid="{9E21C08E-616E-4FB4-81F8-64DFB67A86EF}" sqref="G23" showErrorMessage="1" errorTitle="An invalid feedback was entered" error="Please choose feedback from drop down only.">
      <formula1>"Yetel,Bulsatcom,A1,Yetel&amp;A1,N/A"</formula1>
    </dataValidation>
    <dataValidation type="list" xr:uid="{B0662160-B420-4413-94FE-EAC4324F179E}" sqref="H23" showErrorMessage="1" errorTitle="An invalid feedback was entered" error="Please choose feedback from drop down only.">
      <formula1>"Yetel,Bulsatcom,A1,Yetel&amp;A1,N/A"</formula1>
    </dataValidation>
    <dataValidation type="list" xr:uid="{414F7092-61C0-4A54-90EA-BF829F66F12C}" sqref="I23" showErrorMessage="1" errorTitle="An invalid feedback was entered" error="Please choose feedback from drop down only.">
      <formula1>"Yetel,Bulsatcom,A1,Yetel&amp;A1,N/A"</formula1>
    </dataValidation>
    <dataValidation type="list" xr:uid="{B882A234-3B8F-4CC7-A434-DC9ECD7A1B12}" sqref="J23" showErrorMessage="1" errorTitle="An invalid feedback was entered" error="Please choose feedback from drop down only.">
      <formula1>"Yetel,Bulsatcom,A1,Yetel&amp;A1,N/A"</formula1>
    </dataValidation>
    <dataValidation type="list" xr:uid="{29696A0A-AEDC-45A7-B8E3-99A2FBF9F135}" sqref="K23" showErrorMessage="1" errorTitle="An invalid feedback was entered" error="Please choose feedback from drop down only.">
      <formula1>"Yetel,Bulsatcom,A1,Yetel&amp;A1,N/A"</formula1>
    </dataValidation>
    <dataValidation type="list" xr:uid="{412A9588-90DA-45DF-88B8-B5E335AB5598}" sqref="L23" showErrorMessage="1" errorTitle="An invalid feedback was entered" error="Please choose feedback from drop down only.">
      <formula1>"Yetel,Bulsatcom,A1,Yetel&amp;A1,N/A"</formula1>
    </dataValidation>
    <dataValidation type="list" xr:uid="{2BD8ECD8-2B8B-4A8A-A8D1-A9D6403083A6}" sqref="M23" showErrorMessage="1" errorTitle="An invalid feedback was entered" error="Please choose feedback from drop down only.">
      <formula1>"Yetel,Bulsatcom,A1,Yetel&amp;A1,N/A"</formula1>
    </dataValidation>
    <dataValidation type="list" xr:uid="{3BE4F1F4-8958-4CC6-B3AB-7096A351C9E1}" sqref="N23" showErrorMessage="1" errorTitle="An invalid feedback was entered" error="Please choose feedback from drop down only.">
      <formula1>"Yetel,Bulsatcom,A1,Yetel&amp;A1,N/A"</formula1>
    </dataValidation>
    <dataValidation type="list" xr:uid="{372CAED3-C49A-448B-B8B4-65B41B298537}" sqref="O23" showErrorMessage="1" errorTitle="An invalid feedback was entered" error="Please choose feedback from drop down only.">
      <formula1>"Yetel,Bulsatcom,A1,Yetel&amp;A1,N/A"</formula1>
    </dataValidation>
    <dataValidation type="list" xr:uid="{C29BDBC7-3795-42BB-BA9F-5596D71A228C}" sqref="P23" showErrorMessage="1" errorTitle="An invalid feedback was entered" error="Please choose feedback from drop down only.">
      <formula1>"Yetel,Bulsatcom,A1,Yetel&amp;A1,N/A"</formula1>
    </dataValidation>
    <dataValidation type="list" xr:uid="{DDC02232-DB1E-4E7B-A18E-42F57CCD28F3}" sqref="Q23" showErrorMessage="1" errorTitle="An invalid feedback was entered" error="Please choose feedback from drop down only.">
      <formula1>"Yetel,Bulsatcom,A1,Yetel&amp;A1,N/A"</formula1>
    </dataValidation>
    <dataValidation type="list" xr:uid="{E0D873D6-5B5D-46B3-811D-FDB4284B97DD}" sqref="C31" showErrorMessage="1" errorTitle="An invalid feedback was entered" error="Please choose feedback from drop down only.">
      <formula1>"1/2,5/4,7/8,RRU TOP JUMPER,N/A"</formula1>
    </dataValidation>
    <dataValidation type="list" xr:uid="{52BF95D7-607A-4E7E-88E1-D97A402332B4}" sqref="D31" showErrorMessage="1" errorTitle="An invalid feedback was entered" error="Please choose feedback from drop down only.">
      <formula1>"1/2,5/4,7/8,RRU TOP JUMPER,N/A"</formula1>
    </dataValidation>
    <dataValidation type="list" xr:uid="{2F2FA208-3208-4404-BB66-D5737EBE8240}" sqref="E31" showErrorMessage="1" errorTitle="An invalid feedback was entered" error="Please choose feedback from drop down only.">
      <formula1>"1/2,5/4,7/8,RRU TOP JUMPER,N/A"</formula1>
    </dataValidation>
    <dataValidation type="list" xr:uid="{47BEE13C-664A-41F8-BDF2-A027B0201E81}" sqref="F31" showErrorMessage="1" errorTitle="An invalid feedback was entered" error="Please choose feedback from drop down only.">
      <formula1>"1/2,5/4,7/8,RRU TOP JUMPER,N/A"</formula1>
    </dataValidation>
    <dataValidation type="list" xr:uid="{1CD836F1-937C-4BD4-8298-ACC5242FD8D2}" sqref="G31" showErrorMessage="1" errorTitle="An invalid feedback was entered" error="Please choose feedback from drop down only.">
      <formula1>"1/2,5/4,7/8,RRU TOP JUMPER,N/A"</formula1>
    </dataValidation>
    <dataValidation type="list" xr:uid="{7923A8F2-E39B-4F48-B038-EA3E4C4889E5}" sqref="H31" showErrorMessage="1" errorTitle="An invalid feedback was entered" error="Please choose feedback from drop down only.">
      <formula1>"1/2,5/4,7/8,RRU TOP JUMPER,N/A"</formula1>
    </dataValidation>
    <dataValidation type="list" xr:uid="{7D8A39E0-6745-4595-80B8-709FC0CD6BAB}" sqref="I31" showErrorMessage="1" errorTitle="An invalid feedback was entered" error="Please choose feedback from drop down only.">
      <formula1>"1/2,5/4,7/8,RRU TOP JUMPER,N/A"</formula1>
    </dataValidation>
    <dataValidation type="list" xr:uid="{F80759C9-5B90-4846-BD4A-29C45702D3BB}" sqref="J31" showErrorMessage="1" errorTitle="An invalid feedback was entered" error="Please choose feedback from drop down only.">
      <formula1>"1/2,5/4,7/8,RRU TOP JUMPER,N/A"</formula1>
    </dataValidation>
    <dataValidation type="list" xr:uid="{18541806-62FF-46F9-A01E-9E3FDEC69EA4}" sqref="K31" showErrorMessage="1" errorTitle="An invalid feedback was entered" error="Please choose feedback from drop down only.">
      <formula1>"1/2,5/4,7/8,RRU TOP JUMPER,N/A"</formula1>
    </dataValidation>
    <dataValidation type="list" xr:uid="{EBB20074-F94D-4C68-ABE1-BB7819C0A864}" sqref="L31" showErrorMessage="1" errorTitle="An invalid feedback was entered" error="Please choose feedback from drop down only.">
      <formula1>"1/2,5/4,7/8,RRU TOP JUMPER,N/A"</formula1>
    </dataValidation>
    <dataValidation type="list" xr:uid="{01840704-66B6-451C-ABFC-5BFD2C9F7D74}" sqref="M31" showErrorMessage="1" errorTitle="An invalid feedback was entered" error="Please choose feedback from drop down only.">
      <formula1>"1/2,5/4,7/8,RRU TOP JUMPER,N/A"</formula1>
    </dataValidation>
    <dataValidation type="list" xr:uid="{22D34158-734C-4A2E-920B-B309DD9AE2C0}" sqref="N31" showErrorMessage="1" errorTitle="An invalid feedback was entered" error="Please choose feedback from drop down only.">
      <formula1>"1/2,5/4,7/8,RRU TOP JUMPER,N/A"</formula1>
    </dataValidation>
    <dataValidation type="list" xr:uid="{36D24B66-658A-4B37-A82D-0F7257C839AF}" sqref="O31" showErrorMessage="1" errorTitle="An invalid feedback was entered" error="Please choose feedback from drop down only.">
      <formula1>"1/2,5/4,7/8,RRU TOP JUMPER,N/A"</formula1>
    </dataValidation>
    <dataValidation type="list" xr:uid="{56B5A888-8E25-44E7-91ED-ED1FCFF14143}" sqref="P31" showErrorMessage="1" errorTitle="An invalid feedback was entered" error="Please choose feedback from drop down only.">
      <formula1>"1/2,5/4,7/8,RRU TOP JUMPER,N/A"</formula1>
    </dataValidation>
    <dataValidation type="list" xr:uid="{FF9E045E-7F50-4593-BFD0-978749009B43}" sqref="Q31" showErrorMessage="1" errorTitle="An invalid feedback was entered" error="Please choose feedback from drop down only.">
      <formula1>"1/2,5/4,7/8,RRU TOP JUMPER,N/A"</formula1>
    </dataValidation>
    <dataValidation type="list" xr:uid="{BE2877A5-10B8-4411-B748-8464A3378E99}" sqref="C4" showErrorMessage="1" errorTitle="An invalid feedback was entered" error="Please choose feedback from drop down only.">
      <formula1>"1,2,3,4,5,6,N/A"</formula1>
    </dataValidation>
    <dataValidation type="list" xr:uid="{76E9D388-1C47-41FF-814C-D93377E63625}" sqref="D4" showErrorMessage="1" errorTitle="An invalid feedback was entered" error="Please choose feedback from drop down only.">
      <formula1>"1,2,3,4,5,6,N/A"</formula1>
    </dataValidation>
    <dataValidation type="list" xr:uid="{AF5A299B-5196-4FE8-8E77-1617EF6C4015}" sqref="E4" showErrorMessage="1" errorTitle="An invalid feedback was entered" error="Please choose feedback from drop down only.">
      <formula1>"1,2,3,4,5,6,N/A"</formula1>
    </dataValidation>
    <dataValidation type="list" xr:uid="{C9AFA01A-13E9-4863-9587-E76739805592}" sqref="F4" showErrorMessage="1" errorTitle="An invalid feedback was entered" error="Please choose feedback from drop down only.">
      <formula1>"1,2,3,4,5,6,N/A"</formula1>
    </dataValidation>
    <dataValidation type="list" xr:uid="{EE4C146B-048A-4C32-8EBA-6808BBB388E9}" sqref="G4" showErrorMessage="1" errorTitle="An invalid feedback was entered" error="Please choose feedback from drop down only.">
      <formula1>"1,2,3,4,5,6,N/A"</formula1>
    </dataValidation>
    <dataValidation type="list" xr:uid="{81346116-BE81-4185-B6E6-D26A89813791}" sqref="H4" showErrorMessage="1" errorTitle="An invalid feedback was entered" error="Please choose feedback from drop down only.">
      <formula1>"1,2,3,4,5,6,N/A"</formula1>
    </dataValidation>
    <dataValidation type="list" xr:uid="{D7B03A3F-0AAB-4683-AF1B-65AC4EBB23F1}" sqref="I4" showErrorMessage="1" errorTitle="An invalid feedback was entered" error="Please choose feedback from drop down only.">
      <formula1>"1,2,3,4,5,6,N/A"</formula1>
    </dataValidation>
    <dataValidation type="list" xr:uid="{C180363F-710E-4717-A23B-A0C78D7D7880}" sqref="J4" showErrorMessage="1" errorTitle="An invalid feedback was entered" error="Please choose feedback from drop down only.">
      <formula1>"1,2,3,4,5,6,N/A"</formula1>
    </dataValidation>
    <dataValidation type="list" xr:uid="{4C1EBD99-B06D-40D2-823D-D0D5E79DA80B}" sqref="K4" showErrorMessage="1" errorTitle="An invalid feedback was entered" error="Please choose feedback from drop down only.">
      <formula1>"1,2,3,4,5,6,N/A"</formula1>
    </dataValidation>
    <dataValidation type="list" xr:uid="{629C2F0B-1FF1-47C6-9C78-001C8B8B9993}" sqref="L4" showErrorMessage="1" errorTitle="An invalid feedback was entered" error="Please choose feedback from drop down only.">
      <formula1>"1,2,3,4,5,6,N/A"</formula1>
    </dataValidation>
    <dataValidation type="list" xr:uid="{9C187670-FF0D-41FD-B307-5C507BC7E914}" sqref="M4" showErrorMessage="1" errorTitle="An invalid feedback was entered" error="Please choose feedback from drop down only.">
      <formula1>"1,2,3,4,5,6,N/A"</formula1>
    </dataValidation>
    <dataValidation type="list" xr:uid="{725A204D-3293-495F-8416-C77CCC62D631}" sqref="N4" showErrorMessage="1" errorTitle="An invalid feedback was entered" error="Please choose feedback from drop down only.">
      <formula1>"1,2,3,4,5,6,N/A"</formula1>
    </dataValidation>
    <dataValidation type="list" xr:uid="{61D0D37C-AEF2-4E3E-B020-B21B720D0072}" sqref="O4" showErrorMessage="1" errorTitle="An invalid feedback was entered" error="Please choose feedback from drop down only.">
      <formula1>"1,2,3,4,5,6,N/A"</formula1>
    </dataValidation>
    <dataValidation type="list" xr:uid="{6D70BEEA-6F0A-41FF-BAF9-8E356366213A}" sqref="P4" showErrorMessage="1" errorTitle="An invalid feedback was entered" error="Please choose feedback from drop down only.">
      <formula1>"1,2,3,4,5,6,N/A"</formula1>
    </dataValidation>
    <dataValidation type="list" xr:uid="{9784681F-E689-4AA5-8B50-51AFD2BD0B0A}" sqref="Q4" showErrorMessage="1" errorTitle="An invalid feedback was entered" error="Please choose feedback from drop down only.">
      <formula1>"1,2,3,4,5,6,N/A"</formula1>
    </dataValidation>
    <dataValidation type="list" xr:uid="{7D632239-2D2C-494F-91B3-DC384A992E17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4F5D96E-1EF0-4572-92BD-852A1B1CE0D1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8DF14DB-4D8E-4637-8F3B-994F93AD174D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E73A7A9-F36B-4054-BD99-27FAB3966AF8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D8CABE7-F643-43AE-ACAB-E9EFA935E020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FC5D0D9-C5C4-458E-89BB-77805EAFC24E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C5FCEA9-0DE3-4DDA-A4A4-DE368CD7CBA1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BB76382-9FC3-46BC-B64D-8C5BA4819518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ECE42AC-8F6A-473B-93E9-7B0D0E9B1110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05410D2-694B-41AA-A9C6-A574C8B47B2A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A6C13B1-87C5-4B9E-BDCF-BFE8EED3D359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90CB21B-A9E7-446A-9CB5-B3897CC40930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B04C2A1-885F-4C02-AD2E-A779F9E994DC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6E48669-6554-42E4-A784-22B8F230296F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AF98133-EE31-4992-A1D7-887479CE24DD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9F33FBB-90B8-4EE3-805F-78206CD64168}" sqref="C28" showErrorMessage="1" errorTitle="An invalid feedback was entered" error="Please choose feedback from drop down only.">
      <formula1>"Yes,No,FlexRET"</formula1>
    </dataValidation>
    <dataValidation type="list" xr:uid="{EB838CD1-7895-4448-8FAB-F48EF93E00B7}" sqref="D28" showErrorMessage="1" errorTitle="An invalid feedback was entered" error="Please choose feedback from drop down only.">
      <formula1>"Yes,No,FlexRET"</formula1>
    </dataValidation>
    <dataValidation type="list" xr:uid="{E73B2EBF-8326-4F36-879E-9B5D601A44C1}" sqref="E28" showErrorMessage="1" errorTitle="An invalid feedback was entered" error="Please choose feedback from drop down only.">
      <formula1>"Yes,No,FlexRET"</formula1>
    </dataValidation>
    <dataValidation type="list" xr:uid="{127745EC-91F3-4D0C-9A6F-077AD8E1F013}" sqref="F28" showErrorMessage="1" errorTitle="An invalid feedback was entered" error="Please choose feedback from drop down only.">
      <formula1>"Yes,No,FlexRET"</formula1>
    </dataValidation>
    <dataValidation type="list" xr:uid="{42C70004-C287-4E54-A354-4E2041DC2A2F}" sqref="G28" showErrorMessage="1" errorTitle="An invalid feedback was entered" error="Please choose feedback from drop down only.">
      <formula1>"Yes,No,FlexRET"</formula1>
    </dataValidation>
    <dataValidation type="list" xr:uid="{800BEC84-318E-40B9-845C-0A7B936DFC22}" sqref="H28" showErrorMessage="1" errorTitle="An invalid feedback was entered" error="Please choose feedback from drop down only.">
      <formula1>"Yes,No,FlexRET"</formula1>
    </dataValidation>
    <dataValidation type="list" xr:uid="{A0F3EEA7-00C4-441E-934B-1BD35F360FA3}" sqref="I28" showErrorMessage="1" errorTitle="An invalid feedback was entered" error="Please choose feedback from drop down only.">
      <formula1>"Yes,No,FlexRET"</formula1>
    </dataValidation>
    <dataValidation type="list" xr:uid="{E8F8E1F6-3111-4E49-874A-06DA42197EC2}" sqref="J28" showErrorMessage="1" errorTitle="An invalid feedback was entered" error="Please choose feedback from drop down only.">
      <formula1>"Yes,No,FlexRET"</formula1>
    </dataValidation>
    <dataValidation type="list" xr:uid="{9EC7531A-B88C-433D-9B8D-C9968DA5BC5E}" sqref="K28" showErrorMessage="1" errorTitle="An invalid feedback was entered" error="Please choose feedback from drop down only.">
      <formula1>"Yes,No,FlexRET"</formula1>
    </dataValidation>
    <dataValidation type="list" xr:uid="{7FA752B7-ED02-45A4-8375-0ECA55FB99E9}" sqref="L28" showErrorMessage="1" errorTitle="An invalid feedback was entered" error="Please choose feedback from drop down only.">
      <formula1>"Yes,No,FlexRET"</formula1>
    </dataValidation>
    <dataValidation type="list" xr:uid="{74FAB937-19EE-45AD-AC3A-9A50FFFECD46}" sqref="M28" showErrorMessage="1" errorTitle="An invalid feedback was entered" error="Please choose feedback from drop down only.">
      <formula1>"Yes,No,FlexRET"</formula1>
    </dataValidation>
    <dataValidation type="list" xr:uid="{2C4FAC6C-F682-484C-9DF3-BBCD1188F069}" sqref="N28" showErrorMessage="1" errorTitle="An invalid feedback was entered" error="Please choose feedback from drop down only.">
      <formula1>"Yes,No,FlexRET"</formula1>
    </dataValidation>
    <dataValidation type="list" xr:uid="{86EB60CD-62D9-4C66-BBD4-70249F127CFE}" sqref="O28" showErrorMessage="1" errorTitle="An invalid feedback was entered" error="Please choose feedback from drop down only.">
      <formula1>"Yes,No,FlexRET"</formula1>
    </dataValidation>
    <dataValidation type="list" xr:uid="{8936DC7B-D09C-4026-80FA-30EF7DCD98D9}" sqref="P28" showErrorMessage="1" errorTitle="An invalid feedback was entered" error="Please choose feedback from drop down only.">
      <formula1>"Yes,No,FlexRET"</formula1>
    </dataValidation>
    <dataValidation type="list" xr:uid="{C64F3423-95F2-4E6E-AC2D-CD37AB7484A0}" sqref="Q28" showErrorMessage="1" errorTitle="An invalid feedback was entered" error="Please choose feedback from drop down only.">
      <formula1>"Yes,No,FlexRET"</formula1>
    </dataValidation>
    <dataValidation type="list" xr:uid="{2659AC7F-E932-4C26-B080-7B76E88A31EC}" sqref="C29" showErrorMessage="1" errorTitle="An invalid feedback was entered" error="Please choose feedback from drop down only.">
      <formula1>"Yes,No,FlexRET"</formula1>
    </dataValidation>
    <dataValidation type="list" xr:uid="{53690866-BDD3-4464-A2B3-38792DA756DC}" sqref="D29" showErrorMessage="1" errorTitle="An invalid feedback was entered" error="Please choose feedback from drop down only.">
      <formula1>"Yes,No,FlexRET"</formula1>
    </dataValidation>
    <dataValidation type="list" xr:uid="{7868603F-0E1D-4C5D-BB51-86569ABA63F8}" sqref="E29" showErrorMessage="1" errorTitle="An invalid feedback was entered" error="Please choose feedback from drop down only.">
      <formula1>"Yes,No,FlexRET"</formula1>
    </dataValidation>
    <dataValidation type="list" xr:uid="{2B4CE049-3C1D-48C2-A8A3-67B518053ADC}" sqref="F29" showErrorMessage="1" errorTitle="An invalid feedback was entered" error="Please choose feedback from drop down only.">
      <formula1>"Yes,No,FlexRET"</formula1>
    </dataValidation>
    <dataValidation type="list" xr:uid="{47264BEA-E1FA-4F5E-93F9-33421A8EA56E}" sqref="G29" showErrorMessage="1" errorTitle="An invalid feedback was entered" error="Please choose feedback from drop down only.">
      <formula1>"Yes,No,FlexRET"</formula1>
    </dataValidation>
    <dataValidation type="list" xr:uid="{5B95BD2C-8B21-4028-B481-CB8CCC04511D}" sqref="H29" showErrorMessage="1" errorTitle="An invalid feedback was entered" error="Please choose feedback from drop down only.">
      <formula1>"Yes,No,FlexRET"</formula1>
    </dataValidation>
    <dataValidation type="list" xr:uid="{C8F6D132-DEB6-4607-9FD6-FFCDCA02E754}" sqref="I29" showErrorMessage="1" errorTitle="An invalid feedback was entered" error="Please choose feedback from drop down only.">
      <formula1>"Yes,No,FlexRET"</formula1>
    </dataValidation>
    <dataValidation type="list" xr:uid="{22568714-5AF4-4772-85AF-C34FAB91F7C6}" sqref="J29" showErrorMessage="1" errorTitle="An invalid feedback was entered" error="Please choose feedback from drop down only.">
      <formula1>"Yes,No,FlexRET"</formula1>
    </dataValidation>
    <dataValidation type="list" xr:uid="{66FBEC60-3427-4EC9-849C-EF892128C2B0}" sqref="K29" showErrorMessage="1" errorTitle="An invalid feedback was entered" error="Please choose feedback from drop down only.">
      <formula1>"Yes,No,FlexRET"</formula1>
    </dataValidation>
    <dataValidation type="list" xr:uid="{BDCCD6EC-D308-419C-A7C1-6478EB1CACB0}" sqref="L29" showErrorMessage="1" errorTitle="An invalid feedback was entered" error="Please choose feedback from drop down only.">
      <formula1>"Yes,No,FlexRET"</formula1>
    </dataValidation>
    <dataValidation type="list" xr:uid="{FBB3D28E-CEA9-4CFF-8777-C2E69EF80395}" sqref="M29" showErrorMessage="1" errorTitle="An invalid feedback was entered" error="Please choose feedback from drop down only.">
      <formula1>"Yes,No,FlexRET"</formula1>
    </dataValidation>
    <dataValidation type="list" xr:uid="{7F3B744E-5C9D-45C6-BD44-1B0D040C90FD}" sqref="N29" showErrorMessage="1" errorTitle="An invalid feedback was entered" error="Please choose feedback from drop down only.">
      <formula1>"Yes,No,FlexRET"</formula1>
    </dataValidation>
    <dataValidation type="list" xr:uid="{FA0BB280-2A15-4CBE-B860-80D79C4ED227}" sqref="O29" showErrorMessage="1" errorTitle="An invalid feedback was entered" error="Please choose feedback from drop down only.">
      <formula1>"Yes,No,FlexRET"</formula1>
    </dataValidation>
    <dataValidation type="list" xr:uid="{7BF0364F-D43F-493D-8190-E8247B2E0FF8}" sqref="P29" showErrorMessage="1" errorTitle="An invalid feedback was entered" error="Please choose feedback from drop down only.">
      <formula1>"Yes,No,FlexRET"</formula1>
    </dataValidation>
    <dataValidation type="list" xr:uid="{4C5E948C-9340-4CC2-A79F-DBD3F6E6FA84}" sqref="Q29" showErrorMessage="1" errorTitle="An invalid feedback was entered" error="Please choose feedback from drop down only.">
      <formula1>"Yes,No,FlexRET"</formula1>
    </dataValidation>
    <dataValidation type="list" xr:uid="{78DAD4B8-594C-4E6C-A353-4A4D2310B83B}" sqref="C25" showErrorMessage="1" errorTitle="An invalid feedback was entered" error="Please choose feedback from drop down only.">
      <formula1>"G,U,L,NR,GU,UL,GL,GUL,LNR,ULNR,None"</formula1>
    </dataValidation>
    <dataValidation type="list" xr:uid="{8917AED4-0906-4C74-B197-1554D51D4825}" sqref="D25" showErrorMessage="1" errorTitle="An invalid feedback was entered" error="Please choose feedback from drop down only.">
      <formula1>"G,U,L,NR,GU,UL,GL,GUL,LNR,ULNR,None"</formula1>
    </dataValidation>
    <dataValidation type="list" xr:uid="{8D00A122-C84A-47B8-84D8-E00F491FE707}" sqref="E25" showErrorMessage="1" errorTitle="An invalid feedback was entered" error="Please choose feedback from drop down only.">
      <formula1>"G,U,L,NR,GU,UL,GL,GUL,LNR,ULNR,None"</formula1>
    </dataValidation>
    <dataValidation type="list" xr:uid="{2EA8C2DF-17B1-4C0C-BA53-E2235AA4DDD7}" sqref="F25" showErrorMessage="1" errorTitle="An invalid feedback was entered" error="Please choose feedback from drop down only.">
      <formula1>"G,U,L,NR,GU,UL,GL,GUL,LNR,ULNR,None"</formula1>
    </dataValidation>
    <dataValidation type="list" xr:uid="{76E803D2-AC53-42CD-B345-1A137D4C68FA}" sqref="G25" showErrorMessage="1" errorTitle="An invalid feedback was entered" error="Please choose feedback from drop down only.">
      <formula1>"G,U,L,NR,GU,UL,GL,GUL,LNR,ULNR,None"</formula1>
    </dataValidation>
    <dataValidation type="list" xr:uid="{0C766D12-885F-4454-8D4D-8DFA26DF8CCE}" sqref="H25" showErrorMessage="1" errorTitle="An invalid feedback was entered" error="Please choose feedback from drop down only.">
      <formula1>"G,U,L,NR,GU,UL,GL,GUL,LNR,ULNR,None"</formula1>
    </dataValidation>
    <dataValidation type="list" xr:uid="{CE9DD68D-DAC5-4418-8D84-68B3B518FDF1}" sqref="I25" showErrorMessage="1" errorTitle="An invalid feedback was entered" error="Please choose feedback from drop down only.">
      <formula1>"G,U,L,NR,GU,UL,GL,GUL,LNR,ULNR,None"</formula1>
    </dataValidation>
    <dataValidation type="list" xr:uid="{2CB145D2-9347-42FF-8628-95FD5B4D25E6}" sqref="J25" showErrorMessage="1" errorTitle="An invalid feedback was entered" error="Please choose feedback from drop down only.">
      <formula1>"G,U,L,NR,GU,UL,GL,GUL,LNR,ULNR,None"</formula1>
    </dataValidation>
    <dataValidation type="list" xr:uid="{BA670244-E991-4792-BAB7-B72AD30BD2AF}" sqref="K25" showErrorMessage="1" errorTitle="An invalid feedback was entered" error="Please choose feedback from drop down only.">
      <formula1>"G,U,L,NR,GU,UL,GL,GUL,LNR,ULNR,None"</formula1>
    </dataValidation>
    <dataValidation type="list" xr:uid="{CBA4A78D-83B8-47E5-A72F-EEE8E37E2C49}" sqref="L25" showErrorMessage="1" errorTitle="An invalid feedback was entered" error="Please choose feedback from drop down only.">
      <formula1>"G,U,L,NR,GU,UL,GL,GUL,LNR,ULNR,None"</formula1>
    </dataValidation>
    <dataValidation type="list" xr:uid="{CD1FCF7F-3CC2-463C-ADDE-0F420E8BFFE5}" sqref="M25" showErrorMessage="1" errorTitle="An invalid feedback was entered" error="Please choose feedback from drop down only.">
      <formula1>"G,U,L,NR,GU,UL,GL,GUL,LNR,ULNR,None"</formula1>
    </dataValidation>
    <dataValidation type="list" xr:uid="{C4CD7AC1-8590-4C2F-AB20-8977D06F0C6D}" sqref="N25" showErrorMessage="1" errorTitle="An invalid feedback was entered" error="Please choose feedback from drop down only.">
      <formula1>"G,U,L,NR,GU,UL,GL,GUL,LNR,ULNR,None"</formula1>
    </dataValidation>
    <dataValidation type="list" xr:uid="{E05B143E-66E0-4006-A075-BD548503527F}" sqref="O25" showErrorMessage="1" errorTitle="An invalid feedback was entered" error="Please choose feedback from drop down only.">
      <formula1>"G,U,L,NR,GU,UL,GL,GUL,LNR,ULNR,None"</formula1>
    </dataValidation>
    <dataValidation type="list" xr:uid="{6B7BC5D0-B537-4BBB-B9EB-745E3F1E7D0A}" sqref="P25" showErrorMessage="1" errorTitle="An invalid feedback was entered" error="Please choose feedback from drop down only.">
      <formula1>"G,U,L,NR,GU,UL,GL,GUL,LNR,ULNR,None"</formula1>
    </dataValidation>
    <dataValidation type="list" xr:uid="{5F5FA951-4229-40DD-B31F-9DAA347E0D2D}" sqref="Q25" showErrorMessage="1" errorTitle="An invalid feedback was entered" error="Please choose feedback from drop down only.">
      <formula1>"G,U,L,NR,GU,UL,GL,GUL,LNR,ULNR,None"</formula1>
    </dataValidation>
    <dataValidation type="list" xr:uid="{67B87A18-8F4E-44B2-9CDA-5246D76A9D71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E38CB68-91D7-40F8-8C7C-8628F7A934DE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E07F6FA-4585-4CFE-8D7C-BC7067526A76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B9BE72F-7549-4558-99A7-EE53DC8366CB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187A8C3-52A6-4FB6-9941-FF09CB5E1E85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1426594-C1A7-4B15-B2D2-2D0300C9120B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75C807E-3655-48E0-BB26-A18C0B6216A3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158808D-CC59-4FB8-9FD3-E4A14CB0D6F9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EEABEC0-A032-4287-A02C-4FC1AD134198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2F55533-0EE2-4E22-A4A1-B496E9C18487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BCEB3E1-B25B-426A-9ECE-8E53335CE62F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DF855B7-2DAE-45B5-91D9-00494481D7AD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F92CB13-DDA9-4B61-B00C-94B9624140A8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F848AA8-F3AD-4F43-AC8C-CB55F0FD158F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AAA8316-FAF3-4F51-8A88-C567857B965C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25" right="0.25" top="0.75" bottom="0.75" header="0.3" footer="0.3"/>
  <pageSetup paperSize="9" scale="56" fitToHeight="0"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936CF1D8-4DBD-42A9-8B49-E666091B4AB8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6121E286-8B95-426A-A63D-44FC24DA7D06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CFDC30BC-C089-4EC9-AFEA-0C0DF3408068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EDCB1AA1-3B17-4504-91DF-ED7B656BE707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5DCCEA7F-417B-4019-96F0-48322EA77C80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79F95774-6A23-4A68-B664-4664F225242A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4E5180DD-18E6-4FF4-A47C-895389F4F980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37B74863-22DE-473E-935D-131B6E6744D5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9A60170D-0865-4BAC-9C6B-859EBC114D4C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4F5FA961-2785-4CFC-8ED3-2405B7FD6E12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97F140CA-1086-411E-BCED-65ACAF92F753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B2C0F448-444F-4062-B0E0-266EE5EC4C10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86BA2C2C-7806-42F9-B342-1F0BB738AC65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EB31404A-8CB8-4E30-BEB3-A977A406739B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0D868758-DDB4-47D3-B8F4-5682A112F22E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8B643272-F7B3-4C0C-BB3B-B9C27D4CF319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0278BF16-32C9-4B68-A343-BCFE316812D9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B5AA62D5-A3AE-45CC-87C2-6C02450A4AAB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DDBE78A7-71F6-4A1A-BBED-C2BDB2C4820A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29666893-71CD-44ED-B412-AA62D582D860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9297A136-8A2A-4051-A053-689DB917A5EF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44BAEA56-EE32-41B0-8752-062CC2072DC2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FE430DD9-B95E-44F5-9F07-9436D3B09F89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500C24C8-1D5B-479E-8A1B-E3A132F96F66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82552702-F057-424C-86AE-A73C09310DD0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61824A68-19FD-4275-8A33-91F47ADB64F4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015E33DB-B3C0-49E5-8B46-E8999365B10C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51F01BD7-D906-474F-A390-36934DA5C1EB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F1A55923-BA40-43E6-A1EF-44BB4C5ABC6D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75C747F6-ED7F-4FB4-A0B4-F51D2DE3AC5E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C275555B-2CF7-4A48-AB38-B049544C9F4A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41F4E778-B8EE-41F5-AA4D-2C7310C1DD1A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F6C5B5BF-2E24-4077-B4E1-1D4353B88435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F3E97692-8A1E-471D-B880-9FB5970CAE91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BC49F2B0-25D6-43FF-BB01-94C8E5F8E06D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0CBA3BD7-5D61-41DE-A153-EBCDF80163FA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F2F3B2B1-17ED-45A1-8C1C-942E9EC0DA82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C30D7EBB-8430-43CE-A732-BC195D37DCBF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B1929637-4E28-433C-99F7-A9F99B8F4F35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CF84FC7F-8CAE-482C-BC83-68D073AC5BEC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D85D1AFE-A93A-433A-8DE5-F7F0F73CB49F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50A746FA-39E5-45A4-8CC8-4BEA5DB9365C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0AFA2B76-380C-4B02-9D39-2470E2FDD552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C37D76F6-E052-4049-BF0E-7276E1CAC86F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5953ED93-E892-4335-B450-0BB429BA3682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8634F733-96FF-446E-847C-C17A9F16EB6B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93EF4DFC-DBFC-40D2-B934-E0D0A0244B01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23FA1B33-AA99-45CD-BA11-F8FA15D057E7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A5B9F9CB-ED42-409B-BFBE-B17873DD6119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889A0BFC-71F9-4BD1-898E-A52AE649423A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B2C8CC25-0BF7-4518-B71C-33B9C181B67A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FF947C3C-F9B9-4366-9AE4-46A1AD351D17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CC3F640B-FA0A-4856-8AC2-4D3D22970221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BC2DBEAB-2096-4829-B766-66CDE52C1D73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0FC6FC6F-5D50-4FCA-A3C4-758888662FD6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92CBB09D-3E25-4DE6-8E0E-6D7D171A65A3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2F923800-F8BB-4727-A4FA-C4C383B3BF51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39BCA78E-F804-4283-9E64-D8BE596CDF05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3C17760C-2837-43D7-8517-CC4815675B08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B4F2AC9A-18DE-4C74-8A44-441726B5FD09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4">
    <pageSetUpPr fitToPage="1"/>
  </sheetPr>
  <dimension ref="A1:U45"/>
  <sheetViews>
    <sheetView zoomScale="90" zoomScaleNormal="90" workbookViewId="0">
      <selection sqref="A1:B1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>
        <f>Common!B2</f>
        <v>0</v>
      </c>
      <c r="B1" s="198"/>
      <c r="C1" s="258" t="s">
        <v>0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9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26"/>
      <c r="D3" s="227"/>
      <c r="E3" s="227"/>
      <c r="F3" s="227"/>
      <c r="G3" s="227"/>
      <c r="H3" s="227"/>
      <c r="I3" s="227"/>
      <c r="J3" s="227"/>
      <c r="K3" s="227"/>
      <c r="L3" s="227"/>
      <c r="M3" s="227"/>
      <c r="N3" s="227"/>
      <c r="O3" s="227"/>
      <c r="P3" s="228"/>
    </row>
    <row r="4" ht="25.15" s="22" customFormat="1">
      <c r="A4" s="241"/>
      <c r="B4" s="9" t="s">
        <v>3</v>
      </c>
      <c r="C4" s="242"/>
      <c r="D4" s="243"/>
      <c r="E4" s="243"/>
      <c r="F4" s="243"/>
      <c r="G4" s="243"/>
      <c r="H4" s="243"/>
      <c r="I4" s="243"/>
      <c r="J4" s="243"/>
      <c r="K4" s="243"/>
      <c r="L4" s="243"/>
      <c r="M4" s="243"/>
      <c r="N4" s="243"/>
      <c r="O4" s="243"/>
      <c r="P4" s="244"/>
    </row>
    <row r="5" ht="24.75">
      <c r="A5" s="241"/>
      <c r="B5" s="13" t="s">
        <v>4</v>
      </c>
      <c r="C5" s="245">
        <v>310</v>
      </c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60"/>
      <c r="D6" s="261"/>
      <c r="E6" s="261"/>
      <c r="F6" s="261"/>
      <c r="G6" s="261"/>
      <c r="H6" s="261"/>
      <c r="I6" s="261"/>
      <c r="J6" s="261"/>
      <c r="K6" s="261"/>
      <c r="L6" s="261"/>
      <c r="M6" s="261"/>
      <c r="N6" s="261"/>
      <c r="O6" s="261"/>
      <c r="P6" s="262"/>
    </row>
    <row r="7" ht="17.25">
      <c r="A7" s="241"/>
      <c r="B7" s="8" t="s">
        <v>6</v>
      </c>
      <c r="C7" s="226" t="s">
        <v>7</v>
      </c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73"/>
    </row>
    <row r="8" ht="17.65" s="22" customFormat="1">
      <c r="A8" s="241"/>
      <c r="B8" s="9" t="s">
        <v>8</v>
      </c>
      <c r="C8" s="229" t="s">
        <v>7</v>
      </c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74"/>
    </row>
    <row r="9" ht="17.25">
      <c r="A9" s="241"/>
      <c r="B9" s="8" t="s">
        <v>9</v>
      </c>
      <c r="C9" s="211" t="s">
        <v>10</v>
      </c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73"/>
    </row>
    <row r="10" ht="17.65" s="22" customFormat="1">
      <c r="A10" s="241"/>
      <c r="B10" s="10" t="s">
        <v>11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74"/>
    </row>
    <row r="11" ht="17.25">
      <c r="A11" s="241"/>
      <c r="B11" s="8" t="s">
        <v>12</v>
      </c>
      <c r="C11" s="211">
        <v>25.5</v>
      </c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73"/>
    </row>
    <row r="12" ht="17.65" s="22" customFormat="1">
      <c r="A12" s="241"/>
      <c r="B12" s="10" t="s">
        <v>13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74"/>
    </row>
    <row r="13" ht="17.25">
      <c r="A13" s="241"/>
      <c r="B13" s="8" t="s">
        <v>14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73"/>
    </row>
    <row r="14" ht="17.65" s="22" customFormat="1">
      <c r="A14" s="241"/>
      <c r="B14" s="10" t="s">
        <v>15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81"/>
    </row>
    <row r="15" ht="17.25">
      <c r="A15" s="241"/>
      <c r="B15" s="8" t="s">
        <v>16</v>
      </c>
      <c r="C15" s="211">
        <v>-1</v>
      </c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80"/>
    </row>
    <row r="16" ht="17.25" s="22" customFormat="1">
      <c r="A16" s="241"/>
      <c r="B16" s="68" t="s">
        <v>17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18</v>
      </c>
      <c r="C17" s="65" t="s">
        <v>19</v>
      </c>
      <c r="D17" s="65" t="s">
        <v>20</v>
      </c>
      <c r="E17" s="65" t="s">
        <v>21</v>
      </c>
      <c r="F17" s="65" t="s">
        <v>22</v>
      </c>
      <c r="G17" s="65" t="s">
        <v>23</v>
      </c>
      <c r="H17" s="65" t="s">
        <v>24</v>
      </c>
      <c r="I17" s="65" t="s">
        <v>19</v>
      </c>
      <c r="J17" s="65" t="s">
        <v>20</v>
      </c>
      <c r="K17" s="65" t="s">
        <v>21</v>
      </c>
      <c r="L17" s="65" t="s">
        <v>22</v>
      </c>
      <c r="M17" s="65" t="s">
        <v>19</v>
      </c>
      <c r="N17" s="65" t="s">
        <v>20</v>
      </c>
      <c r="O17" s="65" t="s">
        <v>21</v>
      </c>
      <c r="P17" s="76" t="s">
        <v>19</v>
      </c>
    </row>
    <row r="18" ht="17.25">
      <c r="A18" s="256"/>
      <c r="B18" s="70" t="s">
        <v>25</v>
      </c>
      <c r="C18" s="63" t="s">
        <v>26</v>
      </c>
      <c r="D18" s="64" t="s">
        <v>27</v>
      </c>
      <c r="E18" s="64" t="s">
        <v>28</v>
      </c>
      <c r="F18" s="64" t="s">
        <v>29</v>
      </c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30</v>
      </c>
      <c r="C19" s="99">
        <f>VLOOKUP(C8,AntennasPortName!A:H,2,FALSE)</f>
      </c>
      <c r="D19" s="99">
        <f>VLOOKUP(C8,AntennasPortName!A:H,3,FALSE)</f>
      </c>
      <c r="E19" s="99">
        <f>VLOOKUP(C8,AntennasPortName!A:H,4,FALSE)</f>
      </c>
      <c r="F19" s="99">
        <f>VLOOKUP(C8,AntennasPortName!A:H,5,FALSE)</f>
      </c>
      <c r="G19" s="99">
        <f>VLOOKUP(C8,AntennasPortName!A:H,6,FALSE)</f>
      </c>
      <c r="H19" s="99">
        <f>VLOOKUP(C8,AntennasPortName!A:H,7,FALSE)</f>
      </c>
      <c r="I19" s="99">
        <f>VLOOKUP(I8,AntennasPortName!A:H,2,FALSE)</f>
      </c>
      <c r="J19" s="99">
        <f>VLOOKUP(I8,AntennasPortName!A:H,3,FALSE)</f>
      </c>
      <c r="K19" s="99">
        <f>VLOOKUP(I8,AntennasPortName!A:H,4,FALSE)</f>
      </c>
      <c r="L19" s="99">
        <f>VLOOKUP(I8,AntennasPortName!A:H,5,FALSE)</f>
      </c>
      <c r="M19" s="99">
        <f>VLOOKUP(M8,AntennasPortName!A:H,2,FALSE)</f>
      </c>
      <c r="N19" s="99">
        <f>VLOOKUP(M8,AntennasPortName!A:H,3,FALSE)</f>
      </c>
      <c r="O19" s="99">
        <f>VLOOKUP(M8,AntennasPortName!A:H,4,FALSE)</f>
      </c>
      <c r="P19" s="99">
        <f>VLOOKUP(P8,AntennasPortName!A:H,2,FALSE)</f>
      </c>
    </row>
    <row r="20" ht="17.25">
      <c r="A20" s="241"/>
      <c r="B20" s="69" t="s">
        <v>31</v>
      </c>
      <c r="C20" s="61" t="s">
        <v>32</v>
      </c>
      <c r="D20" s="62" t="s">
        <v>32</v>
      </c>
      <c r="E20" s="62" t="s">
        <v>33</v>
      </c>
      <c r="F20" s="62" t="s">
        <v>33</v>
      </c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34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35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36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37</v>
      </c>
      <c r="C24" s="25" t="s">
        <v>38</v>
      </c>
      <c r="D24" s="25" t="s">
        <v>39</v>
      </c>
      <c r="E24" s="25" t="s">
        <v>39</v>
      </c>
      <c r="F24" s="25" t="s">
        <v>40</v>
      </c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41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42</v>
      </c>
      <c r="C26" s="24">
        <v>6</v>
      </c>
      <c r="D26" s="24">
        <v>6</v>
      </c>
      <c r="E26" s="24">
        <v>6</v>
      </c>
      <c r="F26" s="24">
        <v>0</v>
      </c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43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44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45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46</v>
      </c>
      <c r="C30" s="24" t="s">
        <v>47</v>
      </c>
      <c r="D30" s="24" t="s">
        <v>47</v>
      </c>
      <c r="E30" s="24" t="s">
        <v>47</v>
      </c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48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49</v>
      </c>
      <c r="C32" s="25">
        <v>3</v>
      </c>
      <c r="D32" s="25">
        <v>3</v>
      </c>
      <c r="E32" s="25">
        <v>3</v>
      </c>
      <c r="F32" s="25">
        <v>0</v>
      </c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50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51</v>
      </c>
      <c r="C34" s="24" t="s">
        <v>52</v>
      </c>
      <c r="D34" s="24" t="s">
        <v>53</v>
      </c>
      <c r="E34" s="24" t="s">
        <v>54</v>
      </c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55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56</v>
      </c>
      <c r="C36" s="25" t="s">
        <v>57</v>
      </c>
      <c r="D36" s="25" t="s">
        <v>57</v>
      </c>
      <c r="E36" s="25" t="s">
        <v>57</v>
      </c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58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59</v>
      </c>
      <c r="C38" s="25" t="s">
        <v>60</v>
      </c>
      <c r="D38" s="25" t="s">
        <v>60</v>
      </c>
      <c r="E38" s="25" t="s">
        <v>60</v>
      </c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61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62</v>
      </c>
      <c r="C40" s="26" t="s">
        <v>60</v>
      </c>
      <c r="D40" s="26" t="s">
        <v>60</v>
      </c>
      <c r="E40" s="26" t="s">
        <v>60</v>
      </c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63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64</v>
      </c>
      <c r="B42" s="280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C1:P1"/>
    <mergeCell ref="C16:H16"/>
    <mergeCell ref="I16:L16"/>
    <mergeCell ref="M16:O16"/>
    <mergeCell ref="B42:P45"/>
    <mergeCell ref="C12:H12"/>
    <mergeCell ref="I12:L12"/>
    <mergeCell ref="M12:O12"/>
    <mergeCell ref="C13:H13"/>
    <mergeCell ref="I13:L13"/>
    <mergeCell ref="M13:O13"/>
    <mergeCell ref="C14:H14"/>
    <mergeCell ref="I14:L14"/>
    <mergeCell ref="M14:O14"/>
    <mergeCell ref="C15:H15"/>
    <mergeCell ref="I15:L15"/>
    <mergeCell ref="M15:O15"/>
    <mergeCell ref="C10:H10"/>
    <mergeCell ref="I10:L10"/>
    <mergeCell ref="M10:O10"/>
    <mergeCell ref="C11:H11"/>
    <mergeCell ref="I11:L11"/>
    <mergeCell ref="M11:O11"/>
    <mergeCell ref="C8:H8"/>
    <mergeCell ref="I8:L8"/>
    <mergeCell ref="M8:O8"/>
    <mergeCell ref="C9:H9"/>
    <mergeCell ref="I9:L9"/>
    <mergeCell ref="M9:O9"/>
    <mergeCell ref="A1:B1"/>
    <mergeCell ref="A42:A45"/>
    <mergeCell ref="A36:A41"/>
    <mergeCell ref="A34:A35"/>
    <mergeCell ref="A3:A33"/>
    <mergeCell ref="C7:H7"/>
    <mergeCell ref="C2:H2"/>
    <mergeCell ref="I2:L2"/>
    <mergeCell ref="M2:O2"/>
    <mergeCell ref="I7:L7"/>
    <mergeCell ref="M7:O7"/>
    <mergeCell ref="C3:P3"/>
    <mergeCell ref="C4:P4"/>
    <mergeCell ref="C5:P5"/>
    <mergeCell ref="C6:P6"/>
  </mergeCells>
  <conditionalFormatting sqref="C22:E22 C4 H22:O22">
    <cfRule type="cellIs" dxfId="0" priority="43" operator="greaterThan">
      <formula>0</formula>
    </cfRule>
  </conditionalFormatting>
  <conditionalFormatting sqref="C21:E21 H21:O21">
    <cfRule type="expression" dxfId="1" priority="42">
      <formula>ISERROR(C21)</formula>
    </cfRule>
  </conditionalFormatting>
  <conditionalFormatting sqref="C21:E21 H21:O21">
    <cfRule type="cellIs" dxfId="1" priority="41" operator="equal">
      <formula>0</formula>
    </cfRule>
  </conditionalFormatting>
  <conditionalFormatting sqref="C21:E21 H21:O21">
    <cfRule type="cellIs" dxfId="3" priority="40" operator="greaterThan">
      <formula>0</formula>
    </cfRule>
  </conditionalFormatting>
  <conditionalFormatting sqref="C27:O27 D29:O29 D33:O33">
    <cfRule type="cellIs" dxfId="0" priority="39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35">
      <formula>ISBLANK(C8)</formula>
    </cfRule>
  </conditionalFormatting>
  <conditionalFormatting sqref="C29">
    <cfRule type="cellIs" dxfId="0" priority="37" operator="notEqual">
      <formula>VALUE(C28)</formula>
    </cfRule>
  </conditionalFormatting>
  <conditionalFormatting sqref="C29">
    <cfRule type="expression" dxfId="10" priority="36">
      <formula>ISBLANK(C29)</formula>
    </cfRule>
  </conditionalFormatting>
  <conditionalFormatting sqref="C8:O8 C10:O10 C12:O12 C14:O14 C16:O16 C31:O31 D35:O35 D37:O37 D25:O25 D39:O39 D41:O41">
    <cfRule type="cellIs" dxfId="0" priority="38" operator="notEqual">
      <formula>C7</formula>
    </cfRule>
  </conditionalFormatting>
  <conditionalFormatting sqref="C31">
    <cfRule type="expression" dxfId="10" priority="34">
      <formula>ISBLANK(C31)</formula>
    </cfRule>
  </conditionalFormatting>
  <conditionalFormatting sqref="C33">
    <cfRule type="cellIs" dxfId="0" priority="33" operator="notEqual">
      <formula>VALUE(C32)</formula>
    </cfRule>
  </conditionalFormatting>
  <conditionalFormatting sqref="C33">
    <cfRule type="expression" dxfId="10" priority="32">
      <formula>ISBLANK(C33)</formula>
    </cfRule>
  </conditionalFormatting>
  <conditionalFormatting sqref="C35">
    <cfRule type="cellIs" dxfId="0" priority="31" operator="notEqual">
      <formula>C34</formula>
    </cfRule>
  </conditionalFormatting>
  <conditionalFormatting sqref="C35">
    <cfRule type="expression" dxfId="10" priority="30">
      <formula>ISBLANK(C35)</formula>
    </cfRule>
  </conditionalFormatting>
  <conditionalFormatting sqref="C37">
    <cfRule type="cellIs" dxfId="0" priority="29" operator="notEqual">
      <formula>C36</formula>
    </cfRule>
  </conditionalFormatting>
  <conditionalFormatting sqref="C37">
    <cfRule type="expression" dxfId="10" priority="28">
      <formula>ISBLANK(C37)</formula>
    </cfRule>
  </conditionalFormatting>
  <conditionalFormatting sqref="C6">
    <cfRule type="expression" dxfId="10" priority="26">
      <formula>ISBLANK(C6)</formula>
    </cfRule>
    <cfRule type="cellIs" dxfId="0" priority="27" operator="notEqual">
      <formula>C5</formula>
    </cfRule>
  </conditionalFormatting>
  <conditionalFormatting sqref="C25">
    <cfRule type="cellIs" dxfId="0" priority="25" operator="notEqual">
      <formula>C24</formula>
    </cfRule>
  </conditionalFormatting>
  <conditionalFormatting sqref="C25">
    <cfRule type="expression" dxfId="10" priority="24">
      <formula>ISBLANK(C25)</formula>
    </cfRule>
  </conditionalFormatting>
  <conditionalFormatting sqref="C39">
    <cfRule type="cellIs" dxfId="0" priority="23" operator="notEqual">
      <formula>C38</formula>
    </cfRule>
  </conditionalFormatting>
  <conditionalFormatting sqref="C39">
    <cfRule type="expression" dxfId="10" priority="22">
      <formula>ISBLANK(C39)</formula>
    </cfRule>
  </conditionalFormatting>
  <conditionalFormatting sqref="C41">
    <cfRule type="cellIs" dxfId="0" priority="21" operator="notEqual">
      <formula>C40</formula>
    </cfRule>
  </conditionalFormatting>
  <conditionalFormatting sqref="C41">
    <cfRule type="expression" dxfId="10" priority="20">
      <formula>ISBLANK(C41)</formula>
    </cfRule>
  </conditionalFormatting>
  <conditionalFormatting sqref="C24:O41">
    <cfRule type="expression" dxfId="1" priority="19" stopIfTrue="1">
      <formula>OR(C$22="Free",C$22="Telenor",C$22="Mtel",C$22="Telenor&amp;Mtel")</formula>
    </cfRule>
  </conditionalFormatting>
  <conditionalFormatting sqref="F22:G22">
    <cfRule type="cellIs" dxfId="0" priority="18" operator="greaterThan">
      <formula>0</formula>
    </cfRule>
  </conditionalFormatting>
  <conditionalFormatting sqref="F21:G21">
    <cfRule type="expression" dxfId="1" priority="17">
      <formula>ISERROR(F21)</formula>
    </cfRule>
  </conditionalFormatting>
  <conditionalFormatting sqref="F21:G21">
    <cfRule type="cellIs" dxfId="1" priority="16" operator="equal">
      <formula>0</formula>
    </cfRule>
  </conditionalFormatting>
  <conditionalFormatting sqref="F21:G21">
    <cfRule type="cellIs" dxfId="3" priority="15" operator="greaterThan">
      <formula>0</formula>
    </cfRule>
  </conditionalFormatting>
  <conditionalFormatting sqref="P22">
    <cfRule type="cellIs" dxfId="0" priority="14" operator="greaterThan">
      <formula>0</formula>
    </cfRule>
  </conditionalFormatting>
  <conditionalFormatting sqref="P21">
    <cfRule type="expression" dxfId="1" priority="13">
      <formula>ISERROR(P21)</formula>
    </cfRule>
  </conditionalFormatting>
  <conditionalFormatting sqref="P21">
    <cfRule type="cellIs" dxfId="1" priority="12" operator="equal">
      <formula>0</formula>
    </cfRule>
  </conditionalFormatting>
  <conditionalFormatting sqref="P21">
    <cfRule type="cellIs" dxfId="3" priority="11" operator="greaterThan">
      <formula>0</formula>
    </cfRule>
  </conditionalFormatting>
  <conditionalFormatting sqref="P27 P29 P33">
    <cfRule type="cellIs" dxfId="0" priority="10" operator="notEqual">
      <formula>VALUE(P26)</formula>
    </cfRule>
  </conditionalFormatting>
  <conditionalFormatting sqref="P8 P10 P12 P14 P16 P27 P29 P31 P33 P35 P37 P25 P39 P41">
    <cfRule type="expression" dxfId="10" priority="8">
      <formula>ISBLANK(P8)</formula>
    </cfRule>
  </conditionalFormatting>
  <conditionalFormatting sqref="P8 P10 P12 P14 P16 P31 P35 P37 P25 P39 P41">
    <cfRule type="cellIs" dxfId="0" priority="9" operator="notEqual">
      <formula>P7</formula>
    </cfRule>
  </conditionalFormatting>
  <conditionalFormatting sqref="P24:P41">
    <cfRule type="expression" dxfId="1" priority="7" stopIfTrue="1">
      <formula>OR(P$22="Free",P$22="Telenor",P$22="Mtel",P$22="Telenor&amp;Mtel")</formula>
    </cfRule>
  </conditionalFormatting>
  <conditionalFormatting sqref="C19">
    <cfRule type="cellIs" dxfId="1" priority="4" operator="equal">
      <formula>0</formula>
    </cfRule>
    <cfRule type="expression" dxfId="1" priority="6">
      <formula>ISERROR(C19)</formula>
    </cfRule>
  </conditionalFormatting>
  <conditionalFormatting sqref="D19:P19">
    <cfRule type="cellIs" dxfId="1" priority="2" operator="equal">
      <formula>0</formula>
    </cfRule>
    <cfRule type="expression" dxfId="1" priority="3">
      <formula>ISERROR(D19)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6DEB4968-9FBD-40DE-BE9A-F113839B7BC3}" sqref="C2" showErrorMessage="1" errorTitle="An invalid feedback was entered" error="Please choose feedback from drop down only.">
      <formula1>"1,2,3"</formula1>
    </dataValidation>
    <dataValidation type="list" xr:uid="{C1DE45CD-0C6F-4C20-B266-4D14E490933F}" sqref="D2" showErrorMessage="1" errorTitle="An invalid feedback was entered" error="Please choose feedback from drop down only.">
      <formula1>"1,2,3"</formula1>
    </dataValidation>
    <dataValidation type="list" xr:uid="{CFE3F45B-356A-4F4D-AA21-F2D5A73A9B35}" sqref="E2" showErrorMessage="1" errorTitle="An invalid feedback was entered" error="Please choose feedback from drop down only.">
      <formula1>"1,2,3"</formula1>
    </dataValidation>
    <dataValidation type="list" xr:uid="{2DB94318-1FF7-4814-9882-6BC3765FD92A}" sqref="F2" showErrorMessage="1" errorTitle="An invalid feedback was entered" error="Please choose feedback from drop down only.">
      <formula1>"1,2,3"</formula1>
    </dataValidation>
    <dataValidation type="list" xr:uid="{56548808-F00A-429B-AA59-90F176968B47}" sqref="G2" showErrorMessage="1" errorTitle="An invalid feedback was entered" error="Please choose feedback from drop down only.">
      <formula1>"1,2,3"</formula1>
    </dataValidation>
    <dataValidation type="list" xr:uid="{0329AB1C-C01D-4F24-8224-EBD69F180DA2}" sqref="H2" showErrorMessage="1" errorTitle="An invalid feedback was entered" error="Please choose feedback from drop down only.">
      <formula1>"1,2,3"</formula1>
    </dataValidation>
    <dataValidation type="list" xr:uid="{C83225D3-F20E-49E6-B258-33664A5CCADF}" sqref="I2" showErrorMessage="1" errorTitle="An invalid feedback was entered" error="Please choose feedback from drop down only.">
      <formula1>"1,2,3"</formula1>
    </dataValidation>
    <dataValidation type="list" xr:uid="{0BF988FB-76ED-488B-8943-87CB6D484261}" sqref="J2" showErrorMessage="1" errorTitle="An invalid feedback was entered" error="Please choose feedback from drop down only.">
      <formula1>"1,2,3"</formula1>
    </dataValidation>
    <dataValidation type="list" xr:uid="{9307C7CA-613B-443D-9804-29EDB30AAB91}" sqref="K2" showErrorMessage="1" errorTitle="An invalid feedback was entered" error="Please choose feedback from drop down only.">
      <formula1>"1,2,3"</formula1>
    </dataValidation>
    <dataValidation type="list" xr:uid="{ABA14C61-A17C-4D22-A94A-312A4B0AE94D}" sqref="L2" showErrorMessage="1" errorTitle="An invalid feedback was entered" error="Please choose feedback from drop down only.">
      <formula1>"1,2,3"</formula1>
    </dataValidation>
    <dataValidation type="list" xr:uid="{445E0CDD-3E92-426B-B348-A26FE35CFCCB}" sqref="M2" showErrorMessage="1" errorTitle="An invalid feedback was entered" error="Please choose feedback from drop down only.">
      <formula1>"1,2,3"</formula1>
    </dataValidation>
    <dataValidation type="list" xr:uid="{A668F357-492E-47D8-B69B-795EB9F3DEE6}" sqref="N2" showErrorMessage="1" errorTitle="An invalid feedback was entered" error="Please choose feedback from drop down only.">
      <formula1>"1,2,3"</formula1>
    </dataValidation>
    <dataValidation type="list" xr:uid="{6327E4B6-770D-4ADF-99E7-3C8F5D07D4A4}" sqref="O2" showErrorMessage="1" errorTitle="An invalid feedback was entered" error="Please choose feedback from drop down only.">
      <formula1>"1,2,3"</formula1>
    </dataValidation>
    <dataValidation type="list" xr:uid="{B5FF2F3A-0C9A-4035-BBBE-24F55DB44A71}" sqref="P2" showErrorMessage="1" errorTitle="An invalid feedback was entered" error="Please choose feedback from drop down only.">
      <formula1>"1,2,3"</formula1>
    </dataValidation>
    <dataValidation type="list" xr:uid="{F632ECE0-B84B-43C8-A46B-AF3BECA2030E}" sqref="Q2" showErrorMessage="1" errorTitle="An invalid feedback was entered" error="Please choose feedback from drop down only.">
      <formula1>"1,2,3"</formula1>
    </dataValidation>
    <dataValidation type="list" xr:uid="{C5F9451E-E216-4867-82AB-62930D38B4EE}" sqref="C17" showErrorMessage="1" errorTitle="An invalid feedback was entered" error="Please choose feedback from drop down only.">
      <formula1>"1-2,3-4,5-6,7-8,9-10,N/A"</formula1>
    </dataValidation>
    <dataValidation type="list" xr:uid="{F51C933B-4651-4D08-A445-A355D255993C}" sqref="D17" showErrorMessage="1" errorTitle="An invalid feedback was entered" error="Please choose feedback from drop down only.">
      <formula1>"1-2,3-4,5-6,7-8,9-10,N/A"</formula1>
    </dataValidation>
    <dataValidation type="list" xr:uid="{DC4B6BFA-13C6-4C64-8D34-782677F3622A}" sqref="E17" showErrorMessage="1" errorTitle="An invalid feedback was entered" error="Please choose feedback from drop down only.">
      <formula1>"1-2,3-4,5-6,7-8,9-10,N/A"</formula1>
    </dataValidation>
    <dataValidation type="list" xr:uid="{4FC132CE-90BB-47FF-828D-B894A9565979}" sqref="F17" showErrorMessage="1" errorTitle="An invalid feedback was entered" error="Please choose feedback from drop down only.">
      <formula1>"1-2,3-4,5-6,7-8,9-10,N/A"</formula1>
    </dataValidation>
    <dataValidation type="list" xr:uid="{DA2DEDB3-0C51-4C4C-9476-3E479D89E9BF}" sqref="G17" showErrorMessage="1" errorTitle="An invalid feedback was entered" error="Please choose feedback from drop down only.">
      <formula1>"1-2,3-4,5-6,7-8,9-10,N/A"</formula1>
    </dataValidation>
    <dataValidation type="list" xr:uid="{F88930B2-C516-47D4-AAF1-18CA94186BF9}" sqref="H17" showErrorMessage="1" errorTitle="An invalid feedback was entered" error="Please choose feedback from drop down only.">
      <formula1>"1-2,3-4,5-6,7-8,9-10,N/A"</formula1>
    </dataValidation>
    <dataValidation type="list" xr:uid="{51AC732F-D892-4534-B2EE-14DCAEB03A0B}" sqref="I17" showErrorMessage="1" errorTitle="An invalid feedback was entered" error="Please choose feedback from drop down only.">
      <formula1>"1-2,3-4,5-6,7-8,9-10,N/A"</formula1>
    </dataValidation>
    <dataValidation type="list" xr:uid="{C78DDDDD-8817-4350-BD5D-2AD2D3BED778}" sqref="J17" showErrorMessage="1" errorTitle="An invalid feedback was entered" error="Please choose feedback from drop down only.">
      <formula1>"1-2,3-4,5-6,7-8,9-10,N/A"</formula1>
    </dataValidation>
    <dataValidation type="list" xr:uid="{DB1B987F-A338-4FFE-B451-FC20E1BAB815}" sqref="K17" showErrorMessage="1" errorTitle="An invalid feedback was entered" error="Please choose feedback from drop down only.">
      <formula1>"1-2,3-4,5-6,7-8,9-10,N/A"</formula1>
    </dataValidation>
    <dataValidation type="list" xr:uid="{E1C714B4-C04E-4FA6-A71F-8D0274E72023}" sqref="L17" showErrorMessage="1" errorTitle="An invalid feedback was entered" error="Please choose feedback from drop down only.">
      <formula1>"1-2,3-4,5-6,7-8,9-10,N/A"</formula1>
    </dataValidation>
    <dataValidation type="list" xr:uid="{3EE6E4EC-56BD-4633-9F25-BC8A60C9D034}" sqref="M17" showErrorMessage="1" errorTitle="An invalid feedback was entered" error="Please choose feedback from drop down only.">
      <formula1>"1-2,3-4,5-6,7-8,9-10,N/A"</formula1>
    </dataValidation>
    <dataValidation type="list" xr:uid="{E4A24C3D-239F-4930-8662-8A095804B8D2}" sqref="N17" showErrorMessage="1" errorTitle="An invalid feedback was entered" error="Please choose feedback from drop down only.">
      <formula1>"1-2,3-4,5-6,7-8,9-10,N/A"</formula1>
    </dataValidation>
    <dataValidation type="list" xr:uid="{B64B1BDF-1C62-4284-8133-645F1F5C3AEF}" sqref="O17" showErrorMessage="1" errorTitle="An invalid feedback was entered" error="Please choose feedback from drop down only.">
      <formula1>"1-2,3-4,5-6,7-8,9-10,N/A"</formula1>
    </dataValidation>
    <dataValidation type="list" xr:uid="{0CC58E7C-069D-44C6-94AC-63FAC3F8BA46}" sqref="P17" showErrorMessage="1" errorTitle="An invalid feedback was entered" error="Please choose feedback from drop down only.">
      <formula1>"1-2,3-4,5-6,7-8,9-10,N/A"</formula1>
    </dataValidation>
    <dataValidation type="list" xr:uid="{8F4CB68C-DE86-4EB4-8286-ECABFAB9C2BA}" sqref="Q17" showErrorMessage="1" errorTitle="An invalid feedback was entered" error="Please choose feedback from drop down only.">
      <formula1>"1-2,3-4,5-6,7-8,9-10,N/A"</formula1>
    </dataValidation>
    <dataValidation type="list" xr:uid="{F118844C-D1F3-4641-AAB9-34B848551D71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FE01876E-8863-436F-A6FB-BEF2CBA698C8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307642EE-08C9-4C28-B940-28F3B9746E9A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AEC112BD-B3F5-4E68-9861-472985F79518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2DCF7151-CEEF-4DA9-AE5A-CFED7353F6F3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4AF9EDB5-928E-4002-9949-39C6F9185190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6AC4EA7D-EC21-4217-B44B-6460F346DADF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CFCB3B80-BADE-4894-93AE-6165E87AEDC0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F4569D27-B069-47B9-B69A-911FEA13BB35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3AB09196-7B43-4331-8975-21FB1CE572D6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69CCDC1A-4A7B-4D7F-9156-A7923C3D3E52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DE9AAC2A-C0A1-4122-BBA3-E89F6DC820BD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DE5EE26B-9E46-4065-86AC-1A224E80C64A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188E03D3-0B9D-4EFB-9989-09F32362F078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7316AA60-7407-4B4D-843C-EF1FE5DF80F7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1B2C5C13-7515-4B96-859C-7F6D9A0D5A19}" sqref="C23" showErrorMessage="1" errorTitle="An invalid feedback was entered" error="Please choose feedback from drop down only.">
      <formula1>"Yetel,Bulsatcom,A1,Yetel&amp;A1,N/A"</formula1>
    </dataValidation>
    <dataValidation type="list" xr:uid="{D6AFF41E-EADA-4AB3-BB82-79DB9DBFEA73}" sqref="D23" showErrorMessage="1" errorTitle="An invalid feedback was entered" error="Please choose feedback from drop down only.">
      <formula1>"Yetel,Bulsatcom,A1,Yetel&amp;A1,N/A"</formula1>
    </dataValidation>
    <dataValidation type="list" xr:uid="{DFF139EC-1D30-4E26-8CFC-F9482F4AF98D}" sqref="E23" showErrorMessage="1" errorTitle="An invalid feedback was entered" error="Please choose feedback from drop down only.">
      <formula1>"Yetel,Bulsatcom,A1,Yetel&amp;A1,N/A"</formula1>
    </dataValidation>
    <dataValidation type="list" xr:uid="{F9D9ED0B-A4ED-4633-BC84-2D65F1CA1571}" sqref="F23" showErrorMessage="1" errorTitle="An invalid feedback was entered" error="Please choose feedback from drop down only.">
      <formula1>"Yetel,Bulsatcom,A1,Yetel&amp;A1,N/A"</formula1>
    </dataValidation>
    <dataValidation type="list" xr:uid="{1EA03599-0B61-421B-AE0C-65539B72D1FD}" sqref="G23" showErrorMessage="1" errorTitle="An invalid feedback was entered" error="Please choose feedback from drop down only.">
      <formula1>"Yetel,Bulsatcom,A1,Yetel&amp;A1,N/A"</formula1>
    </dataValidation>
    <dataValidation type="list" xr:uid="{80B4984E-447F-4102-A47D-07179B5489F5}" sqref="H23" showErrorMessage="1" errorTitle="An invalid feedback was entered" error="Please choose feedback from drop down only.">
      <formula1>"Yetel,Bulsatcom,A1,Yetel&amp;A1,N/A"</formula1>
    </dataValidation>
    <dataValidation type="list" xr:uid="{091CA8F7-6AD2-4472-B9B8-52565C2AD9F3}" sqref="I23" showErrorMessage="1" errorTitle="An invalid feedback was entered" error="Please choose feedback from drop down only.">
      <formula1>"Yetel,Bulsatcom,A1,Yetel&amp;A1,N/A"</formula1>
    </dataValidation>
    <dataValidation type="list" xr:uid="{2A82B81F-3701-460B-B355-31F4AA3E2A61}" sqref="J23" showErrorMessage="1" errorTitle="An invalid feedback was entered" error="Please choose feedback from drop down only.">
      <formula1>"Yetel,Bulsatcom,A1,Yetel&amp;A1,N/A"</formula1>
    </dataValidation>
    <dataValidation type="list" xr:uid="{ED3050F5-4CCC-4976-AE48-8896D6324976}" sqref="K23" showErrorMessage="1" errorTitle="An invalid feedback was entered" error="Please choose feedback from drop down only.">
      <formula1>"Yetel,Bulsatcom,A1,Yetel&amp;A1,N/A"</formula1>
    </dataValidation>
    <dataValidation type="list" xr:uid="{803C7E61-29C2-413F-8149-240A472D87A9}" sqref="L23" showErrorMessage="1" errorTitle="An invalid feedback was entered" error="Please choose feedback from drop down only.">
      <formula1>"Yetel,Bulsatcom,A1,Yetel&amp;A1,N/A"</formula1>
    </dataValidation>
    <dataValidation type="list" xr:uid="{8C68A8EF-363F-49A4-B9E1-24062684C6C2}" sqref="M23" showErrorMessage="1" errorTitle="An invalid feedback was entered" error="Please choose feedback from drop down only.">
      <formula1>"Yetel,Bulsatcom,A1,Yetel&amp;A1,N/A"</formula1>
    </dataValidation>
    <dataValidation type="list" xr:uid="{DD4E8FF3-7515-4951-8BA8-3A24436D6003}" sqref="N23" showErrorMessage="1" errorTitle="An invalid feedback was entered" error="Please choose feedback from drop down only.">
      <formula1>"Yetel,Bulsatcom,A1,Yetel&amp;A1,N/A"</formula1>
    </dataValidation>
    <dataValidation type="list" xr:uid="{B329370A-62EF-4CA0-9AAC-A630C9359908}" sqref="O23" showErrorMessage="1" errorTitle="An invalid feedback was entered" error="Please choose feedback from drop down only.">
      <formula1>"Yetel,Bulsatcom,A1,Yetel&amp;A1,N/A"</formula1>
    </dataValidation>
    <dataValidation type="list" xr:uid="{EC3AB44E-B35A-4E94-A428-4D02C65CADD8}" sqref="P23" showErrorMessage="1" errorTitle="An invalid feedback was entered" error="Please choose feedback from drop down only.">
      <formula1>"Yetel,Bulsatcom,A1,Yetel&amp;A1,N/A"</formula1>
    </dataValidation>
    <dataValidation type="list" xr:uid="{B8F57356-104B-4C33-AE6F-15AE9052BCF5}" sqref="Q23" showErrorMessage="1" errorTitle="An invalid feedback was entered" error="Please choose feedback from drop down only.">
      <formula1>"Yetel,Bulsatcom,A1,Yetel&amp;A1,N/A"</formula1>
    </dataValidation>
    <dataValidation type="list" xr:uid="{C5637D6E-CAF7-42E1-B94B-1D95AC3B87B9}" sqref="C31" showErrorMessage="1" errorTitle="An invalid feedback was entered" error="Please choose feedback from drop down only.">
      <formula1>"1/2,5/4,7/8,RRU TOP JUMPER,N/A"</formula1>
    </dataValidation>
    <dataValidation type="list" xr:uid="{EA29221C-FC57-447D-94FE-A188D94ECC92}" sqref="D31" showErrorMessage="1" errorTitle="An invalid feedback was entered" error="Please choose feedback from drop down only.">
      <formula1>"1/2,5/4,7/8,RRU TOP JUMPER,N/A"</formula1>
    </dataValidation>
    <dataValidation type="list" xr:uid="{39793821-007B-4656-A44B-24ED8C470F26}" sqref="E31" showErrorMessage="1" errorTitle="An invalid feedback was entered" error="Please choose feedback from drop down only.">
      <formula1>"1/2,5/4,7/8,RRU TOP JUMPER,N/A"</formula1>
    </dataValidation>
    <dataValidation type="list" xr:uid="{D3742DAB-D5E7-4AC3-80D6-90BC1A14B8FB}" sqref="F31" showErrorMessage="1" errorTitle="An invalid feedback was entered" error="Please choose feedback from drop down only.">
      <formula1>"1/2,5/4,7/8,RRU TOP JUMPER,N/A"</formula1>
    </dataValidation>
    <dataValidation type="list" xr:uid="{8E912CA5-2F2E-46E3-B9B1-B2AF936D1BD9}" sqref="G31" showErrorMessage="1" errorTitle="An invalid feedback was entered" error="Please choose feedback from drop down only.">
      <formula1>"1/2,5/4,7/8,RRU TOP JUMPER,N/A"</formula1>
    </dataValidation>
    <dataValidation type="list" xr:uid="{38CE10AA-7161-418C-82E1-AB0741AF4E88}" sqref="H31" showErrorMessage="1" errorTitle="An invalid feedback was entered" error="Please choose feedback from drop down only.">
      <formula1>"1/2,5/4,7/8,RRU TOP JUMPER,N/A"</formula1>
    </dataValidation>
    <dataValidation type="list" xr:uid="{52919389-234C-4587-854C-60C238442C00}" sqref="I31" showErrorMessage="1" errorTitle="An invalid feedback was entered" error="Please choose feedback from drop down only.">
      <formula1>"1/2,5/4,7/8,RRU TOP JUMPER,N/A"</formula1>
    </dataValidation>
    <dataValidation type="list" xr:uid="{2847EE91-D8A9-43E2-8B88-FCCD997BB864}" sqref="J31" showErrorMessage="1" errorTitle="An invalid feedback was entered" error="Please choose feedback from drop down only.">
      <formula1>"1/2,5/4,7/8,RRU TOP JUMPER,N/A"</formula1>
    </dataValidation>
    <dataValidation type="list" xr:uid="{824C513B-6049-428D-B325-0C08185427AF}" sqref="K31" showErrorMessage="1" errorTitle="An invalid feedback was entered" error="Please choose feedback from drop down only.">
      <formula1>"1/2,5/4,7/8,RRU TOP JUMPER,N/A"</formula1>
    </dataValidation>
    <dataValidation type="list" xr:uid="{C9A98216-CCC2-4958-9D15-1CC153BFB81F}" sqref="L31" showErrorMessage="1" errorTitle="An invalid feedback was entered" error="Please choose feedback from drop down only.">
      <formula1>"1/2,5/4,7/8,RRU TOP JUMPER,N/A"</formula1>
    </dataValidation>
    <dataValidation type="list" xr:uid="{C49BFA39-858C-4EF2-8356-85AB953C2D76}" sqref="M31" showErrorMessage="1" errorTitle="An invalid feedback was entered" error="Please choose feedback from drop down only.">
      <formula1>"1/2,5/4,7/8,RRU TOP JUMPER,N/A"</formula1>
    </dataValidation>
    <dataValidation type="list" xr:uid="{B94326F0-6500-4618-8D33-B109E5E6227E}" sqref="N31" showErrorMessage="1" errorTitle="An invalid feedback was entered" error="Please choose feedback from drop down only.">
      <formula1>"1/2,5/4,7/8,RRU TOP JUMPER,N/A"</formula1>
    </dataValidation>
    <dataValidation type="list" xr:uid="{9EF76DEA-4587-4979-8A24-C4558837AA58}" sqref="O31" showErrorMessage="1" errorTitle="An invalid feedback was entered" error="Please choose feedback from drop down only.">
      <formula1>"1/2,5/4,7/8,RRU TOP JUMPER,N/A"</formula1>
    </dataValidation>
    <dataValidation type="list" xr:uid="{D4036284-4C1F-4578-B3CB-9EF443AB2339}" sqref="P31" showErrorMessage="1" errorTitle="An invalid feedback was entered" error="Please choose feedback from drop down only.">
      <formula1>"1/2,5/4,7/8,RRU TOP JUMPER,N/A"</formula1>
    </dataValidation>
    <dataValidation type="list" xr:uid="{1604DA16-F691-4FD1-8094-A814BEEEA37F}" sqref="Q31" showErrorMessage="1" errorTitle="An invalid feedback was entered" error="Please choose feedback from drop down only.">
      <formula1>"1/2,5/4,7/8,RRU TOP JUMPER,N/A"</formula1>
    </dataValidation>
    <dataValidation type="list" xr:uid="{B2BBEEF3-4D27-4E4C-B19B-04E5AEA40FEA}" sqref="C4" showErrorMessage="1" errorTitle="An invalid feedback was entered" error="Please choose feedback from drop down only.">
      <formula1>"1,2,3,4,5,6,N/A"</formula1>
    </dataValidation>
    <dataValidation type="list" xr:uid="{B0566528-9414-4FA2-8C3A-86A71D842B02}" sqref="D4" showErrorMessage="1" errorTitle="An invalid feedback was entered" error="Please choose feedback from drop down only.">
      <formula1>"1,2,3,4,5,6,N/A"</formula1>
    </dataValidation>
    <dataValidation type="list" xr:uid="{F7A9412B-4B5F-44E1-BB9A-7A89B4C8C415}" sqref="E4" showErrorMessage="1" errorTitle="An invalid feedback was entered" error="Please choose feedback from drop down only.">
      <formula1>"1,2,3,4,5,6,N/A"</formula1>
    </dataValidation>
    <dataValidation type="list" xr:uid="{25A6744C-D51D-4EED-BC40-4E061B81D0DF}" sqref="F4" showErrorMessage="1" errorTitle="An invalid feedback was entered" error="Please choose feedback from drop down only.">
      <formula1>"1,2,3,4,5,6,N/A"</formula1>
    </dataValidation>
    <dataValidation type="list" xr:uid="{ECA2E191-0AB0-4BB3-BB8F-6CBF3765CA1D}" sqref="G4" showErrorMessage="1" errorTitle="An invalid feedback was entered" error="Please choose feedback from drop down only.">
      <formula1>"1,2,3,4,5,6,N/A"</formula1>
    </dataValidation>
    <dataValidation type="list" xr:uid="{B2333E96-6EC9-45DE-938F-10795A016117}" sqref="H4" showErrorMessage="1" errorTitle="An invalid feedback was entered" error="Please choose feedback from drop down only.">
      <formula1>"1,2,3,4,5,6,N/A"</formula1>
    </dataValidation>
    <dataValidation type="list" xr:uid="{961F405A-04C5-4762-AFC9-451BE9E44E73}" sqref="I4" showErrorMessage="1" errorTitle="An invalid feedback was entered" error="Please choose feedback from drop down only.">
      <formula1>"1,2,3,4,5,6,N/A"</formula1>
    </dataValidation>
    <dataValidation type="list" xr:uid="{2AA2C42A-80E8-43C5-AA6E-9623F2450F19}" sqref="J4" showErrorMessage="1" errorTitle="An invalid feedback was entered" error="Please choose feedback from drop down only.">
      <formula1>"1,2,3,4,5,6,N/A"</formula1>
    </dataValidation>
    <dataValidation type="list" xr:uid="{6F48E36B-A98A-461E-A419-3A9274014954}" sqref="K4" showErrorMessage="1" errorTitle="An invalid feedback was entered" error="Please choose feedback from drop down only.">
      <formula1>"1,2,3,4,5,6,N/A"</formula1>
    </dataValidation>
    <dataValidation type="list" xr:uid="{A4BD38BC-5410-4ACA-8F89-77388614EA22}" sqref="L4" showErrorMessage="1" errorTitle="An invalid feedback was entered" error="Please choose feedback from drop down only.">
      <formula1>"1,2,3,4,5,6,N/A"</formula1>
    </dataValidation>
    <dataValidation type="list" xr:uid="{C21E308C-1BE4-432E-B410-3267A39EE2C8}" sqref="M4" showErrorMessage="1" errorTitle="An invalid feedback was entered" error="Please choose feedback from drop down only.">
      <formula1>"1,2,3,4,5,6,N/A"</formula1>
    </dataValidation>
    <dataValidation type="list" xr:uid="{E93E33EC-7AA6-4672-8899-94BA9193B129}" sqref="N4" showErrorMessage="1" errorTitle="An invalid feedback was entered" error="Please choose feedback from drop down only.">
      <formula1>"1,2,3,4,5,6,N/A"</formula1>
    </dataValidation>
    <dataValidation type="list" xr:uid="{8840409A-F99A-4744-A40E-6A3D18476DE0}" sqref="O4" showErrorMessage="1" errorTitle="An invalid feedback was entered" error="Please choose feedback from drop down only.">
      <formula1>"1,2,3,4,5,6,N/A"</formula1>
    </dataValidation>
    <dataValidation type="list" xr:uid="{C3734F9B-434B-4D90-82EC-C4BDDDF3B44B}" sqref="P4" showErrorMessage="1" errorTitle="An invalid feedback was entered" error="Please choose feedback from drop down only.">
      <formula1>"1,2,3,4,5,6,N/A"</formula1>
    </dataValidation>
    <dataValidation type="list" xr:uid="{D95F7B0B-6954-487F-9918-9113135673BE}" sqref="Q4" showErrorMessage="1" errorTitle="An invalid feedback was entered" error="Please choose feedback from drop down only.">
      <formula1>"1,2,3,4,5,6,N/A"</formula1>
    </dataValidation>
    <dataValidation type="list" xr:uid="{960EB2A5-0004-424D-AEC1-66DE51CF0046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66ED590-A62A-4A41-8214-414B1C54C60D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F619D8C-A54F-4C1E-B075-920BCB512758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F3BE4F4-5730-4DFC-ABBE-E67271220110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1184E66-AD4E-4492-91EA-E746F5BEE210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1362E19-6A1F-4884-8F49-79974ACB2093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F787305-8378-41DC-AEF6-440EE4E95874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F5958BD-7CD8-426E-9580-31AE912A6153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189BBBE-C43A-49A9-A069-CF979CE64C09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68DF1AA-9725-4DC6-8269-816411861F46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A0E54AC-D0DE-4ED8-A6A5-BA5A1043A7BF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9EB0073-A065-4D96-9F2E-10F3D15719D6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E349B8D-DBC9-4573-90D3-BF2D34E3A36F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713C67F-F247-43CB-B65B-978217E15C07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8C62D9F-3E87-4F08-BC7B-A2FCD084BECD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5C2CD7D-E1E1-4743-84A6-E3B907EBC455}" sqref="C28" showErrorMessage="1" errorTitle="An invalid feedback was entered" error="Please choose feedback from drop down only.">
      <formula1>"Yes,No,FlexRET"</formula1>
    </dataValidation>
    <dataValidation type="list" xr:uid="{13BB70B9-D59A-494F-BDAD-085E93AF6A43}" sqref="D28" showErrorMessage="1" errorTitle="An invalid feedback was entered" error="Please choose feedback from drop down only.">
      <formula1>"Yes,No,FlexRET"</formula1>
    </dataValidation>
    <dataValidation type="list" xr:uid="{D7849F2E-4F47-4583-A1F4-400694AD1310}" sqref="E28" showErrorMessage="1" errorTitle="An invalid feedback was entered" error="Please choose feedback from drop down only.">
      <formula1>"Yes,No,FlexRET"</formula1>
    </dataValidation>
    <dataValidation type="list" xr:uid="{CF4587E5-7506-41D9-A656-4310B63E5DD4}" sqref="F28" showErrorMessage="1" errorTitle="An invalid feedback was entered" error="Please choose feedback from drop down only.">
      <formula1>"Yes,No,FlexRET"</formula1>
    </dataValidation>
    <dataValidation type="list" xr:uid="{58005DC5-EF7D-4B39-9E71-871FE7D6CDB4}" sqref="G28" showErrorMessage="1" errorTitle="An invalid feedback was entered" error="Please choose feedback from drop down only.">
      <formula1>"Yes,No,FlexRET"</formula1>
    </dataValidation>
    <dataValidation type="list" xr:uid="{871C3071-5B8B-4073-A3D2-78C60B8E3E3F}" sqref="H28" showErrorMessage="1" errorTitle="An invalid feedback was entered" error="Please choose feedback from drop down only.">
      <formula1>"Yes,No,FlexRET"</formula1>
    </dataValidation>
    <dataValidation type="list" xr:uid="{FB0CB28B-7AEC-474F-9E43-A159498C8876}" sqref="I28" showErrorMessage="1" errorTitle="An invalid feedback was entered" error="Please choose feedback from drop down only.">
      <formula1>"Yes,No,FlexRET"</formula1>
    </dataValidation>
    <dataValidation type="list" xr:uid="{815A4854-D5B1-4895-9DB1-94C6BDD49CDB}" sqref="J28" showErrorMessage="1" errorTitle="An invalid feedback was entered" error="Please choose feedback from drop down only.">
      <formula1>"Yes,No,FlexRET"</formula1>
    </dataValidation>
    <dataValidation type="list" xr:uid="{8FD8E4D3-2333-44BC-8BFE-8D5A2513CC7C}" sqref="K28" showErrorMessage="1" errorTitle="An invalid feedback was entered" error="Please choose feedback from drop down only.">
      <formula1>"Yes,No,FlexRET"</formula1>
    </dataValidation>
    <dataValidation type="list" xr:uid="{2F9B9BEC-9B71-4088-A369-F0A63CD58055}" sqref="L28" showErrorMessage="1" errorTitle="An invalid feedback was entered" error="Please choose feedback from drop down only.">
      <formula1>"Yes,No,FlexRET"</formula1>
    </dataValidation>
    <dataValidation type="list" xr:uid="{B601DA5D-7E78-4E64-A5D6-3D1781739D70}" sqref="M28" showErrorMessage="1" errorTitle="An invalid feedback was entered" error="Please choose feedback from drop down only.">
      <formula1>"Yes,No,FlexRET"</formula1>
    </dataValidation>
    <dataValidation type="list" xr:uid="{0C266662-BE80-4243-8F8B-2C50DAE8CE0C}" sqref="N28" showErrorMessage="1" errorTitle="An invalid feedback was entered" error="Please choose feedback from drop down only.">
      <formula1>"Yes,No,FlexRET"</formula1>
    </dataValidation>
    <dataValidation type="list" xr:uid="{4180D819-E924-49A8-8E9E-7BD5D716AEC6}" sqref="O28" showErrorMessage="1" errorTitle="An invalid feedback was entered" error="Please choose feedback from drop down only.">
      <formula1>"Yes,No,FlexRET"</formula1>
    </dataValidation>
    <dataValidation type="list" xr:uid="{8FF5F84F-2F37-41F2-9F14-2D3A52896661}" sqref="P28" showErrorMessage="1" errorTitle="An invalid feedback was entered" error="Please choose feedback from drop down only.">
      <formula1>"Yes,No,FlexRET"</formula1>
    </dataValidation>
    <dataValidation type="list" xr:uid="{202518F8-8865-4D00-9327-BCCBA251DDF7}" sqref="Q28" showErrorMessage="1" errorTitle="An invalid feedback was entered" error="Please choose feedback from drop down only.">
      <formula1>"Yes,No,FlexRET"</formula1>
    </dataValidation>
    <dataValidation type="list" xr:uid="{66087772-D822-44FC-ADBE-12524E2B2E30}" sqref="C29" showErrorMessage="1" errorTitle="An invalid feedback was entered" error="Please choose feedback from drop down only.">
      <formula1>"Yes,No,FlexRET"</formula1>
    </dataValidation>
    <dataValidation type="list" xr:uid="{72B1168F-18F0-47B9-AEC5-EFF4E538296D}" sqref="D29" showErrorMessage="1" errorTitle="An invalid feedback was entered" error="Please choose feedback from drop down only.">
      <formula1>"Yes,No,FlexRET"</formula1>
    </dataValidation>
    <dataValidation type="list" xr:uid="{0C64CCC3-8F43-469F-88F2-653011FFB95D}" sqref="E29" showErrorMessage="1" errorTitle="An invalid feedback was entered" error="Please choose feedback from drop down only.">
      <formula1>"Yes,No,FlexRET"</formula1>
    </dataValidation>
    <dataValidation type="list" xr:uid="{D26FE9D6-58CF-4C10-9237-90A0E467D422}" sqref="F29" showErrorMessage="1" errorTitle="An invalid feedback was entered" error="Please choose feedback from drop down only.">
      <formula1>"Yes,No,FlexRET"</formula1>
    </dataValidation>
    <dataValidation type="list" xr:uid="{3C1C6521-4AA4-4D98-B560-D3B367A8ED83}" sqref="G29" showErrorMessage="1" errorTitle="An invalid feedback was entered" error="Please choose feedback from drop down only.">
      <formula1>"Yes,No,FlexRET"</formula1>
    </dataValidation>
    <dataValidation type="list" xr:uid="{A886B5EF-381A-4641-B8C0-30896253D2F8}" sqref="H29" showErrorMessage="1" errorTitle="An invalid feedback was entered" error="Please choose feedback from drop down only.">
      <formula1>"Yes,No,FlexRET"</formula1>
    </dataValidation>
    <dataValidation type="list" xr:uid="{E5C5CB88-59E8-4AAC-AA90-3216BD701DD4}" sqref="I29" showErrorMessage="1" errorTitle="An invalid feedback was entered" error="Please choose feedback from drop down only.">
      <formula1>"Yes,No,FlexRET"</formula1>
    </dataValidation>
    <dataValidation type="list" xr:uid="{9D926E3E-F340-4D8B-AF19-3F4F451A2A3F}" sqref="J29" showErrorMessage="1" errorTitle="An invalid feedback was entered" error="Please choose feedback from drop down only.">
      <formula1>"Yes,No,FlexRET"</formula1>
    </dataValidation>
    <dataValidation type="list" xr:uid="{BC1B6D6D-C3D5-4512-AE85-9B2D2F40761F}" sqref="K29" showErrorMessage="1" errorTitle="An invalid feedback was entered" error="Please choose feedback from drop down only.">
      <formula1>"Yes,No,FlexRET"</formula1>
    </dataValidation>
    <dataValidation type="list" xr:uid="{005CEA8B-BF63-4763-8FC7-60696250C2EC}" sqref="L29" showErrorMessage="1" errorTitle="An invalid feedback was entered" error="Please choose feedback from drop down only.">
      <formula1>"Yes,No,FlexRET"</formula1>
    </dataValidation>
    <dataValidation type="list" xr:uid="{A9AB7B73-CCF1-4FA5-B282-1575ED25F541}" sqref="M29" showErrorMessage="1" errorTitle="An invalid feedback was entered" error="Please choose feedback from drop down only.">
      <formula1>"Yes,No,FlexRET"</formula1>
    </dataValidation>
    <dataValidation type="list" xr:uid="{2E227606-893E-47FD-ACB4-B4B463CE2FBE}" sqref="N29" showErrorMessage="1" errorTitle="An invalid feedback was entered" error="Please choose feedback from drop down only.">
      <formula1>"Yes,No,FlexRET"</formula1>
    </dataValidation>
    <dataValidation type="list" xr:uid="{C0E822D7-66E6-4375-8841-740907299E96}" sqref="O29" showErrorMessage="1" errorTitle="An invalid feedback was entered" error="Please choose feedback from drop down only.">
      <formula1>"Yes,No,FlexRET"</formula1>
    </dataValidation>
    <dataValidation type="list" xr:uid="{A1F04A3A-5FD9-454E-B3D8-891B49866B75}" sqref="P29" showErrorMessage="1" errorTitle="An invalid feedback was entered" error="Please choose feedback from drop down only.">
      <formula1>"Yes,No,FlexRET"</formula1>
    </dataValidation>
    <dataValidation type="list" xr:uid="{33A1D3B8-E3C8-4B26-A824-086298418C80}" sqref="Q29" showErrorMessage="1" errorTitle="An invalid feedback was entered" error="Please choose feedback from drop down only.">
      <formula1>"Yes,No,FlexRET"</formula1>
    </dataValidation>
    <dataValidation type="list" xr:uid="{9F1633A0-391A-4BF1-A47F-75B65E914D9F}" sqref="C25" showErrorMessage="1" errorTitle="An invalid feedback was entered" error="Please choose feedback from drop down only.">
      <formula1>"G,U,L,NR,GU,UL,GL,GUL,LNR,ULNR,None"</formula1>
    </dataValidation>
    <dataValidation type="list" xr:uid="{A658BF0C-2900-4E36-B6F3-31365D594E9B}" sqref="D25" showErrorMessage="1" errorTitle="An invalid feedback was entered" error="Please choose feedback from drop down only.">
      <formula1>"G,U,L,NR,GU,UL,GL,GUL,LNR,ULNR,None"</formula1>
    </dataValidation>
    <dataValidation type="list" xr:uid="{5F805CFE-C11F-42CC-B8ED-5AFED5A329DE}" sqref="E25" showErrorMessage="1" errorTitle="An invalid feedback was entered" error="Please choose feedback from drop down only.">
      <formula1>"G,U,L,NR,GU,UL,GL,GUL,LNR,ULNR,None"</formula1>
    </dataValidation>
    <dataValidation type="list" xr:uid="{444AFEFB-9D96-4C04-AE4E-D40D71CA43E0}" sqref="F25" showErrorMessage="1" errorTitle="An invalid feedback was entered" error="Please choose feedback from drop down only.">
      <formula1>"G,U,L,NR,GU,UL,GL,GUL,LNR,ULNR,None"</formula1>
    </dataValidation>
    <dataValidation type="list" xr:uid="{5945D58D-4CFF-43BF-B856-49FBA1E321FF}" sqref="G25" showErrorMessage="1" errorTitle="An invalid feedback was entered" error="Please choose feedback from drop down only.">
      <formula1>"G,U,L,NR,GU,UL,GL,GUL,LNR,ULNR,None"</formula1>
    </dataValidation>
    <dataValidation type="list" xr:uid="{B42D61E2-3A90-49F6-B5E0-3CEE59E678D4}" sqref="H25" showErrorMessage="1" errorTitle="An invalid feedback was entered" error="Please choose feedback from drop down only.">
      <formula1>"G,U,L,NR,GU,UL,GL,GUL,LNR,ULNR,None"</formula1>
    </dataValidation>
    <dataValidation type="list" xr:uid="{E1D1B231-CFB6-49B7-BEE8-5C48C0E1F24F}" sqref="I25" showErrorMessage="1" errorTitle="An invalid feedback was entered" error="Please choose feedback from drop down only.">
      <formula1>"G,U,L,NR,GU,UL,GL,GUL,LNR,ULNR,None"</formula1>
    </dataValidation>
    <dataValidation type="list" xr:uid="{3F96EFCF-F94E-4401-949A-EDBB88895787}" sqref="J25" showErrorMessage="1" errorTitle="An invalid feedback was entered" error="Please choose feedback from drop down only.">
      <formula1>"G,U,L,NR,GU,UL,GL,GUL,LNR,ULNR,None"</formula1>
    </dataValidation>
    <dataValidation type="list" xr:uid="{5405D62E-FDAE-435C-928B-129D07A1F3A3}" sqref="K25" showErrorMessage="1" errorTitle="An invalid feedback was entered" error="Please choose feedback from drop down only.">
      <formula1>"G,U,L,NR,GU,UL,GL,GUL,LNR,ULNR,None"</formula1>
    </dataValidation>
    <dataValidation type="list" xr:uid="{16D52382-4A87-444C-AC87-1064D27263BF}" sqref="L25" showErrorMessage="1" errorTitle="An invalid feedback was entered" error="Please choose feedback from drop down only.">
      <formula1>"G,U,L,NR,GU,UL,GL,GUL,LNR,ULNR,None"</formula1>
    </dataValidation>
    <dataValidation type="list" xr:uid="{DDFFF889-8D9C-4DBD-AE8F-83D619CE999E}" sqref="M25" showErrorMessage="1" errorTitle="An invalid feedback was entered" error="Please choose feedback from drop down only.">
      <formula1>"G,U,L,NR,GU,UL,GL,GUL,LNR,ULNR,None"</formula1>
    </dataValidation>
    <dataValidation type="list" xr:uid="{C296F27B-73CA-4595-AF25-B7901F301FFF}" sqref="N25" showErrorMessage="1" errorTitle="An invalid feedback was entered" error="Please choose feedback from drop down only.">
      <formula1>"G,U,L,NR,GU,UL,GL,GUL,LNR,ULNR,None"</formula1>
    </dataValidation>
    <dataValidation type="list" xr:uid="{5A863ECE-072D-4F9B-A99E-C409E826B5E1}" sqref="O25" showErrorMessage="1" errorTitle="An invalid feedback was entered" error="Please choose feedback from drop down only.">
      <formula1>"G,U,L,NR,GU,UL,GL,GUL,LNR,ULNR,None"</formula1>
    </dataValidation>
    <dataValidation type="list" xr:uid="{881601BD-C0DF-41A0-84E0-9DD44496EC08}" sqref="P25" showErrorMessage="1" errorTitle="An invalid feedback was entered" error="Please choose feedback from drop down only.">
      <formula1>"G,U,L,NR,GU,UL,GL,GUL,LNR,ULNR,None"</formula1>
    </dataValidation>
    <dataValidation type="list" xr:uid="{A9ED7D70-7B68-4CAD-A97B-FDA04935287C}" sqref="Q25" showErrorMessage="1" errorTitle="An invalid feedback was entered" error="Please choose feedback from drop down only.">
      <formula1>"G,U,L,NR,GU,UL,GL,GUL,LNR,ULNR,None"</formula1>
    </dataValidation>
    <dataValidation type="list" xr:uid="{E77CEE2F-580C-4159-BB53-CFC229043DCE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E2598ED-4CBA-4844-B339-5D3FD5AE9A8F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4CF7A72-158C-4CD3-A61C-601BD5B56FFF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36452E7-11B6-4EAF-905C-D2EA3C24B346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9458B31-0314-49C4-B063-BDDD29E04C97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D1BD094-68FB-492A-9456-672943CB528C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225774B-AD61-4A7D-B56A-E6B2FC3E1D35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EC60DAA-6219-40A3-8C8A-6BB1EEBCD621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F0EC2AA-5ECB-4C6F-A85D-01D870ED35DD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1B2F002-1A2E-4B4A-A872-FEC7EC4AD912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E1936DD-BE5E-4642-B077-C4421F11762D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4D9D2AD-A41C-4C0F-A241-4978DC56AC09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FAC0E4E-5D03-4CE0-B56B-BB0E9718BCB5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4AFE64F-FB18-4A6F-B041-E4FDE1F874F4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8CABCBF-D9F9-493F-B4A9-79C88F1C3ED0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25" right="0.25" top="0.75" bottom="0.75" header="0.3" footer="0.3"/>
  <pageSetup paperSize="9" scale="56" fitToHeight="0"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F751BCB6-E880-4A27-AB35-CC132F5E40D2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2517184A-831A-4001-ACB6-A80CBAF0DB7E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3A95A665-7086-4B71-AB7D-B1ED8E324E06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C73E26E0-63EF-41F9-B1AE-A435ABDD8677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4790E95E-19BA-41B8-8563-1DCC92725737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A832B796-C19E-47DF-907C-569A8B848DEB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F09804AE-9E75-4684-AF5B-FCD837E64CEF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D0299925-39A4-442E-9056-34475C278FD0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D5320814-6D9E-48FD-B086-938BDDDDCC0D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BD41D1A9-82A4-452C-ABEE-3866DD7DA698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4247BA56-7216-4E66-BB22-EBD0026902B3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3A75C1FA-4701-4A92-92C3-6C2B0D342071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66179F8E-903D-41FE-80D0-036AC500F278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BC6E4CC5-36F6-4343-85B8-1C4EE015CAC8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52C71448-A0F9-4F04-A1D6-954420BC7EDB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DF247570-3B92-4D65-B3AD-18C6E40E12E4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6A12415D-6649-4D94-B69A-5C834BF08D44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4F4E9628-EB22-49FF-9B43-301FE23DC71E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E385812D-02D2-453B-A310-D149B350865C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8BC1DE74-4FC2-446B-B912-0E85A157198A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4771207B-54A4-44A9-B5FE-3F58A2DE8BEC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1EFE2673-E7CF-4C8C-94FB-272DDFC0139A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3BC3889F-90AB-483C-BDF2-6380E0157E82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DF78B86A-BFEF-4A9E-BE8A-BAA4AB37BFA9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61173980-AE3D-4B93-968A-E0C2EB65FF09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6FA47CAC-204C-4CF4-ACDA-10825278B2F1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FBACC51B-AED0-4A84-9B3A-87A70A5D4864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2670BB9C-B4CC-48AD-B186-BCB853917D60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E5E40FDC-693B-447E-9A75-DDE6F337352A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EF36916F-3F12-41C6-BB24-05F41DEA4CD1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6C865256-1328-4F0D-87A0-763597EBC2DF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5839A711-FAD8-467A-A67D-336CDC9BF7BD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66399F3C-B04C-4866-B8E2-D0BF31295A16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062B40A0-7359-4D2A-A40B-46C577815E76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11BB7004-70D4-4782-8B72-CA931C67C1EC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FF96A070-8119-400E-9E1D-EBC1D7D535E2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1429D359-0BE4-4FAA-BC32-25B6E5D9DE26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0A54BD0F-2290-4B74-A139-8A430F38C118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514F12C6-4C02-44C0-826E-A6CBB9C3C491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AF8E1621-1330-483E-AC37-DE3DA55A6D2A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0EA889A6-9BDC-43D4-82C2-C192D546D87F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3FB4C02F-5C7E-4FD7-9A2F-A5670F915A72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0748B388-2690-4EF4-B6DF-30CD9DD8A37D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EA118B59-F380-4D50-9E6E-E12CD231DA07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03D0D1F5-222A-4E61-9EEF-66A6322451E2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720BB230-ED55-422D-9615-BD23A618578A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1C86E5E8-215E-47A3-AEBD-8394141E3EF2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3BDA64ED-C8E9-4D29-A542-60AABBE40C31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70B0A848-D47C-40CE-87A7-D9CD5963C6AB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E3001682-DCD6-4C47-A89D-C6A78F18C7BA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03CBD093-5D8D-45BE-A21B-129C18A7069B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FC4CA861-64FD-49C1-BC03-E41EA92E3A9D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8F9C4A7B-B463-4750-A0A7-4EC5F8751826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C87AF11A-290D-436E-BF2A-9EC41256F617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32102DCD-7FB2-4D97-BEDC-81E50073105A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062BC94C-F5D1-4EBF-B1D8-B4954DDD8B93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90775DA9-9445-4B63-8BBD-3A492F94D788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459D9EB3-5E71-481D-BE5D-E14DB7EDD90B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D1E1FD22-5229-45A1-BB63-AA7F62570475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9237BC33-8AA4-4A3E-8BA8-8E8E059250FC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5">
    <pageSetUpPr fitToPage="1"/>
  </sheetPr>
  <dimension ref="A1:U45"/>
  <sheetViews>
    <sheetView zoomScale="90" zoomScaleNormal="90" workbookViewId="0">
      <selection sqref="A1:B1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>
        <f>Common!B2</f>
        <v>0</v>
      </c>
      <c r="B1" s="266"/>
      <c r="C1" s="258" t="s">
        <v>104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9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26"/>
      <c r="D3" s="227"/>
      <c r="E3" s="227"/>
      <c r="F3" s="227"/>
      <c r="G3" s="227"/>
      <c r="H3" s="227"/>
      <c r="I3" s="227"/>
      <c r="J3" s="227"/>
      <c r="K3" s="227"/>
      <c r="L3" s="227"/>
      <c r="M3" s="227"/>
      <c r="N3" s="227"/>
      <c r="O3" s="227"/>
      <c r="P3" s="228"/>
    </row>
    <row r="4" ht="25.15" s="22" customFormat="1">
      <c r="A4" s="241"/>
      <c r="B4" s="9" t="s">
        <v>3</v>
      </c>
      <c r="C4" s="248"/>
      <c r="D4" s="249"/>
      <c r="E4" s="249"/>
      <c r="F4" s="249"/>
      <c r="G4" s="249"/>
      <c r="H4" s="249"/>
      <c r="I4" s="249"/>
      <c r="J4" s="249"/>
      <c r="K4" s="249"/>
      <c r="L4" s="249"/>
      <c r="M4" s="249"/>
      <c r="N4" s="249"/>
      <c r="O4" s="249"/>
      <c r="P4" s="250"/>
    </row>
    <row r="5" ht="24.75">
      <c r="A5" s="241"/>
      <c r="B5" s="13" t="s">
        <v>4</v>
      </c>
      <c r="C5" s="263"/>
      <c r="D5" s="264"/>
      <c r="E5" s="264"/>
      <c r="F5" s="264"/>
      <c r="G5" s="264"/>
      <c r="H5" s="264"/>
      <c r="I5" s="264"/>
      <c r="J5" s="264"/>
      <c r="K5" s="264"/>
      <c r="L5" s="264"/>
      <c r="M5" s="264"/>
      <c r="N5" s="264"/>
      <c r="O5" s="264"/>
      <c r="P5" s="265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0"/>
    </row>
    <row r="8" ht="17.65" s="22" customFormat="1">
      <c r="A8" s="241"/>
      <c r="B8" s="9" t="s">
        <v>8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74"/>
    </row>
    <row r="9" ht="17.25">
      <c r="A9" s="241"/>
      <c r="B9" s="8" t="s">
        <v>9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73"/>
    </row>
    <row r="10" ht="17.65" s="22" customFormat="1">
      <c r="A10" s="241"/>
      <c r="B10" s="10" t="s">
        <v>11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74"/>
    </row>
    <row r="11" ht="17.25">
      <c r="A11" s="241"/>
      <c r="B11" s="8" t="s">
        <v>12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73"/>
    </row>
    <row r="12" ht="17.65" s="22" customFormat="1">
      <c r="A12" s="241"/>
      <c r="B12" s="10" t="s">
        <v>13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74"/>
    </row>
    <row r="13" ht="17.25">
      <c r="A13" s="241"/>
      <c r="B13" s="8" t="s">
        <v>14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73"/>
    </row>
    <row r="14" ht="17.65" s="22" customFormat="1">
      <c r="A14" s="241"/>
      <c r="B14" s="10" t="s">
        <v>15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81"/>
    </row>
    <row r="15" ht="17.25">
      <c r="A15" s="241"/>
      <c r="B15" s="8" t="s">
        <v>16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80"/>
    </row>
    <row r="16" ht="17.25" s="22" customFormat="1">
      <c r="A16" s="241"/>
      <c r="B16" s="68" t="s">
        <v>17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18</v>
      </c>
      <c r="C17" s="65" t="s">
        <v>19</v>
      </c>
      <c r="D17" s="65" t="s">
        <v>20</v>
      </c>
      <c r="E17" s="65" t="s">
        <v>21</v>
      </c>
      <c r="F17" s="65" t="s">
        <v>22</v>
      </c>
      <c r="G17" s="65" t="s">
        <v>23</v>
      </c>
      <c r="H17" s="65" t="s">
        <v>24</v>
      </c>
      <c r="I17" s="65" t="s">
        <v>19</v>
      </c>
      <c r="J17" s="65" t="s">
        <v>20</v>
      </c>
      <c r="K17" s="65" t="s">
        <v>21</v>
      </c>
      <c r="L17" s="65" t="s">
        <v>22</v>
      </c>
      <c r="M17" s="65" t="s">
        <v>19</v>
      </c>
      <c r="N17" s="65" t="s">
        <v>20</v>
      </c>
      <c r="O17" s="65" t="s">
        <v>21</v>
      </c>
      <c r="P17" s="76" t="s">
        <v>19</v>
      </c>
    </row>
    <row r="18" ht="17.25">
      <c r="A18" s="256"/>
      <c r="B18" s="70" t="s">
        <v>25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30</v>
      </c>
      <c r="C19" s="99">
        <f>VLOOKUP(C8,AntennasPortName!A:H,2,FALSE)</f>
      </c>
      <c r="D19" s="99">
        <f>VLOOKUP(C8,AntennasPortName!A:H,3,FALSE)</f>
      </c>
      <c r="E19" s="99">
        <f>VLOOKUP(C8,AntennasPortName!A:H,4,FALSE)</f>
      </c>
      <c r="F19" s="99">
        <f>VLOOKUP(C8,AntennasPortName!A:H,5,FALSE)</f>
      </c>
      <c r="G19" s="99">
        <f>VLOOKUP(C8,AntennasPortName!A:H,6,FALSE)</f>
      </c>
      <c r="H19" s="99">
        <f>VLOOKUP(C8,AntennasPortName!A:H,7,FALSE)</f>
      </c>
      <c r="I19" s="99">
        <f>VLOOKUP(I8,AntennasPortName!A:H,2,FALSE)</f>
      </c>
      <c r="J19" s="99">
        <f>VLOOKUP(I8,AntennasPortName!A:H,3,FALSE)</f>
      </c>
      <c r="K19" s="99">
        <f>VLOOKUP(I8,AntennasPortName!A:H,4,FALSE)</f>
      </c>
      <c r="L19" s="99">
        <f>VLOOKUP(I8,AntennasPortName!A:H,5,FALSE)</f>
      </c>
      <c r="M19" s="99">
        <f>VLOOKUP(M8,AntennasPortName!A:H,2,FALSE)</f>
      </c>
      <c r="N19" s="99">
        <f>VLOOKUP(M8,AntennasPortName!A:H,3,FALSE)</f>
      </c>
      <c r="O19" s="99">
        <f>VLOOKUP(M8,AntennasPortName!A:H,4,FALSE)</f>
      </c>
      <c r="P19" s="99">
        <f>VLOOKUP(P8,AntennasPortName!A:H,2,FALSE)</f>
      </c>
    </row>
    <row r="20" ht="17.25">
      <c r="A20" s="241"/>
      <c r="B20" s="69" t="s">
        <v>31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34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35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36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37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41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42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43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44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45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46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48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49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50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51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55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56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58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59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61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62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63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64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C1:P1"/>
    <mergeCell ref="C16:H16"/>
    <mergeCell ref="I16:L16"/>
    <mergeCell ref="M16:O16"/>
    <mergeCell ref="B42:P45"/>
    <mergeCell ref="C12:H12"/>
    <mergeCell ref="I12:L12"/>
    <mergeCell ref="M12:O12"/>
    <mergeCell ref="C13:H13"/>
    <mergeCell ref="I13:L13"/>
    <mergeCell ref="M13:O13"/>
    <mergeCell ref="C14:H14"/>
    <mergeCell ref="I14:L14"/>
    <mergeCell ref="M14:O14"/>
    <mergeCell ref="C15:H15"/>
    <mergeCell ref="I15:L15"/>
    <mergeCell ref="M15:O15"/>
    <mergeCell ref="C10:H10"/>
    <mergeCell ref="I10:L10"/>
    <mergeCell ref="M10:O10"/>
    <mergeCell ref="C11:H11"/>
    <mergeCell ref="I11:L11"/>
    <mergeCell ref="M11:O11"/>
    <mergeCell ref="C8:H8"/>
    <mergeCell ref="I8:L8"/>
    <mergeCell ref="M8:O8"/>
    <mergeCell ref="C9:H9"/>
    <mergeCell ref="I9:L9"/>
    <mergeCell ref="M9:O9"/>
    <mergeCell ref="A1:B1"/>
    <mergeCell ref="A42:A45"/>
    <mergeCell ref="A36:A41"/>
    <mergeCell ref="A34:A35"/>
    <mergeCell ref="A3:A33"/>
    <mergeCell ref="C7:H7"/>
    <mergeCell ref="C2:H2"/>
    <mergeCell ref="I2:L2"/>
    <mergeCell ref="M2:O2"/>
    <mergeCell ref="I7:L7"/>
    <mergeCell ref="M7:O7"/>
    <mergeCell ref="C3:P3"/>
    <mergeCell ref="C4:P4"/>
    <mergeCell ref="C5:P5"/>
    <mergeCell ref="C6:P6"/>
  </mergeCells>
  <conditionalFormatting sqref="C22:E22 C4 H22:O22">
    <cfRule type="cellIs" dxfId="0" priority="43" operator="greaterThan">
      <formula>0</formula>
    </cfRule>
  </conditionalFormatting>
  <conditionalFormatting sqref="C21:E21 H21:O21">
    <cfRule type="expression" dxfId="1" priority="42">
      <formula>ISERROR(C21)</formula>
    </cfRule>
  </conditionalFormatting>
  <conditionalFormatting sqref="C21:E21 H21:O21">
    <cfRule type="cellIs" dxfId="1" priority="41" operator="equal">
      <formula>0</formula>
    </cfRule>
  </conditionalFormatting>
  <conditionalFormatting sqref="C21:E21 H21:O21">
    <cfRule type="cellIs" dxfId="3" priority="40" operator="greaterThan">
      <formula>0</formula>
    </cfRule>
  </conditionalFormatting>
  <conditionalFormatting sqref="C27:O27 D29:O29 D33:O33">
    <cfRule type="cellIs" dxfId="0" priority="39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35">
      <formula>ISBLANK(C8)</formula>
    </cfRule>
  </conditionalFormatting>
  <conditionalFormatting sqref="C29">
    <cfRule type="cellIs" dxfId="0" priority="37" operator="notEqual">
      <formula>VALUE(C28)</formula>
    </cfRule>
  </conditionalFormatting>
  <conditionalFormatting sqref="C29">
    <cfRule type="expression" dxfId="10" priority="36">
      <formula>ISBLANK(C29)</formula>
    </cfRule>
  </conditionalFormatting>
  <conditionalFormatting sqref="C8:O8 C10:O10 C12:O12 C14:O14 C16:O16 C31:O31 D35:O35 D37:O37 D25:O25 D39:O39 D41:O41">
    <cfRule type="cellIs" dxfId="0" priority="38" operator="notEqual">
      <formula>C7</formula>
    </cfRule>
  </conditionalFormatting>
  <conditionalFormatting sqref="C31">
    <cfRule type="expression" dxfId="10" priority="34">
      <formula>ISBLANK(C31)</formula>
    </cfRule>
  </conditionalFormatting>
  <conditionalFormatting sqref="C33">
    <cfRule type="cellIs" dxfId="0" priority="33" operator="notEqual">
      <formula>VALUE(C32)</formula>
    </cfRule>
  </conditionalFormatting>
  <conditionalFormatting sqref="C33">
    <cfRule type="expression" dxfId="10" priority="32">
      <formula>ISBLANK(C33)</formula>
    </cfRule>
  </conditionalFormatting>
  <conditionalFormatting sqref="C35">
    <cfRule type="cellIs" dxfId="0" priority="31" operator="notEqual">
      <formula>C34</formula>
    </cfRule>
  </conditionalFormatting>
  <conditionalFormatting sqref="C35">
    <cfRule type="expression" dxfId="10" priority="30">
      <formula>ISBLANK(C35)</formula>
    </cfRule>
  </conditionalFormatting>
  <conditionalFormatting sqref="C37">
    <cfRule type="cellIs" dxfId="0" priority="29" operator="notEqual">
      <formula>C36</formula>
    </cfRule>
  </conditionalFormatting>
  <conditionalFormatting sqref="C37">
    <cfRule type="expression" dxfId="10" priority="28">
      <formula>ISBLANK(C37)</formula>
    </cfRule>
  </conditionalFormatting>
  <conditionalFormatting sqref="C6">
    <cfRule type="expression" dxfId="10" priority="26">
      <formula>ISBLANK(C6)</formula>
    </cfRule>
    <cfRule type="cellIs" dxfId="0" priority="27" operator="notEqual">
      <formula>C5</formula>
    </cfRule>
  </conditionalFormatting>
  <conditionalFormatting sqref="C25">
    <cfRule type="cellIs" dxfId="0" priority="25" operator="notEqual">
      <formula>C24</formula>
    </cfRule>
  </conditionalFormatting>
  <conditionalFormatting sqref="C25">
    <cfRule type="expression" dxfId="10" priority="24">
      <formula>ISBLANK(C25)</formula>
    </cfRule>
  </conditionalFormatting>
  <conditionalFormatting sqref="C39">
    <cfRule type="cellIs" dxfId="0" priority="23" operator="notEqual">
      <formula>C38</formula>
    </cfRule>
  </conditionalFormatting>
  <conditionalFormatting sqref="C39">
    <cfRule type="expression" dxfId="10" priority="22">
      <formula>ISBLANK(C39)</formula>
    </cfRule>
  </conditionalFormatting>
  <conditionalFormatting sqref="C41">
    <cfRule type="cellIs" dxfId="0" priority="21" operator="notEqual">
      <formula>C40</formula>
    </cfRule>
  </conditionalFormatting>
  <conditionalFormatting sqref="C41">
    <cfRule type="expression" dxfId="10" priority="20">
      <formula>ISBLANK(C41)</formula>
    </cfRule>
  </conditionalFormatting>
  <conditionalFormatting sqref="C24:O41">
    <cfRule type="expression" dxfId="1" priority="19" stopIfTrue="1">
      <formula>OR(C$22="Free",C$22="Telenor",C$22="Mtel",C$22="Telenor&amp;Mtel")</formula>
    </cfRule>
  </conditionalFormatting>
  <conditionalFormatting sqref="F22:G22">
    <cfRule type="cellIs" dxfId="0" priority="18" operator="greaterThan">
      <formula>0</formula>
    </cfRule>
  </conditionalFormatting>
  <conditionalFormatting sqref="F21:G21">
    <cfRule type="expression" dxfId="1" priority="17">
      <formula>ISERROR(F21)</formula>
    </cfRule>
  </conditionalFormatting>
  <conditionalFormatting sqref="F21:G21">
    <cfRule type="cellIs" dxfId="1" priority="16" operator="equal">
      <formula>0</formula>
    </cfRule>
  </conditionalFormatting>
  <conditionalFormatting sqref="F21:G21">
    <cfRule type="cellIs" dxfId="3" priority="15" operator="greaterThan">
      <formula>0</formula>
    </cfRule>
  </conditionalFormatting>
  <conditionalFormatting sqref="P22">
    <cfRule type="cellIs" dxfId="0" priority="14" operator="greaterThan">
      <formula>0</formula>
    </cfRule>
  </conditionalFormatting>
  <conditionalFormatting sqref="P21">
    <cfRule type="expression" dxfId="1" priority="13">
      <formula>ISERROR(P21)</formula>
    </cfRule>
  </conditionalFormatting>
  <conditionalFormatting sqref="P21">
    <cfRule type="cellIs" dxfId="1" priority="12" operator="equal">
      <formula>0</formula>
    </cfRule>
  </conditionalFormatting>
  <conditionalFormatting sqref="P21">
    <cfRule type="cellIs" dxfId="3" priority="11" operator="greaterThan">
      <formula>0</formula>
    </cfRule>
  </conditionalFormatting>
  <conditionalFormatting sqref="P27 P29 P33">
    <cfRule type="cellIs" dxfId="0" priority="10" operator="notEqual">
      <formula>VALUE(P26)</formula>
    </cfRule>
  </conditionalFormatting>
  <conditionalFormatting sqref="P8 P10 P12 P14 P16 P27 P29 P31 P33 P35 P37 P25 P39 P41">
    <cfRule type="expression" dxfId="10" priority="8">
      <formula>ISBLANK(P8)</formula>
    </cfRule>
  </conditionalFormatting>
  <conditionalFormatting sqref="P8 P10 P12 P14 P16 P31 P35 P37 P25 P39 P41">
    <cfRule type="cellIs" dxfId="0" priority="9" operator="notEqual">
      <formula>P7</formula>
    </cfRule>
  </conditionalFormatting>
  <conditionalFormatting sqref="P24:P41">
    <cfRule type="expression" dxfId="1" priority="7" stopIfTrue="1">
      <formula>OR(P$22="Free",P$22="Telenor",P$22="Mtel",P$22="Telenor&amp;Mtel")</formula>
    </cfRule>
  </conditionalFormatting>
  <conditionalFormatting sqref="C19">
    <cfRule type="cellIs" dxfId="1" priority="4" operator="equal">
      <formula>0</formula>
    </cfRule>
    <cfRule type="expression" dxfId="1" priority="6">
      <formula>ISERROR(C19)</formula>
    </cfRule>
  </conditionalFormatting>
  <conditionalFormatting sqref="D19:P19">
    <cfRule type="cellIs" dxfId="1" priority="2" operator="equal">
      <formula>0</formula>
    </cfRule>
    <cfRule type="expression" dxfId="1" priority="3">
      <formula>ISERROR(D19)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A261A85C-9949-4D5C-A282-325256804346}" sqref="C2" showErrorMessage="1" errorTitle="An invalid feedback was entered" error="Please choose feedback from drop down only.">
      <formula1>"1,2,3"</formula1>
    </dataValidation>
    <dataValidation type="list" xr:uid="{8A631FAC-DF2F-4F8D-864E-3B8A790EAB45}" sqref="D2" showErrorMessage="1" errorTitle="An invalid feedback was entered" error="Please choose feedback from drop down only.">
      <formula1>"1,2,3"</formula1>
    </dataValidation>
    <dataValidation type="list" xr:uid="{83F15824-4071-416A-B553-B15E8D017376}" sqref="E2" showErrorMessage="1" errorTitle="An invalid feedback was entered" error="Please choose feedback from drop down only.">
      <formula1>"1,2,3"</formula1>
    </dataValidation>
    <dataValidation type="list" xr:uid="{78B2FBED-8BD3-4010-81B1-39EDE0057986}" sqref="F2" showErrorMessage="1" errorTitle="An invalid feedback was entered" error="Please choose feedback from drop down only.">
      <formula1>"1,2,3"</formula1>
    </dataValidation>
    <dataValidation type="list" xr:uid="{C4E10EC7-401A-4FD3-8D37-5F03DB3FF232}" sqref="G2" showErrorMessage="1" errorTitle="An invalid feedback was entered" error="Please choose feedback from drop down only.">
      <formula1>"1,2,3"</formula1>
    </dataValidation>
    <dataValidation type="list" xr:uid="{046F7E57-C62E-482E-8503-DB1CB7C594D1}" sqref="H2" showErrorMessage="1" errorTitle="An invalid feedback was entered" error="Please choose feedback from drop down only.">
      <formula1>"1,2,3"</formula1>
    </dataValidation>
    <dataValidation type="list" xr:uid="{F6975CEF-E660-4973-A216-E7767BE6BCCC}" sqref="I2" showErrorMessage="1" errorTitle="An invalid feedback was entered" error="Please choose feedback from drop down only.">
      <formula1>"1,2,3"</formula1>
    </dataValidation>
    <dataValidation type="list" xr:uid="{C95B14FB-5E3E-4ECC-BF9D-A7FB35E90A15}" sqref="J2" showErrorMessage="1" errorTitle="An invalid feedback was entered" error="Please choose feedback from drop down only.">
      <formula1>"1,2,3"</formula1>
    </dataValidation>
    <dataValidation type="list" xr:uid="{1B2560F1-E506-4B19-9755-2D6B4E2C4BAB}" sqref="K2" showErrorMessage="1" errorTitle="An invalid feedback was entered" error="Please choose feedback from drop down only.">
      <formula1>"1,2,3"</formula1>
    </dataValidation>
    <dataValidation type="list" xr:uid="{A6A8B388-F1EE-4506-A99E-0305DE1F7A33}" sqref="L2" showErrorMessage="1" errorTitle="An invalid feedback was entered" error="Please choose feedback from drop down only.">
      <formula1>"1,2,3"</formula1>
    </dataValidation>
    <dataValidation type="list" xr:uid="{6ABB269F-C135-478C-83F8-F45E44FBF40E}" sqref="M2" showErrorMessage="1" errorTitle="An invalid feedback was entered" error="Please choose feedback from drop down only.">
      <formula1>"1,2,3"</formula1>
    </dataValidation>
    <dataValidation type="list" xr:uid="{B29CFF72-CF46-4B5B-8839-8CB476A72616}" sqref="N2" showErrorMessage="1" errorTitle="An invalid feedback was entered" error="Please choose feedback from drop down only.">
      <formula1>"1,2,3"</formula1>
    </dataValidation>
    <dataValidation type="list" xr:uid="{CA3A3784-6E45-4C2C-92F3-33A66829EF93}" sqref="O2" showErrorMessage="1" errorTitle="An invalid feedback was entered" error="Please choose feedback from drop down only.">
      <formula1>"1,2,3"</formula1>
    </dataValidation>
    <dataValidation type="list" xr:uid="{F8807C04-3645-49C0-9721-761E762EB334}" sqref="P2" showErrorMessage="1" errorTitle="An invalid feedback was entered" error="Please choose feedback from drop down only.">
      <formula1>"1,2,3"</formula1>
    </dataValidation>
    <dataValidation type="list" xr:uid="{123B2F01-C5F2-4B12-BE9C-7CECD5E00C77}" sqref="Q2" showErrorMessage="1" errorTitle="An invalid feedback was entered" error="Please choose feedback from drop down only.">
      <formula1>"1,2,3"</formula1>
    </dataValidation>
    <dataValidation type="list" xr:uid="{10DE6C13-6472-468F-AA60-8638B66BCB2C}" sqref="C17" showErrorMessage="1" errorTitle="An invalid feedback was entered" error="Please choose feedback from drop down only.">
      <formula1>"1-2,3-4,5-6,7-8,9-10,N/A"</formula1>
    </dataValidation>
    <dataValidation type="list" xr:uid="{B29E0A4C-FBEA-491C-A1C6-A00E6584C71E}" sqref="D17" showErrorMessage="1" errorTitle="An invalid feedback was entered" error="Please choose feedback from drop down only.">
      <formula1>"1-2,3-4,5-6,7-8,9-10,N/A"</formula1>
    </dataValidation>
    <dataValidation type="list" xr:uid="{349B7192-76DC-4F1D-BE86-1191EB8C823B}" sqref="E17" showErrorMessage="1" errorTitle="An invalid feedback was entered" error="Please choose feedback from drop down only.">
      <formula1>"1-2,3-4,5-6,7-8,9-10,N/A"</formula1>
    </dataValidation>
    <dataValidation type="list" xr:uid="{6DC68138-2559-4B97-B971-B93663149DBB}" sqref="F17" showErrorMessage="1" errorTitle="An invalid feedback was entered" error="Please choose feedback from drop down only.">
      <formula1>"1-2,3-4,5-6,7-8,9-10,N/A"</formula1>
    </dataValidation>
    <dataValidation type="list" xr:uid="{D49446E9-C829-468C-984B-A62BEB794BE9}" sqref="G17" showErrorMessage="1" errorTitle="An invalid feedback was entered" error="Please choose feedback from drop down only.">
      <formula1>"1-2,3-4,5-6,7-8,9-10,N/A"</formula1>
    </dataValidation>
    <dataValidation type="list" xr:uid="{9764265B-2854-420C-83C6-8465DE1242D4}" sqref="H17" showErrorMessage="1" errorTitle="An invalid feedback was entered" error="Please choose feedback from drop down only.">
      <formula1>"1-2,3-4,5-6,7-8,9-10,N/A"</formula1>
    </dataValidation>
    <dataValidation type="list" xr:uid="{C346D181-F9EE-4CF9-A032-714752F70C8E}" sqref="I17" showErrorMessage="1" errorTitle="An invalid feedback was entered" error="Please choose feedback from drop down only.">
      <formula1>"1-2,3-4,5-6,7-8,9-10,N/A"</formula1>
    </dataValidation>
    <dataValidation type="list" xr:uid="{1362B429-CCBF-4FED-8F45-BF1F0F90C7A9}" sqref="J17" showErrorMessage="1" errorTitle="An invalid feedback was entered" error="Please choose feedback from drop down only.">
      <formula1>"1-2,3-4,5-6,7-8,9-10,N/A"</formula1>
    </dataValidation>
    <dataValidation type="list" xr:uid="{D3974085-E563-4310-864F-3FF5D962494B}" sqref="K17" showErrorMessage="1" errorTitle="An invalid feedback was entered" error="Please choose feedback from drop down only.">
      <formula1>"1-2,3-4,5-6,7-8,9-10,N/A"</formula1>
    </dataValidation>
    <dataValidation type="list" xr:uid="{9D6FBAEB-0AB1-40C4-9F5A-B7E3F0BC191E}" sqref="L17" showErrorMessage="1" errorTitle="An invalid feedback was entered" error="Please choose feedback from drop down only.">
      <formula1>"1-2,3-4,5-6,7-8,9-10,N/A"</formula1>
    </dataValidation>
    <dataValidation type="list" xr:uid="{9727E426-87F0-48D4-A25B-3358455A4814}" sqref="M17" showErrorMessage="1" errorTitle="An invalid feedback was entered" error="Please choose feedback from drop down only.">
      <formula1>"1-2,3-4,5-6,7-8,9-10,N/A"</formula1>
    </dataValidation>
    <dataValidation type="list" xr:uid="{152DC4EC-2D8C-4795-88E1-797587BA8BD0}" sqref="N17" showErrorMessage="1" errorTitle="An invalid feedback was entered" error="Please choose feedback from drop down only.">
      <formula1>"1-2,3-4,5-6,7-8,9-10,N/A"</formula1>
    </dataValidation>
    <dataValidation type="list" xr:uid="{9E027639-02AE-4DB2-9A0C-41B272C99D04}" sqref="O17" showErrorMessage="1" errorTitle="An invalid feedback was entered" error="Please choose feedback from drop down only.">
      <formula1>"1-2,3-4,5-6,7-8,9-10,N/A"</formula1>
    </dataValidation>
    <dataValidation type="list" xr:uid="{0CAE9790-FC8C-4345-848A-A1B8602A6A61}" sqref="P17" showErrorMessage="1" errorTitle="An invalid feedback was entered" error="Please choose feedback from drop down only.">
      <formula1>"1-2,3-4,5-6,7-8,9-10,N/A"</formula1>
    </dataValidation>
    <dataValidation type="list" xr:uid="{A9A6FE28-D517-4222-8606-11F6F4717FB1}" sqref="Q17" showErrorMessage="1" errorTitle="An invalid feedback was entered" error="Please choose feedback from drop down only.">
      <formula1>"1-2,3-4,5-6,7-8,9-10,N/A"</formula1>
    </dataValidation>
    <dataValidation type="list" xr:uid="{074AE434-A9F9-4FAB-B607-7257CA6538D1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F4EF5B85-362F-4E54-934F-1557544A4AEC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B4ACDB7D-644C-4711-A443-AFC2C6A87ED1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BD430467-CACC-43BC-90BB-0A1E0033655B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5255DAFB-C42B-43E8-8764-444391CED448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814108DD-C132-4C64-BA59-D145A57A35E6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E5107F03-EEC0-43AC-88D3-D96DFB343360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9E0697C5-A278-493D-84BC-87E450D607B9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D47E750D-B0EA-4C68-8D66-4C37A29BB5CB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D6D43A1F-3CB9-4568-B637-8C9984C32600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B3B036AE-39FD-4B9B-B0D2-3AFFD73E39FB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CF113DC0-03CA-405A-A56D-FED81191C18E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96DC30AD-CC19-420F-875F-31975D9AA83F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FE8E11AF-0986-4462-B02A-A846162EB04E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5A413BC8-A5B7-4A65-A38B-8CBA8F6DDF47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4FA68D4A-CA6C-4192-BC46-580B9C80D60B}" sqref="C23" showErrorMessage="1" errorTitle="An invalid feedback was entered" error="Please choose feedback from drop down only.">
      <formula1>"Yetel,Bulsatcom,A1,Yetel&amp;A1,N/A"</formula1>
    </dataValidation>
    <dataValidation type="list" xr:uid="{9836A2AD-4B37-4536-84C8-17859ED2274A}" sqref="D23" showErrorMessage="1" errorTitle="An invalid feedback was entered" error="Please choose feedback from drop down only.">
      <formula1>"Yetel,Bulsatcom,A1,Yetel&amp;A1,N/A"</formula1>
    </dataValidation>
    <dataValidation type="list" xr:uid="{0A3A107B-6649-4DDB-802E-DDB87A21816F}" sqref="E23" showErrorMessage="1" errorTitle="An invalid feedback was entered" error="Please choose feedback from drop down only.">
      <formula1>"Yetel,Bulsatcom,A1,Yetel&amp;A1,N/A"</formula1>
    </dataValidation>
    <dataValidation type="list" xr:uid="{829CE6EE-E83E-480D-ACF0-1B908862E692}" sqref="F23" showErrorMessage="1" errorTitle="An invalid feedback was entered" error="Please choose feedback from drop down only.">
      <formula1>"Yetel,Bulsatcom,A1,Yetel&amp;A1,N/A"</formula1>
    </dataValidation>
    <dataValidation type="list" xr:uid="{8D60A01D-1E22-4A91-B84C-601E8AE5F63C}" sqref="G23" showErrorMessage="1" errorTitle="An invalid feedback was entered" error="Please choose feedback from drop down only.">
      <formula1>"Yetel,Bulsatcom,A1,Yetel&amp;A1,N/A"</formula1>
    </dataValidation>
    <dataValidation type="list" xr:uid="{8DEFCDCC-9ACC-4AB0-821F-FB4B7918F20B}" sqref="H23" showErrorMessage="1" errorTitle="An invalid feedback was entered" error="Please choose feedback from drop down only.">
      <formula1>"Yetel,Bulsatcom,A1,Yetel&amp;A1,N/A"</formula1>
    </dataValidation>
    <dataValidation type="list" xr:uid="{D35B45E0-4A83-47A4-819A-13F27A5543A8}" sqref="I23" showErrorMessage="1" errorTitle="An invalid feedback was entered" error="Please choose feedback from drop down only.">
      <formula1>"Yetel,Bulsatcom,A1,Yetel&amp;A1,N/A"</formula1>
    </dataValidation>
    <dataValidation type="list" xr:uid="{4212C776-9D70-4FA9-8935-DD8CAFDB56A9}" sqref="J23" showErrorMessage="1" errorTitle="An invalid feedback was entered" error="Please choose feedback from drop down only.">
      <formula1>"Yetel,Bulsatcom,A1,Yetel&amp;A1,N/A"</formula1>
    </dataValidation>
    <dataValidation type="list" xr:uid="{D048483F-DAAD-4498-A1E1-07AF1897C64C}" sqref="K23" showErrorMessage="1" errorTitle="An invalid feedback was entered" error="Please choose feedback from drop down only.">
      <formula1>"Yetel,Bulsatcom,A1,Yetel&amp;A1,N/A"</formula1>
    </dataValidation>
    <dataValidation type="list" xr:uid="{8A70C9F6-DAFB-41EC-BC18-CF16449ABF82}" sqref="L23" showErrorMessage="1" errorTitle="An invalid feedback was entered" error="Please choose feedback from drop down only.">
      <formula1>"Yetel,Bulsatcom,A1,Yetel&amp;A1,N/A"</formula1>
    </dataValidation>
    <dataValidation type="list" xr:uid="{67358402-F2ED-4687-96A7-1018AD855F17}" sqref="M23" showErrorMessage="1" errorTitle="An invalid feedback was entered" error="Please choose feedback from drop down only.">
      <formula1>"Yetel,Bulsatcom,A1,Yetel&amp;A1,N/A"</formula1>
    </dataValidation>
    <dataValidation type="list" xr:uid="{BEA3F547-3B0C-4BC0-98A1-80D73CC71952}" sqref="N23" showErrorMessage="1" errorTitle="An invalid feedback was entered" error="Please choose feedback from drop down only.">
      <formula1>"Yetel,Bulsatcom,A1,Yetel&amp;A1,N/A"</formula1>
    </dataValidation>
    <dataValidation type="list" xr:uid="{2412154E-AFCC-42F0-98B6-CB70B9C379CC}" sqref="O23" showErrorMessage="1" errorTitle="An invalid feedback was entered" error="Please choose feedback from drop down only.">
      <formula1>"Yetel,Bulsatcom,A1,Yetel&amp;A1,N/A"</formula1>
    </dataValidation>
    <dataValidation type="list" xr:uid="{C6525282-2426-4430-8EBD-B84A9C3313CD}" sqref="P23" showErrorMessage="1" errorTitle="An invalid feedback was entered" error="Please choose feedback from drop down only.">
      <formula1>"Yetel,Bulsatcom,A1,Yetel&amp;A1,N/A"</formula1>
    </dataValidation>
    <dataValidation type="list" xr:uid="{E92FA491-7268-4F3F-89D2-9595E2D901BB}" sqref="Q23" showErrorMessage="1" errorTitle="An invalid feedback was entered" error="Please choose feedback from drop down only.">
      <formula1>"Yetel,Bulsatcom,A1,Yetel&amp;A1,N/A"</formula1>
    </dataValidation>
    <dataValidation type="list" xr:uid="{1045D046-4211-4F27-84C2-989F36AA82DE}" sqref="C31" showErrorMessage="1" errorTitle="An invalid feedback was entered" error="Please choose feedback from drop down only.">
      <formula1>"1/2,5/4,7/8,RRU TOP JUMPER,N/A"</formula1>
    </dataValidation>
    <dataValidation type="list" xr:uid="{A70BE495-9DE2-485C-A835-4DAFD4F12250}" sqref="D31" showErrorMessage="1" errorTitle="An invalid feedback was entered" error="Please choose feedback from drop down only.">
      <formula1>"1/2,5/4,7/8,RRU TOP JUMPER,N/A"</formula1>
    </dataValidation>
    <dataValidation type="list" xr:uid="{1E6CF999-6600-4B22-9A53-9C7E76311578}" sqref="E31" showErrorMessage="1" errorTitle="An invalid feedback was entered" error="Please choose feedback from drop down only.">
      <formula1>"1/2,5/4,7/8,RRU TOP JUMPER,N/A"</formula1>
    </dataValidation>
    <dataValidation type="list" xr:uid="{61F92968-BEA2-4253-AC35-DDC0384EB721}" sqref="F31" showErrorMessage="1" errorTitle="An invalid feedback was entered" error="Please choose feedback from drop down only.">
      <formula1>"1/2,5/4,7/8,RRU TOP JUMPER,N/A"</formula1>
    </dataValidation>
    <dataValidation type="list" xr:uid="{979FAE18-8DD7-4ED9-87E5-8D8D98EF1614}" sqref="G31" showErrorMessage="1" errorTitle="An invalid feedback was entered" error="Please choose feedback from drop down only.">
      <formula1>"1/2,5/4,7/8,RRU TOP JUMPER,N/A"</formula1>
    </dataValidation>
    <dataValidation type="list" xr:uid="{A3F0340B-4A9B-4AC6-AD82-FE14456017B6}" sqref="H31" showErrorMessage="1" errorTitle="An invalid feedback was entered" error="Please choose feedback from drop down only.">
      <formula1>"1/2,5/4,7/8,RRU TOP JUMPER,N/A"</formula1>
    </dataValidation>
    <dataValidation type="list" xr:uid="{3B2B1891-C6EB-4DB9-844F-D0F06B0A5195}" sqref="I31" showErrorMessage="1" errorTitle="An invalid feedback was entered" error="Please choose feedback from drop down only.">
      <formula1>"1/2,5/4,7/8,RRU TOP JUMPER,N/A"</formula1>
    </dataValidation>
    <dataValidation type="list" xr:uid="{0CA3C5F8-FD7E-4170-83A0-97CE3CBDAFD7}" sqref="J31" showErrorMessage="1" errorTitle="An invalid feedback was entered" error="Please choose feedback from drop down only.">
      <formula1>"1/2,5/4,7/8,RRU TOP JUMPER,N/A"</formula1>
    </dataValidation>
    <dataValidation type="list" xr:uid="{EFA16ECE-DF4C-4886-B93C-D63DCD211D78}" sqref="K31" showErrorMessage="1" errorTitle="An invalid feedback was entered" error="Please choose feedback from drop down only.">
      <formula1>"1/2,5/4,7/8,RRU TOP JUMPER,N/A"</formula1>
    </dataValidation>
    <dataValidation type="list" xr:uid="{30FFF9B1-C6D8-4374-9136-1150A5F04754}" sqref="L31" showErrorMessage="1" errorTitle="An invalid feedback was entered" error="Please choose feedback from drop down only.">
      <formula1>"1/2,5/4,7/8,RRU TOP JUMPER,N/A"</formula1>
    </dataValidation>
    <dataValidation type="list" xr:uid="{05DBFC72-1838-46F7-B014-0BADC0589473}" sqref="M31" showErrorMessage="1" errorTitle="An invalid feedback was entered" error="Please choose feedback from drop down only.">
      <formula1>"1/2,5/4,7/8,RRU TOP JUMPER,N/A"</formula1>
    </dataValidation>
    <dataValidation type="list" xr:uid="{F8893764-E31C-4F83-819B-225F09A88827}" sqref="N31" showErrorMessage="1" errorTitle="An invalid feedback was entered" error="Please choose feedback from drop down only.">
      <formula1>"1/2,5/4,7/8,RRU TOP JUMPER,N/A"</formula1>
    </dataValidation>
    <dataValidation type="list" xr:uid="{601047CC-6C2D-4D4E-8BE9-CCACC9F61CBB}" sqref="O31" showErrorMessage="1" errorTitle="An invalid feedback was entered" error="Please choose feedback from drop down only.">
      <formula1>"1/2,5/4,7/8,RRU TOP JUMPER,N/A"</formula1>
    </dataValidation>
    <dataValidation type="list" xr:uid="{26BC502E-E79A-4029-89DB-B125F148A5D3}" sqref="P31" showErrorMessage="1" errorTitle="An invalid feedback was entered" error="Please choose feedback from drop down only.">
      <formula1>"1/2,5/4,7/8,RRU TOP JUMPER,N/A"</formula1>
    </dataValidation>
    <dataValidation type="list" xr:uid="{7A04F538-B48D-4D73-B777-D49C199718FF}" sqref="Q31" showErrorMessage="1" errorTitle="An invalid feedback was entered" error="Please choose feedback from drop down only.">
      <formula1>"1/2,5/4,7/8,RRU TOP JUMPER,N/A"</formula1>
    </dataValidation>
    <dataValidation type="list" xr:uid="{695055A4-F504-441C-B281-9576957626CA}" sqref="C4" showErrorMessage="1" errorTitle="An invalid feedback was entered" error="Please choose feedback from drop down only.">
      <formula1>"1,2,3,4,5,6,N/A"</formula1>
    </dataValidation>
    <dataValidation type="list" xr:uid="{D685DA3A-7D53-4378-9827-E1DFC6A13729}" sqref="D4" showErrorMessage="1" errorTitle="An invalid feedback was entered" error="Please choose feedback from drop down only.">
      <formula1>"1,2,3,4,5,6,N/A"</formula1>
    </dataValidation>
    <dataValidation type="list" xr:uid="{C35F181C-E211-4C9A-94E9-03DB73FB8ACC}" sqref="E4" showErrorMessage="1" errorTitle="An invalid feedback was entered" error="Please choose feedback from drop down only.">
      <formula1>"1,2,3,4,5,6,N/A"</formula1>
    </dataValidation>
    <dataValidation type="list" xr:uid="{C8CB1C6B-BA59-4E7B-915C-A45E42D78957}" sqref="F4" showErrorMessage="1" errorTitle="An invalid feedback was entered" error="Please choose feedback from drop down only.">
      <formula1>"1,2,3,4,5,6,N/A"</formula1>
    </dataValidation>
    <dataValidation type="list" xr:uid="{88743822-ED60-47B4-8C2E-2C996FB16CF8}" sqref="G4" showErrorMessage="1" errorTitle="An invalid feedback was entered" error="Please choose feedback from drop down only.">
      <formula1>"1,2,3,4,5,6,N/A"</formula1>
    </dataValidation>
    <dataValidation type="list" xr:uid="{CD3E619C-CCFD-44E6-BEF7-9D0B26B8FB0C}" sqref="H4" showErrorMessage="1" errorTitle="An invalid feedback was entered" error="Please choose feedback from drop down only.">
      <formula1>"1,2,3,4,5,6,N/A"</formula1>
    </dataValidation>
    <dataValidation type="list" xr:uid="{E6C0BDF1-F63E-4C4E-B22C-1F03B0D35488}" sqref="I4" showErrorMessage="1" errorTitle="An invalid feedback was entered" error="Please choose feedback from drop down only.">
      <formula1>"1,2,3,4,5,6,N/A"</formula1>
    </dataValidation>
    <dataValidation type="list" xr:uid="{DB3FD9B3-0D6C-4169-B5E0-7806C8FDD68B}" sqref="J4" showErrorMessage="1" errorTitle="An invalid feedback was entered" error="Please choose feedback from drop down only.">
      <formula1>"1,2,3,4,5,6,N/A"</formula1>
    </dataValidation>
    <dataValidation type="list" xr:uid="{0CDCCB83-F364-4B40-B043-E7FE04125D42}" sqref="K4" showErrorMessage="1" errorTitle="An invalid feedback was entered" error="Please choose feedback from drop down only.">
      <formula1>"1,2,3,4,5,6,N/A"</formula1>
    </dataValidation>
    <dataValidation type="list" xr:uid="{75A1625D-E6F7-4207-943C-4CEC4B13F6B9}" sqref="L4" showErrorMessage="1" errorTitle="An invalid feedback was entered" error="Please choose feedback from drop down only.">
      <formula1>"1,2,3,4,5,6,N/A"</formula1>
    </dataValidation>
    <dataValidation type="list" xr:uid="{189C1DE5-B371-4B87-B204-1BF11A588F44}" sqref="M4" showErrorMessage="1" errorTitle="An invalid feedback was entered" error="Please choose feedback from drop down only.">
      <formula1>"1,2,3,4,5,6,N/A"</formula1>
    </dataValidation>
    <dataValidation type="list" xr:uid="{FDE09DF8-5A31-4713-A27D-806BC66DCCEB}" sqref="N4" showErrorMessage="1" errorTitle="An invalid feedback was entered" error="Please choose feedback from drop down only.">
      <formula1>"1,2,3,4,5,6,N/A"</formula1>
    </dataValidation>
    <dataValidation type="list" xr:uid="{B9AFAEF0-3F59-4778-B670-9BD86D12B5B3}" sqref="O4" showErrorMessage="1" errorTitle="An invalid feedback was entered" error="Please choose feedback from drop down only.">
      <formula1>"1,2,3,4,5,6,N/A"</formula1>
    </dataValidation>
    <dataValidation type="list" xr:uid="{6E95F6B8-70C5-436E-95DF-27085C247537}" sqref="P4" showErrorMessage="1" errorTitle="An invalid feedback was entered" error="Please choose feedback from drop down only.">
      <formula1>"1,2,3,4,5,6,N/A"</formula1>
    </dataValidation>
    <dataValidation type="list" xr:uid="{B8052579-8326-442D-A1A4-8DF44CFED11C}" sqref="Q4" showErrorMessage="1" errorTitle="An invalid feedback was entered" error="Please choose feedback from drop down only.">
      <formula1>"1,2,3,4,5,6,N/A"</formula1>
    </dataValidation>
    <dataValidation type="list" xr:uid="{BD1E9A95-7BDD-4DCA-8659-72C1BC75BAD6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7511608-7650-4E9A-8429-351DD325687C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4928DBB-EE87-433A-A479-5CC8CDD19A63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E6C09CB-2928-42BD-AB9B-40BF4C07170C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DB03F3C-3284-46A4-AAF8-561CC9E0B7A2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D5C5E21-F5FD-48B1-838B-2371B70A335D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CA1D664-ADD4-4F89-A293-B238CAD15F27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762E40C-C7B9-4E47-88D4-196B113EF9C7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3713CD2-99D5-41C9-9A59-587E068F6979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2622DB1-135F-4324-9E04-992239EA7DEB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369358E-3732-4BC3-990F-DE527A2F784B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E01D5D9-C0B0-46D0-BF14-CA983321AFE1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FE666CD-AA0B-413E-B59F-828B70F01AAC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9776BE9-8582-4D84-8F25-C353A5185ED6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149E95E-7863-451F-8312-2922ECD7B675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C2B0C60-9BAC-4593-8225-8A16E4C0E46E}" sqref="C28" showErrorMessage="1" errorTitle="An invalid feedback was entered" error="Please choose feedback from drop down only.">
      <formula1>"Yes,No,FlexRET"</formula1>
    </dataValidation>
    <dataValidation type="list" xr:uid="{9230A392-2C45-4B35-BB5D-AC5342986F32}" sqref="D28" showErrorMessage="1" errorTitle="An invalid feedback was entered" error="Please choose feedback from drop down only.">
      <formula1>"Yes,No,FlexRET"</formula1>
    </dataValidation>
    <dataValidation type="list" xr:uid="{65BF8DF1-86F9-49E1-9855-CDCF9C680C44}" sqref="E28" showErrorMessage="1" errorTitle="An invalid feedback was entered" error="Please choose feedback from drop down only.">
      <formula1>"Yes,No,FlexRET"</formula1>
    </dataValidation>
    <dataValidation type="list" xr:uid="{E931378C-2960-48D1-ABF4-CF670433BF6A}" sqref="F28" showErrorMessage="1" errorTitle="An invalid feedback was entered" error="Please choose feedback from drop down only.">
      <formula1>"Yes,No,FlexRET"</formula1>
    </dataValidation>
    <dataValidation type="list" xr:uid="{B0898236-70A6-4C0C-B532-35B7A6648D84}" sqref="G28" showErrorMessage="1" errorTitle="An invalid feedback was entered" error="Please choose feedback from drop down only.">
      <formula1>"Yes,No,FlexRET"</formula1>
    </dataValidation>
    <dataValidation type="list" xr:uid="{0C6A604F-ABEE-4F65-9267-B3A62959605F}" sqref="H28" showErrorMessage="1" errorTitle="An invalid feedback was entered" error="Please choose feedback from drop down only.">
      <formula1>"Yes,No,FlexRET"</formula1>
    </dataValidation>
    <dataValidation type="list" xr:uid="{C2016015-00FF-4EFC-97DE-626A38160379}" sqref="I28" showErrorMessage="1" errorTitle="An invalid feedback was entered" error="Please choose feedback from drop down only.">
      <formula1>"Yes,No,FlexRET"</formula1>
    </dataValidation>
    <dataValidation type="list" xr:uid="{1DC6370E-8A8A-4780-A49E-3A6B19220828}" sqref="J28" showErrorMessage="1" errorTitle="An invalid feedback was entered" error="Please choose feedback from drop down only.">
      <formula1>"Yes,No,FlexRET"</formula1>
    </dataValidation>
    <dataValidation type="list" xr:uid="{BE22D219-CBCC-4962-B0BA-238C73E26060}" sqref="K28" showErrorMessage="1" errorTitle="An invalid feedback was entered" error="Please choose feedback from drop down only.">
      <formula1>"Yes,No,FlexRET"</formula1>
    </dataValidation>
    <dataValidation type="list" xr:uid="{0613689B-DF82-4B33-B0C9-6B706ABDC242}" sqref="L28" showErrorMessage="1" errorTitle="An invalid feedback was entered" error="Please choose feedback from drop down only.">
      <formula1>"Yes,No,FlexRET"</formula1>
    </dataValidation>
    <dataValidation type="list" xr:uid="{563B438B-ED88-44EC-9BD2-613827F7EB0F}" sqref="M28" showErrorMessage="1" errorTitle="An invalid feedback was entered" error="Please choose feedback from drop down only.">
      <formula1>"Yes,No,FlexRET"</formula1>
    </dataValidation>
    <dataValidation type="list" xr:uid="{3C83BED3-1583-4FBB-8953-F43058C08E88}" sqref="N28" showErrorMessage="1" errorTitle="An invalid feedback was entered" error="Please choose feedback from drop down only.">
      <formula1>"Yes,No,FlexRET"</formula1>
    </dataValidation>
    <dataValidation type="list" xr:uid="{D7F601B3-932E-433C-A767-5EA9814A8372}" sqref="O28" showErrorMessage="1" errorTitle="An invalid feedback was entered" error="Please choose feedback from drop down only.">
      <formula1>"Yes,No,FlexRET"</formula1>
    </dataValidation>
    <dataValidation type="list" xr:uid="{635D668C-E8A3-4104-9E65-EFD9831BE16F}" sqref="P28" showErrorMessage="1" errorTitle="An invalid feedback was entered" error="Please choose feedback from drop down only.">
      <formula1>"Yes,No,FlexRET"</formula1>
    </dataValidation>
    <dataValidation type="list" xr:uid="{32642EF5-C56C-407B-9B9D-68E6AA97FB87}" sqref="Q28" showErrorMessage="1" errorTitle="An invalid feedback was entered" error="Please choose feedback from drop down only.">
      <formula1>"Yes,No,FlexRET"</formula1>
    </dataValidation>
    <dataValidation type="list" xr:uid="{86FD1953-5450-4CB3-A757-097536A138FF}" sqref="C29" showErrorMessage="1" errorTitle="An invalid feedback was entered" error="Please choose feedback from drop down only.">
      <formula1>"Yes,No,FlexRET"</formula1>
    </dataValidation>
    <dataValidation type="list" xr:uid="{B1FD36A0-64D0-40B2-94D5-D01C413999E9}" sqref="D29" showErrorMessage="1" errorTitle="An invalid feedback was entered" error="Please choose feedback from drop down only.">
      <formula1>"Yes,No,FlexRET"</formula1>
    </dataValidation>
    <dataValidation type="list" xr:uid="{E4DFDEA5-3F20-4522-A85F-5FA1BCF84054}" sqref="E29" showErrorMessage="1" errorTitle="An invalid feedback was entered" error="Please choose feedback from drop down only.">
      <formula1>"Yes,No,FlexRET"</formula1>
    </dataValidation>
    <dataValidation type="list" xr:uid="{8C9E38EC-B9C5-4A3A-9AFC-F5BA7E1C5086}" sqref="F29" showErrorMessage="1" errorTitle="An invalid feedback was entered" error="Please choose feedback from drop down only.">
      <formula1>"Yes,No,FlexRET"</formula1>
    </dataValidation>
    <dataValidation type="list" xr:uid="{36755625-25CF-4BD9-822E-B91C32153E8A}" sqref="G29" showErrorMessage="1" errorTitle="An invalid feedback was entered" error="Please choose feedback from drop down only.">
      <formula1>"Yes,No,FlexRET"</formula1>
    </dataValidation>
    <dataValidation type="list" xr:uid="{90F654C0-E625-4380-A0EA-5EA0997473DA}" sqref="H29" showErrorMessage="1" errorTitle="An invalid feedback was entered" error="Please choose feedback from drop down only.">
      <formula1>"Yes,No,FlexRET"</formula1>
    </dataValidation>
    <dataValidation type="list" xr:uid="{9474627D-C3DC-4FEF-8EB2-5ECE28C64A97}" sqref="I29" showErrorMessage="1" errorTitle="An invalid feedback was entered" error="Please choose feedback from drop down only.">
      <formula1>"Yes,No,FlexRET"</formula1>
    </dataValidation>
    <dataValidation type="list" xr:uid="{1BC56CF1-5A9C-4221-9EA3-8BB8EEF99FC0}" sqref="J29" showErrorMessage="1" errorTitle="An invalid feedback was entered" error="Please choose feedback from drop down only.">
      <formula1>"Yes,No,FlexRET"</formula1>
    </dataValidation>
    <dataValidation type="list" xr:uid="{8B03D22F-C34D-47B4-99CF-310843EA0004}" sqref="K29" showErrorMessage="1" errorTitle="An invalid feedback was entered" error="Please choose feedback from drop down only.">
      <formula1>"Yes,No,FlexRET"</formula1>
    </dataValidation>
    <dataValidation type="list" xr:uid="{E1E001CE-D68B-48D8-A4B2-58797BA14D3B}" sqref="L29" showErrorMessage="1" errorTitle="An invalid feedback was entered" error="Please choose feedback from drop down only.">
      <formula1>"Yes,No,FlexRET"</formula1>
    </dataValidation>
    <dataValidation type="list" xr:uid="{4BE5A450-0F52-44DB-9BFA-21FA905B3414}" sqref="M29" showErrorMessage="1" errorTitle="An invalid feedback was entered" error="Please choose feedback from drop down only.">
      <formula1>"Yes,No,FlexRET"</formula1>
    </dataValidation>
    <dataValidation type="list" xr:uid="{546B219E-AF52-4C77-825E-B08E80BBA4DA}" sqref="N29" showErrorMessage="1" errorTitle="An invalid feedback was entered" error="Please choose feedback from drop down only.">
      <formula1>"Yes,No,FlexRET"</formula1>
    </dataValidation>
    <dataValidation type="list" xr:uid="{14DE6B32-2051-4544-AB5D-FE81DF9594A4}" sqref="O29" showErrorMessage="1" errorTitle="An invalid feedback was entered" error="Please choose feedback from drop down only.">
      <formula1>"Yes,No,FlexRET"</formula1>
    </dataValidation>
    <dataValidation type="list" xr:uid="{7D23266F-4B61-410A-9F89-666D1E94E155}" sqref="P29" showErrorMessage="1" errorTitle="An invalid feedback was entered" error="Please choose feedback from drop down only.">
      <formula1>"Yes,No,FlexRET"</formula1>
    </dataValidation>
    <dataValidation type="list" xr:uid="{1135DB89-05E1-4C18-9C6B-12278F8F5CB1}" sqref="Q29" showErrorMessage="1" errorTitle="An invalid feedback was entered" error="Please choose feedback from drop down only.">
      <formula1>"Yes,No,FlexRET"</formula1>
    </dataValidation>
    <dataValidation type="list" xr:uid="{66DB2E15-883A-4D4F-A36E-F876978F3EF3}" sqref="C25" showErrorMessage="1" errorTitle="An invalid feedback was entered" error="Please choose feedback from drop down only.">
      <formula1>"G,U,L,NR,GU,UL,GL,GUL,LNR,ULNR,None"</formula1>
    </dataValidation>
    <dataValidation type="list" xr:uid="{EC330504-A773-440B-9E4E-4C182AEFDE4E}" sqref="D25" showErrorMessage="1" errorTitle="An invalid feedback was entered" error="Please choose feedback from drop down only.">
      <formula1>"G,U,L,NR,GU,UL,GL,GUL,LNR,ULNR,None"</formula1>
    </dataValidation>
    <dataValidation type="list" xr:uid="{565E0001-B556-4CFE-9A9C-97C54EB1B286}" sqref="E25" showErrorMessage="1" errorTitle="An invalid feedback was entered" error="Please choose feedback from drop down only.">
      <formula1>"G,U,L,NR,GU,UL,GL,GUL,LNR,ULNR,None"</formula1>
    </dataValidation>
    <dataValidation type="list" xr:uid="{7F3933AD-88B8-4424-8A1E-E5F1982325A6}" sqref="F25" showErrorMessage="1" errorTitle="An invalid feedback was entered" error="Please choose feedback from drop down only.">
      <formula1>"G,U,L,NR,GU,UL,GL,GUL,LNR,ULNR,None"</formula1>
    </dataValidation>
    <dataValidation type="list" xr:uid="{5B83A1CF-F971-4E6C-B726-BB5D3BE1BEE7}" sqref="G25" showErrorMessage="1" errorTitle="An invalid feedback was entered" error="Please choose feedback from drop down only.">
      <formula1>"G,U,L,NR,GU,UL,GL,GUL,LNR,ULNR,None"</formula1>
    </dataValidation>
    <dataValidation type="list" xr:uid="{7D0087EC-1019-4102-B85A-F2AC038161B0}" sqref="H25" showErrorMessage="1" errorTitle="An invalid feedback was entered" error="Please choose feedback from drop down only.">
      <formula1>"G,U,L,NR,GU,UL,GL,GUL,LNR,ULNR,None"</formula1>
    </dataValidation>
    <dataValidation type="list" xr:uid="{C0BC419C-7D60-44B3-A7BA-324E74591BB2}" sqref="I25" showErrorMessage="1" errorTitle="An invalid feedback was entered" error="Please choose feedback from drop down only.">
      <formula1>"G,U,L,NR,GU,UL,GL,GUL,LNR,ULNR,None"</formula1>
    </dataValidation>
    <dataValidation type="list" xr:uid="{55497BD8-181D-4BCB-B25F-4A909A57F0C7}" sqref="J25" showErrorMessage="1" errorTitle="An invalid feedback was entered" error="Please choose feedback from drop down only.">
      <formula1>"G,U,L,NR,GU,UL,GL,GUL,LNR,ULNR,None"</formula1>
    </dataValidation>
    <dataValidation type="list" xr:uid="{739744E2-EAE8-4E3D-B06C-07D9C04AE146}" sqref="K25" showErrorMessage="1" errorTitle="An invalid feedback was entered" error="Please choose feedback from drop down only.">
      <formula1>"G,U,L,NR,GU,UL,GL,GUL,LNR,ULNR,None"</formula1>
    </dataValidation>
    <dataValidation type="list" xr:uid="{2398B299-278F-477B-B96E-41F41E8678CB}" sqref="L25" showErrorMessage="1" errorTitle="An invalid feedback was entered" error="Please choose feedback from drop down only.">
      <formula1>"G,U,L,NR,GU,UL,GL,GUL,LNR,ULNR,None"</formula1>
    </dataValidation>
    <dataValidation type="list" xr:uid="{DDF034AA-7610-46FB-8C5A-791734798ABF}" sqref="M25" showErrorMessage="1" errorTitle="An invalid feedback was entered" error="Please choose feedback from drop down only.">
      <formula1>"G,U,L,NR,GU,UL,GL,GUL,LNR,ULNR,None"</formula1>
    </dataValidation>
    <dataValidation type="list" xr:uid="{D5799DDD-EB4F-4C4B-A2D8-CFB2F6A60953}" sqref="N25" showErrorMessage="1" errorTitle="An invalid feedback was entered" error="Please choose feedback from drop down only.">
      <formula1>"G,U,L,NR,GU,UL,GL,GUL,LNR,ULNR,None"</formula1>
    </dataValidation>
    <dataValidation type="list" xr:uid="{B214C162-A607-4DFC-A5B8-72D1133EF11E}" sqref="O25" showErrorMessage="1" errorTitle="An invalid feedback was entered" error="Please choose feedback from drop down only.">
      <formula1>"G,U,L,NR,GU,UL,GL,GUL,LNR,ULNR,None"</formula1>
    </dataValidation>
    <dataValidation type="list" xr:uid="{CA05F219-466F-4DB0-B898-9D2729B90B51}" sqref="P25" showErrorMessage="1" errorTitle="An invalid feedback was entered" error="Please choose feedback from drop down only.">
      <formula1>"G,U,L,NR,GU,UL,GL,GUL,LNR,ULNR,None"</formula1>
    </dataValidation>
    <dataValidation type="list" xr:uid="{FA8D2368-D916-42D4-A2A7-EC439F75FA8C}" sqref="Q25" showErrorMessage="1" errorTitle="An invalid feedback was entered" error="Please choose feedback from drop down only.">
      <formula1>"G,U,L,NR,GU,UL,GL,GUL,LNR,ULNR,None"</formula1>
    </dataValidation>
    <dataValidation type="list" xr:uid="{1C443CEF-248C-400C-BE13-9897D3222EF6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A0401B4-34D2-49AC-BA41-2928CA20B637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8C601E8-853D-491B-8ACF-9ADA3441C481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64E1745-CA9A-44D2-A8E3-484A650A4D1D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8EF88BB-2461-4887-96D9-E975D8CCD7AC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671EDA0-3247-4107-81BB-D12644081484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082F6EC-6E60-4F29-9233-489FD6A7666E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5EC6FED-D9C7-4610-91FF-39C6FC27CE3B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C3920F8-FB3D-49E6-939B-84115F954570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E4092D5-F33E-452E-AEDD-1F0C1295995F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E421B22-4042-44E5-A111-63CEBB1E5CDB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B701852-6F6F-4D38-B1CB-6B0A346DE22F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D6EE54B-9518-433C-B2C3-B7D3FA272CD8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CE10CA0-5FE1-40CC-993D-03BC5D4455C7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4EB8546-8B57-4C4E-963A-FC5CC6726EFA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25" right="0.25" top="0.75" bottom="0.75" header="0.3" footer="0.3"/>
  <pageSetup paperSize="9" scale="56" fitToHeight="0"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F8ED277F-2F31-42EF-BA31-DE0A7B8D98A6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D316BB7F-2ACF-44FE-91A4-A22290C76716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44B0FB6B-736A-4C70-802D-6DB65073448B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13AC5334-DB10-4457-A98A-6782E1D01A3E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F6599FE4-1803-461C-819E-F28B8C48F0A7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B4CFC6E7-276B-48A9-9F72-3D5E1D6D6C24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25301F0C-E334-4A05-8F37-79FCFD45F9B7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63CD1D64-6F59-40B8-AF2A-398AA96A0416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3C75F5D7-A6D9-4961-8DC8-E94713A8EBB8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F3BCBAC1-4B57-4274-88F2-D79A961C6EFE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3E2D55A4-D0D6-4421-B09F-860E9275CCA2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9D3221EB-D2D3-461E-B465-B50179B7C867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99DEF608-5119-4985-94CA-914E79B49E12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A6D2A36A-A959-41D5-B0FE-55621C992946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6321E849-A60C-4A06-8D16-8506A4DDACB7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B92DC6F1-A1A7-4278-8F9E-2B0955079E50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D240A4B0-7D0B-475D-A4F2-C333B3393984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CB709459-221C-403A-9ADA-A2F539D9417F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5EF53F43-B97E-497E-9599-3D698AC5699B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7B4E38D7-E1C8-46A0-8DBB-DCFC375B54A4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91131829-BB05-4ECB-A062-1363F8709AF0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EF58B8F5-F7F9-4063-93D6-26DCC79BA5FB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0F770982-437F-4846-A57F-9772C3C52740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7B8E6CE8-07E1-4183-869D-FF9E2FD97298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E515A49C-BA7C-4830-905E-43B6059DD4E1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72BCDB37-95A0-4304-8654-EC7F301AA138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200F2C4A-251E-44EA-85A4-01063FCEE166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B3261E6F-3E1B-433F-9529-FB2D5CC47BC5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5867BC49-8ABC-47DF-8DB5-000AC9E6EDD7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C61C8FE6-2162-4F4A-AA17-F85C0BBA0BE4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082A569F-98BB-472E-828D-17D9EDDBCA92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D68304BE-F622-4102-AFF1-6EE8ED97C06A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94EDDA4F-618E-4CE8-AD3E-803922151B1F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126196C7-39F4-4D96-90CA-C2EBA262BE02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33F7CB90-0CCC-4DDA-BBCA-5901A388B682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99673744-531A-4B9A-8940-D8D74E9727D6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522F2018-0000-4B29-8FFA-A1A39DA04977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B95FB71E-CE88-4AE3-9188-F512CA23C98E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E8FD15C0-278F-44A6-BF3E-D30FFF88E663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FF535B98-65A8-4500-AD23-764B89F5F5C5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ACD08004-66BF-45D1-89B1-3F614C35E7B9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519C8105-BA33-498E-BD48-A5F2ADD89E81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A66690BE-BFE7-41E8-8E16-F49C4B918570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F0FF6E5C-87E0-4863-842A-BDFF9C93F082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5D4659AB-D13C-455C-8A1B-5FCDDBB9338D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639412D3-CFE0-4602-89FD-9F35AE7A99F9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E2214D1E-D791-4529-88FE-8C9F356F0CE2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BA8FC669-C32A-4B86-AEE7-97743DF5F073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5EA7C397-2D62-4394-8497-A8C51D4CEFAE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EA89DF7B-EACD-4A3D-BB65-EDC9B6AD0C9C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E9DA6E8E-4186-46BE-8337-B823816F2B0D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77F860C5-C670-40F9-B052-374A7DC19BD0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EF3A9B4D-D756-4374-8045-F12DAFFFA637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E3A84829-0EC7-4BB6-848A-70D1C9FFD83C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5FA4E65D-27F6-4391-8663-9062F24214D6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FEB01927-9354-427A-BDCA-10BF262B3716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323AFE16-2FF6-4F78-A71F-4590FFDB9892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EA11A5F9-C652-4058-96F8-9F7F941DA1B2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6B94314B-3160-49F4-9CE4-9D70F62BCF55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ACAD0F0B-761D-498A-A91A-9481A806E16C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6"/>
  <dimension ref="A1:U45"/>
  <sheetViews>
    <sheetView zoomScale="90" zoomScaleNormal="90" workbookViewId="0">
      <selection activeCell="C8" sqref="C8:H8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/>
      <c r="B1" s="198"/>
      <c r="C1" s="258" t="s">
        <v>107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8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11"/>
      <c r="D3" s="212"/>
      <c r="E3" s="212"/>
      <c r="F3" s="212"/>
      <c r="G3" s="212"/>
      <c r="H3" s="212"/>
      <c r="I3" s="212"/>
      <c r="J3" s="212"/>
      <c r="K3" s="212"/>
      <c r="L3" s="212"/>
      <c r="M3" s="212"/>
      <c r="N3" s="212"/>
      <c r="O3" s="212"/>
      <c r="P3" s="213"/>
    </row>
    <row r="4" ht="25.15" s="22" customFormat="1">
      <c r="A4" s="241"/>
      <c r="B4" s="9" t="s">
        <v>3</v>
      </c>
      <c r="C4" s="248"/>
      <c r="D4" s="249"/>
      <c r="E4" s="249"/>
      <c r="F4" s="249"/>
      <c r="G4" s="249"/>
      <c r="H4" s="249"/>
      <c r="I4" s="249"/>
      <c r="J4" s="249"/>
      <c r="K4" s="249"/>
      <c r="L4" s="249"/>
      <c r="M4" s="249"/>
      <c r="N4" s="249"/>
      <c r="O4" s="249"/>
      <c r="P4" s="250"/>
    </row>
    <row r="5" ht="24.75">
      <c r="A5" s="241"/>
      <c r="B5" s="13" t="s">
        <v>4</v>
      </c>
      <c r="C5" s="245"/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0"/>
    </row>
    <row r="8" ht="17.65" s="22" customFormat="1">
      <c r="A8" s="241"/>
      <c r="B8" s="9" t="s">
        <v>8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74"/>
    </row>
    <row r="9" ht="17.25">
      <c r="A9" s="241"/>
      <c r="B9" s="8" t="s">
        <v>9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73"/>
    </row>
    <row r="10" ht="17.65" s="22" customFormat="1">
      <c r="A10" s="241"/>
      <c r="B10" s="10" t="s">
        <v>11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74"/>
    </row>
    <row r="11" ht="17.25">
      <c r="A11" s="241"/>
      <c r="B11" s="8" t="s">
        <v>12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73"/>
    </row>
    <row r="12" ht="17.65" s="22" customFormat="1">
      <c r="A12" s="241"/>
      <c r="B12" s="10" t="s">
        <v>13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74"/>
    </row>
    <row r="13" ht="17.25">
      <c r="A13" s="241"/>
      <c r="B13" s="8" t="s">
        <v>14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73"/>
    </row>
    <row r="14" ht="17.65" s="22" customFormat="1">
      <c r="A14" s="241"/>
      <c r="B14" s="10" t="s">
        <v>15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81"/>
    </row>
    <row r="15" ht="17.25">
      <c r="A15" s="241"/>
      <c r="B15" s="8" t="s">
        <v>16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80"/>
    </row>
    <row r="16" ht="17.25" s="22" customFormat="1">
      <c r="A16" s="241"/>
      <c r="B16" s="68" t="s">
        <v>17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18</v>
      </c>
      <c r="C17" s="63" t="s">
        <v>19</v>
      </c>
      <c r="D17" s="64" t="s">
        <v>20</v>
      </c>
      <c r="E17" s="64" t="s">
        <v>21</v>
      </c>
      <c r="F17" s="64" t="s">
        <v>22</v>
      </c>
      <c r="G17" s="64" t="s">
        <v>23</v>
      </c>
      <c r="H17" s="65" t="s">
        <v>24</v>
      </c>
      <c r="I17" s="63" t="s">
        <v>19</v>
      </c>
      <c r="J17" s="64" t="s">
        <v>20</v>
      </c>
      <c r="K17" s="64" t="s">
        <v>21</v>
      </c>
      <c r="L17" s="65" t="s">
        <v>22</v>
      </c>
      <c r="M17" s="63" t="s">
        <v>19</v>
      </c>
      <c r="N17" s="64" t="s">
        <v>20</v>
      </c>
      <c r="O17" s="65" t="s">
        <v>21</v>
      </c>
      <c r="P17" s="76" t="s">
        <v>19</v>
      </c>
    </row>
    <row r="18" ht="17.25">
      <c r="A18" s="256"/>
      <c r="B18" s="70" t="s">
        <v>25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30</v>
      </c>
      <c r="C19" s="105">
        <f>VLOOKUP(C8,AntennasPortName!A:H,2,FALSE)</f>
      </c>
      <c r="D19" s="105">
        <f>VLOOKUP(C8,AntennasPortName!A:H,3,FALSE)</f>
      </c>
      <c r="E19" s="105">
        <f>VLOOKUP(C8,AntennasPortName!A:H,4,FALSE)</f>
      </c>
      <c r="F19" s="105">
        <f>VLOOKUP(C8,AntennasPortName!A:H,5,FALSE)</f>
      </c>
      <c r="G19" s="105">
        <f>VLOOKUP(C8,AntennasPortName!A:H,6,FALSE)</f>
      </c>
      <c r="H19" s="105">
        <f>VLOOKUP(C8,AntennasPortName!A:H,7,FALSE)</f>
      </c>
      <c r="I19" s="105">
        <f>VLOOKUP(I8,AntennasPortName!A:H,2,FALSE)</f>
      </c>
      <c r="J19" s="105">
        <f>VLOOKUP(I8,AntennasPortName!A:H,3,FALSE)</f>
      </c>
      <c r="K19" s="105">
        <f>VLOOKUP(I8,AntennasPortName!A:H,4,FALSE)</f>
      </c>
      <c r="L19" s="105">
        <f>VLOOKUP(I8,AntennasPortName!A:H,5,FALSE)</f>
      </c>
      <c r="M19" s="105">
        <f>VLOOKUP(M8,AntennasPortName!A:H,2,FALSE)</f>
      </c>
      <c r="N19" s="105">
        <f>VLOOKUP(M8,AntennasPortName!A:H,3,FALSE)</f>
      </c>
      <c r="O19" s="105">
        <f>VLOOKUP(M8,AntennasPortName!A:H,4,FALSE)</f>
      </c>
      <c r="P19" s="99">
        <f>VLOOKUP(P8,AntennasPortName!A:H,2,FALSE)</f>
      </c>
    </row>
    <row r="20" ht="17.25">
      <c r="A20" s="241"/>
      <c r="B20" s="69" t="s">
        <v>31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34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35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36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37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41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42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43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44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45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46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48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49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50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51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55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56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58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59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61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62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63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64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M14:O14"/>
    <mergeCell ref="M10:O10"/>
    <mergeCell ref="C11:H11"/>
    <mergeCell ref="I11:L11"/>
    <mergeCell ref="M11:O11"/>
    <mergeCell ref="C12:H12"/>
    <mergeCell ref="I12:L12"/>
    <mergeCell ref="M12:O12"/>
    <mergeCell ref="C10:H10"/>
    <mergeCell ref="I10:L10"/>
    <mergeCell ref="A34:A35"/>
    <mergeCell ref="A36:A41"/>
    <mergeCell ref="A42:A45"/>
    <mergeCell ref="C15:H15"/>
    <mergeCell ref="I15:L15"/>
    <mergeCell ref="B42:P45"/>
    <mergeCell ref="M15:O15"/>
    <mergeCell ref="C16:H16"/>
    <mergeCell ref="I16:L16"/>
    <mergeCell ref="M16:O16"/>
    <mergeCell ref="A3:A33"/>
    <mergeCell ref="C13:H13"/>
    <mergeCell ref="I13:L13"/>
    <mergeCell ref="M13:O13"/>
    <mergeCell ref="C14:H14"/>
    <mergeCell ref="I14:L14"/>
    <mergeCell ref="A1:B1"/>
    <mergeCell ref="C2:H2"/>
    <mergeCell ref="I2:L2"/>
    <mergeCell ref="M2:O2"/>
    <mergeCell ref="C1:P1"/>
    <mergeCell ref="C3:P3"/>
    <mergeCell ref="C4:P4"/>
    <mergeCell ref="C5:P5"/>
    <mergeCell ref="C6:P6"/>
    <mergeCell ref="C7:H7"/>
    <mergeCell ref="I7:L7"/>
    <mergeCell ref="M7:O7"/>
    <mergeCell ref="C8:H8"/>
    <mergeCell ref="I8:L8"/>
    <mergeCell ref="M8:O8"/>
    <mergeCell ref="C9:H9"/>
    <mergeCell ref="I9:L9"/>
    <mergeCell ref="M9:O9"/>
  </mergeCells>
  <conditionalFormatting sqref="C22:E22 C4 H22:O22">
    <cfRule type="cellIs" dxfId="0" priority="49" operator="greaterThan">
      <formula>0</formula>
    </cfRule>
  </conditionalFormatting>
  <conditionalFormatting sqref="C21:E21 H21:O21">
    <cfRule type="expression" dxfId="1" priority="48">
      <formula>ISERROR(C21)</formula>
    </cfRule>
  </conditionalFormatting>
  <conditionalFormatting sqref="C21:E21 H21:O21">
    <cfRule type="cellIs" dxfId="1" priority="47" operator="equal">
      <formula>0</formula>
    </cfRule>
  </conditionalFormatting>
  <conditionalFormatting sqref="C21:E21 H21:O21">
    <cfRule type="cellIs" dxfId="3" priority="46" operator="greaterThan">
      <formula>0</formula>
    </cfRule>
  </conditionalFormatting>
  <conditionalFormatting sqref="C27:O27 D29:O29 D33:O33">
    <cfRule type="cellIs" dxfId="0" priority="45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41">
      <formula>ISBLANK(C8)</formula>
    </cfRule>
  </conditionalFormatting>
  <conditionalFormatting sqref="C29">
    <cfRule type="cellIs" dxfId="0" priority="43" operator="notEqual">
      <formula>VALUE(C28)</formula>
    </cfRule>
  </conditionalFormatting>
  <conditionalFormatting sqref="C29">
    <cfRule type="expression" dxfId="10" priority="42">
      <formula>ISBLANK(C29)</formula>
    </cfRule>
  </conditionalFormatting>
  <conditionalFormatting sqref="C8:O8 C10:O10 C12:O12 C14:O14 C16:O16 C31:O31 D35:O35 D37:O37 D25:O25 D39:O39 D41:O41">
    <cfRule type="cellIs" dxfId="0" priority="44" operator="notEqual">
      <formula>C7</formula>
    </cfRule>
  </conditionalFormatting>
  <conditionalFormatting sqref="C31">
    <cfRule type="expression" dxfId="10" priority="40">
      <formula>ISBLANK(C31)</formula>
    </cfRule>
  </conditionalFormatting>
  <conditionalFormatting sqref="C33">
    <cfRule type="cellIs" dxfId="0" priority="39" operator="notEqual">
      <formula>VALUE(C32)</formula>
    </cfRule>
  </conditionalFormatting>
  <conditionalFormatting sqref="C33">
    <cfRule type="expression" dxfId="10" priority="38">
      <formula>ISBLANK(C33)</formula>
    </cfRule>
  </conditionalFormatting>
  <conditionalFormatting sqref="C35">
    <cfRule type="cellIs" dxfId="0" priority="37" operator="notEqual">
      <formula>C34</formula>
    </cfRule>
  </conditionalFormatting>
  <conditionalFormatting sqref="C35">
    <cfRule type="expression" dxfId="10" priority="36">
      <formula>ISBLANK(C35)</formula>
    </cfRule>
  </conditionalFormatting>
  <conditionalFormatting sqref="C37">
    <cfRule type="cellIs" dxfId="0" priority="35" operator="notEqual">
      <formula>C36</formula>
    </cfRule>
  </conditionalFormatting>
  <conditionalFormatting sqref="C37">
    <cfRule type="expression" dxfId="10" priority="34">
      <formula>ISBLANK(C37)</formula>
    </cfRule>
  </conditionalFormatting>
  <conditionalFormatting sqref="C6">
    <cfRule type="expression" dxfId="10" priority="32">
      <formula>ISBLANK(C6)</formula>
    </cfRule>
    <cfRule type="cellIs" dxfId="0" priority="33" operator="notEqual">
      <formula>C5</formula>
    </cfRule>
  </conditionalFormatting>
  <conditionalFormatting sqref="C25">
    <cfRule type="cellIs" dxfId="0" priority="31" operator="notEqual">
      <formula>C24</formula>
    </cfRule>
  </conditionalFormatting>
  <conditionalFormatting sqref="C25">
    <cfRule type="expression" dxfId="10" priority="30">
      <formula>ISBLANK(C25)</formula>
    </cfRule>
  </conditionalFormatting>
  <conditionalFormatting sqref="C39">
    <cfRule type="cellIs" dxfId="0" priority="29" operator="notEqual">
      <formula>C38</formula>
    </cfRule>
  </conditionalFormatting>
  <conditionalFormatting sqref="C39">
    <cfRule type="expression" dxfId="10" priority="28">
      <formula>ISBLANK(C39)</formula>
    </cfRule>
  </conditionalFormatting>
  <conditionalFormatting sqref="C41">
    <cfRule type="cellIs" dxfId="0" priority="27" operator="notEqual">
      <formula>C40</formula>
    </cfRule>
  </conditionalFormatting>
  <conditionalFormatting sqref="C41">
    <cfRule type="expression" dxfId="10" priority="26">
      <formula>ISBLANK(C41)</formula>
    </cfRule>
  </conditionalFormatting>
  <conditionalFormatting sqref="C24:O41">
    <cfRule type="expression" dxfId="1" priority="25" stopIfTrue="1">
      <formula>OR(C$22="Free",C$22="Telenor",C$22="Mtel",C$22="Telenor&amp;Mtel")</formula>
    </cfRule>
  </conditionalFormatting>
  <conditionalFormatting sqref="F22:G22">
    <cfRule type="cellIs" dxfId="0" priority="24" operator="greaterThan">
      <formula>0</formula>
    </cfRule>
  </conditionalFormatting>
  <conditionalFormatting sqref="F21:G21">
    <cfRule type="expression" dxfId="1" priority="23">
      <formula>ISERROR(F21)</formula>
    </cfRule>
  </conditionalFormatting>
  <conditionalFormatting sqref="F21:G21">
    <cfRule type="cellIs" dxfId="1" priority="22" operator="equal">
      <formula>0</formula>
    </cfRule>
  </conditionalFormatting>
  <conditionalFormatting sqref="F21:G21">
    <cfRule type="cellIs" dxfId="3" priority="21" operator="greaterThan">
      <formula>0</formula>
    </cfRule>
  </conditionalFormatting>
  <conditionalFormatting sqref="C19">
    <cfRule type="cellIs" dxfId="1" priority="19" operator="equal">
      <formula>0</formula>
    </cfRule>
    <cfRule type="expression" dxfId="1" priority="20">
      <formula>ISERROR(C19)</formula>
    </cfRule>
  </conditionalFormatting>
  <conditionalFormatting sqref="D19:O19">
    <cfRule type="cellIs" dxfId="1" priority="17" operator="equal">
      <formula>0</formula>
    </cfRule>
    <cfRule type="expression" dxfId="1" priority="18">
      <formula>ISERROR(D19)</formula>
    </cfRule>
  </conditionalFormatting>
  <conditionalFormatting sqref="P22">
    <cfRule type="cellIs" dxfId="0" priority="11" operator="greaterThan">
      <formula>0</formula>
    </cfRule>
  </conditionalFormatting>
  <conditionalFormatting sqref="P21">
    <cfRule type="expression" dxfId="1" priority="10">
      <formula>ISERROR(P21)</formula>
    </cfRule>
  </conditionalFormatting>
  <conditionalFormatting sqref="P21">
    <cfRule type="cellIs" dxfId="1" priority="9" operator="equal">
      <formula>0</formula>
    </cfRule>
  </conditionalFormatting>
  <conditionalFormatting sqref="P21">
    <cfRule type="cellIs" dxfId="3" priority="8" operator="greaterThan">
      <formula>0</formula>
    </cfRule>
  </conditionalFormatting>
  <conditionalFormatting sqref="P27 P29 P33">
    <cfRule type="cellIs" dxfId="0" priority="7" operator="notEqual">
      <formula>VALUE(P26)</formula>
    </cfRule>
  </conditionalFormatting>
  <conditionalFormatting sqref="P8 P10 P12 P14 P16 P27 P29 P31 P33 P35 P37 P25 P39 P41">
    <cfRule type="expression" dxfId="10" priority="5">
      <formula>ISBLANK(P8)</formula>
    </cfRule>
  </conditionalFormatting>
  <conditionalFormatting sqref="P8 P10 P12 P14 P16 P31 P35 P37 P25 P39 P41">
    <cfRule type="cellIs" dxfId="0" priority="6" operator="notEqual">
      <formula>P7</formula>
    </cfRule>
  </conditionalFormatting>
  <conditionalFormatting sqref="P24:P41">
    <cfRule type="expression" dxfId="1" priority="4" stopIfTrue="1">
      <formula>OR(P$22="Free",P$22="Telenor",P$22="Mtel",P$22="Telenor&amp;Mtel")</formula>
    </cfRule>
  </conditionalFormatting>
  <conditionalFormatting sqref="P19">
    <cfRule type="cellIs" dxfId="1" priority="2" operator="equal">
      <formula>0</formula>
    </cfRule>
    <cfRule type="expression" dxfId="1" priority="3">
      <formula>ISERROR(P19)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F9DEE636-FACB-4195-8F75-6DBEA2A7B58C}" sqref="C2" showErrorMessage="1" errorTitle="An invalid feedback was entered" error="Please choose feedback from drop down only.">
      <formula1>"1,2,3"</formula1>
    </dataValidation>
    <dataValidation type="list" xr:uid="{6CD354C2-F3D9-4238-947A-F42D55A8163E}" sqref="D2" showErrorMessage="1" errorTitle="An invalid feedback was entered" error="Please choose feedback from drop down only.">
      <formula1>"1,2,3"</formula1>
    </dataValidation>
    <dataValidation type="list" xr:uid="{60D71C2F-FAD8-490F-95D5-39BBAC1D3D6C}" sqref="E2" showErrorMessage="1" errorTitle="An invalid feedback was entered" error="Please choose feedback from drop down only.">
      <formula1>"1,2,3"</formula1>
    </dataValidation>
    <dataValidation type="list" xr:uid="{CF6C1104-C291-43D2-9E1B-AC944424A6F5}" sqref="F2" showErrorMessage="1" errorTitle="An invalid feedback was entered" error="Please choose feedback from drop down only.">
      <formula1>"1,2,3"</formula1>
    </dataValidation>
    <dataValidation type="list" xr:uid="{2CDF26E4-BF97-4409-B79F-57B9E9305F19}" sqref="G2" showErrorMessage="1" errorTitle="An invalid feedback was entered" error="Please choose feedback from drop down only.">
      <formula1>"1,2,3"</formula1>
    </dataValidation>
    <dataValidation type="list" xr:uid="{DAA24B43-EA30-4D4C-9BA8-6F3D9B50F215}" sqref="H2" showErrorMessage="1" errorTitle="An invalid feedback was entered" error="Please choose feedback from drop down only.">
      <formula1>"1,2,3"</formula1>
    </dataValidation>
    <dataValidation type="list" xr:uid="{956EDCE0-C43F-4E32-BDDF-A8D43D0E5BAB}" sqref="I2" showErrorMessage="1" errorTitle="An invalid feedback was entered" error="Please choose feedback from drop down only.">
      <formula1>"1,2,3"</formula1>
    </dataValidation>
    <dataValidation type="list" xr:uid="{4AA4ED95-BBFF-4243-9EFE-C10F540999A9}" sqref="J2" showErrorMessage="1" errorTitle="An invalid feedback was entered" error="Please choose feedback from drop down only.">
      <formula1>"1,2,3"</formula1>
    </dataValidation>
    <dataValidation type="list" xr:uid="{40D653E2-62CF-494E-B4CB-2CBF7150EFC3}" sqref="K2" showErrorMessage="1" errorTitle="An invalid feedback was entered" error="Please choose feedback from drop down only.">
      <formula1>"1,2,3"</formula1>
    </dataValidation>
    <dataValidation type="list" xr:uid="{AE891F59-913F-4C5F-94E3-C34D2EDC6C34}" sqref="L2" showErrorMessage="1" errorTitle="An invalid feedback was entered" error="Please choose feedback from drop down only.">
      <formula1>"1,2,3"</formula1>
    </dataValidation>
    <dataValidation type="list" xr:uid="{9D502527-388A-48DE-B62A-B31BD157F4D3}" sqref="M2" showErrorMessage="1" errorTitle="An invalid feedback was entered" error="Please choose feedback from drop down only.">
      <formula1>"1,2,3"</formula1>
    </dataValidation>
    <dataValidation type="list" xr:uid="{187CA93A-FEF2-4EAF-91DD-0EFBDFDA88EC}" sqref="N2" showErrorMessage="1" errorTitle="An invalid feedback was entered" error="Please choose feedback from drop down only.">
      <formula1>"1,2,3"</formula1>
    </dataValidation>
    <dataValidation type="list" xr:uid="{7A82C74D-BFA4-4E42-91DE-8859A47D3D0B}" sqref="O2" showErrorMessage="1" errorTitle="An invalid feedback was entered" error="Please choose feedback from drop down only.">
      <formula1>"1,2,3"</formula1>
    </dataValidation>
    <dataValidation type="list" xr:uid="{20975C51-C907-4DBB-A89A-080A17B3067D}" sqref="P2" showErrorMessage="1" errorTitle="An invalid feedback was entered" error="Please choose feedback from drop down only.">
      <formula1>"1,2,3"</formula1>
    </dataValidation>
    <dataValidation type="list" xr:uid="{ADC8F501-39B4-4583-B613-0EF7450F6DDC}" sqref="Q2" showErrorMessage="1" errorTitle="An invalid feedback was entered" error="Please choose feedback from drop down only.">
      <formula1>"1,2,3"</formula1>
    </dataValidation>
    <dataValidation type="list" xr:uid="{1F181E8F-53AA-4A8C-95B5-3ED3B56073FE}" sqref="C17" showErrorMessage="1" errorTitle="An invalid feedback was entered" error="Please choose feedback from drop down only.">
      <formula1>"1-2,3-4,5-6,7-8,9-10,N/A"</formula1>
    </dataValidation>
    <dataValidation type="list" xr:uid="{D7E55CDF-6026-409B-9E07-FA6BABB513FA}" sqref="D17" showErrorMessage="1" errorTitle="An invalid feedback was entered" error="Please choose feedback from drop down only.">
      <formula1>"1-2,3-4,5-6,7-8,9-10,N/A"</formula1>
    </dataValidation>
    <dataValidation type="list" xr:uid="{070465F8-B6DA-42B5-ADBD-DF5BDB5B8A1C}" sqref="E17" showErrorMessage="1" errorTitle="An invalid feedback was entered" error="Please choose feedback from drop down only.">
      <formula1>"1-2,3-4,5-6,7-8,9-10,N/A"</formula1>
    </dataValidation>
    <dataValidation type="list" xr:uid="{B3726F7B-9C6B-4AF7-BD17-DBC91135A1EC}" sqref="F17" showErrorMessage="1" errorTitle="An invalid feedback was entered" error="Please choose feedback from drop down only.">
      <formula1>"1-2,3-4,5-6,7-8,9-10,N/A"</formula1>
    </dataValidation>
    <dataValidation type="list" xr:uid="{6ED49AF2-00E7-4AF6-AD71-E1D5DD0FC355}" sqref="G17" showErrorMessage="1" errorTitle="An invalid feedback was entered" error="Please choose feedback from drop down only.">
      <formula1>"1-2,3-4,5-6,7-8,9-10,N/A"</formula1>
    </dataValidation>
    <dataValidation type="list" xr:uid="{9392532B-7729-4918-B3C6-B707062CD53C}" sqref="H17" showErrorMessage="1" errorTitle="An invalid feedback was entered" error="Please choose feedback from drop down only.">
      <formula1>"1-2,3-4,5-6,7-8,9-10,N/A"</formula1>
    </dataValidation>
    <dataValidation type="list" xr:uid="{09452E9A-F467-4584-AF08-96F7047F37BD}" sqref="I17" showErrorMessage="1" errorTitle="An invalid feedback was entered" error="Please choose feedback from drop down only.">
      <formula1>"1-2,3-4,5-6,7-8,9-10,N/A"</formula1>
    </dataValidation>
    <dataValidation type="list" xr:uid="{80F1851E-7DEB-46AB-B203-3BF2B4F1DF17}" sqref="J17" showErrorMessage="1" errorTitle="An invalid feedback was entered" error="Please choose feedback from drop down only.">
      <formula1>"1-2,3-4,5-6,7-8,9-10,N/A"</formula1>
    </dataValidation>
    <dataValidation type="list" xr:uid="{9CA2D6C9-51F5-4206-8AAF-E31B82D38A1B}" sqref="K17" showErrorMessage="1" errorTitle="An invalid feedback was entered" error="Please choose feedback from drop down only.">
      <formula1>"1-2,3-4,5-6,7-8,9-10,N/A"</formula1>
    </dataValidation>
    <dataValidation type="list" xr:uid="{2D635598-032C-409E-861E-0343095B082D}" sqref="L17" showErrorMessage="1" errorTitle="An invalid feedback was entered" error="Please choose feedback from drop down only.">
      <formula1>"1-2,3-4,5-6,7-8,9-10,N/A"</formula1>
    </dataValidation>
    <dataValidation type="list" xr:uid="{4EB8BD70-F277-4C14-B987-3FF0AB2FD059}" sqref="M17" showErrorMessage="1" errorTitle="An invalid feedback was entered" error="Please choose feedback from drop down only.">
      <formula1>"1-2,3-4,5-6,7-8,9-10,N/A"</formula1>
    </dataValidation>
    <dataValidation type="list" xr:uid="{605BF2DD-893E-4564-B3D7-0697092CEB03}" sqref="N17" showErrorMessage="1" errorTitle="An invalid feedback was entered" error="Please choose feedback from drop down only.">
      <formula1>"1-2,3-4,5-6,7-8,9-10,N/A"</formula1>
    </dataValidation>
    <dataValidation type="list" xr:uid="{0F8070D6-5D39-413E-A624-0987B92BD54A}" sqref="O17" showErrorMessage="1" errorTitle="An invalid feedback was entered" error="Please choose feedback from drop down only.">
      <formula1>"1-2,3-4,5-6,7-8,9-10,N/A"</formula1>
    </dataValidation>
    <dataValidation type="list" xr:uid="{F72DB64B-3F09-4163-B88D-9AD455FAB639}" sqref="P17" showErrorMessage="1" errorTitle="An invalid feedback was entered" error="Please choose feedback from drop down only.">
      <formula1>"1-2,3-4,5-6,7-8,9-10,N/A"</formula1>
    </dataValidation>
    <dataValidation type="list" xr:uid="{F3049FA9-4416-4F2C-A6BC-E7AC92E6E796}" sqref="Q17" showErrorMessage="1" errorTitle="An invalid feedback was entered" error="Please choose feedback from drop down only.">
      <formula1>"1-2,3-4,5-6,7-8,9-10,N/A"</formula1>
    </dataValidation>
    <dataValidation type="list" xr:uid="{E02376EB-E864-4878-ACE9-A77E4B9D9F24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8B5E767B-DDB5-49CD-916D-A4DB9FE8E065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6B6B5906-32CA-4FF8-96BB-24A335FB8892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DD45D9C3-828A-4E96-8FC1-293DCA6E9074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40BA7AEE-D5BF-4CD7-8A15-876C8929C8A7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EC5898CD-0072-4F73-B5B9-C5D6B45A930C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E5613CEB-1F33-4E2C-8D1B-919066B7250D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08D6B1EA-0423-4C28-AD9B-D4AC280CD3AF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F7308CCA-4BF1-4722-9497-8B61E5954367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5B42D64B-FEB7-4D2B-BD97-2E8AF168C898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74AD5708-2E9A-4C08-9F8D-AE077EBECCA9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C3F78944-209A-47E2-BEA2-7A1BFB92DAA0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F823A3B9-C009-42AA-95CE-184276AA62DC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EE563B39-F33F-4D38-BC12-FBC709B37F01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F0DA2F45-DBDE-458E-AE20-BCBA1CBA934E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58AAF965-C28A-464E-8974-1E8E47B266B4}" sqref="C23" showErrorMessage="1" errorTitle="An invalid feedback was entered" error="Please choose feedback from drop down only.">
      <formula1>"Yetel,Bulsatcom,A1,Yetel&amp;A1,N/A"</formula1>
    </dataValidation>
    <dataValidation type="list" xr:uid="{E0D7268E-6A47-4BCA-985C-8C180E7234E1}" sqref="D23" showErrorMessage="1" errorTitle="An invalid feedback was entered" error="Please choose feedback from drop down only.">
      <formula1>"Yetel,Bulsatcom,A1,Yetel&amp;A1,N/A"</formula1>
    </dataValidation>
    <dataValidation type="list" xr:uid="{CE16AC7F-7FDC-4B85-85DB-38597D567A6C}" sqref="E23" showErrorMessage="1" errorTitle="An invalid feedback was entered" error="Please choose feedback from drop down only.">
      <formula1>"Yetel,Bulsatcom,A1,Yetel&amp;A1,N/A"</formula1>
    </dataValidation>
    <dataValidation type="list" xr:uid="{9501B248-FBE4-47D4-B6A0-EC63D5C62165}" sqref="F23" showErrorMessage="1" errorTitle="An invalid feedback was entered" error="Please choose feedback from drop down only.">
      <formula1>"Yetel,Bulsatcom,A1,Yetel&amp;A1,N/A"</formula1>
    </dataValidation>
    <dataValidation type="list" xr:uid="{B4BE4537-6DA5-4BAC-9133-F2F113608570}" sqref="G23" showErrorMessage="1" errorTitle="An invalid feedback was entered" error="Please choose feedback from drop down only.">
      <formula1>"Yetel,Bulsatcom,A1,Yetel&amp;A1,N/A"</formula1>
    </dataValidation>
    <dataValidation type="list" xr:uid="{2F621DC2-4100-492F-954D-F0F58F856579}" sqref="H23" showErrorMessage="1" errorTitle="An invalid feedback was entered" error="Please choose feedback from drop down only.">
      <formula1>"Yetel,Bulsatcom,A1,Yetel&amp;A1,N/A"</formula1>
    </dataValidation>
    <dataValidation type="list" xr:uid="{283F8943-0669-4424-81F4-F960B93E6870}" sqref="I23" showErrorMessage="1" errorTitle="An invalid feedback was entered" error="Please choose feedback from drop down only.">
      <formula1>"Yetel,Bulsatcom,A1,Yetel&amp;A1,N/A"</formula1>
    </dataValidation>
    <dataValidation type="list" xr:uid="{1D44FFCA-4BC3-465B-AE8A-BB7AB31863C9}" sqref="J23" showErrorMessage="1" errorTitle="An invalid feedback was entered" error="Please choose feedback from drop down only.">
      <formula1>"Yetel,Bulsatcom,A1,Yetel&amp;A1,N/A"</formula1>
    </dataValidation>
    <dataValidation type="list" xr:uid="{F38E5164-BB74-466F-8681-2A50F5DEF26B}" sqref="K23" showErrorMessage="1" errorTitle="An invalid feedback was entered" error="Please choose feedback from drop down only.">
      <formula1>"Yetel,Bulsatcom,A1,Yetel&amp;A1,N/A"</formula1>
    </dataValidation>
    <dataValidation type="list" xr:uid="{8A16731A-3FB3-4065-A5F7-989C2DB035F2}" sqref="L23" showErrorMessage="1" errorTitle="An invalid feedback was entered" error="Please choose feedback from drop down only.">
      <formula1>"Yetel,Bulsatcom,A1,Yetel&amp;A1,N/A"</formula1>
    </dataValidation>
    <dataValidation type="list" xr:uid="{A7EC811E-A8A5-4740-9184-21527EB5BBE2}" sqref="M23" showErrorMessage="1" errorTitle="An invalid feedback was entered" error="Please choose feedback from drop down only.">
      <formula1>"Yetel,Bulsatcom,A1,Yetel&amp;A1,N/A"</formula1>
    </dataValidation>
    <dataValidation type="list" xr:uid="{887D8EE5-3929-447E-85AC-BE00AE9A7249}" sqref="N23" showErrorMessage="1" errorTitle="An invalid feedback was entered" error="Please choose feedback from drop down only.">
      <formula1>"Yetel,Bulsatcom,A1,Yetel&amp;A1,N/A"</formula1>
    </dataValidation>
    <dataValidation type="list" xr:uid="{44078C23-A360-4D24-B409-4D5F01A21F8B}" sqref="O23" showErrorMessage="1" errorTitle="An invalid feedback was entered" error="Please choose feedback from drop down only.">
      <formula1>"Yetel,Bulsatcom,A1,Yetel&amp;A1,N/A"</formula1>
    </dataValidation>
    <dataValidation type="list" xr:uid="{7D047850-6803-4312-91B3-B5575D8BA155}" sqref="P23" showErrorMessage="1" errorTitle="An invalid feedback was entered" error="Please choose feedback from drop down only.">
      <formula1>"Yetel,Bulsatcom,A1,Yetel&amp;A1,N/A"</formula1>
    </dataValidation>
    <dataValidation type="list" xr:uid="{2A8CC946-F9D5-4349-AF4C-32BD75A97951}" sqref="Q23" showErrorMessage="1" errorTitle="An invalid feedback was entered" error="Please choose feedback from drop down only.">
      <formula1>"Yetel,Bulsatcom,A1,Yetel&amp;A1,N/A"</formula1>
    </dataValidation>
    <dataValidation type="list" xr:uid="{B0DC78C0-AC2E-4574-89DC-47DFE8399730}" sqref="C31" showErrorMessage="1" errorTitle="An invalid feedback was entered" error="Please choose feedback from drop down only.">
      <formula1>"1/2,5/4,7/8,RRU TOP JUMPER,N/A"</formula1>
    </dataValidation>
    <dataValidation type="list" xr:uid="{44378551-44A8-4697-831D-00C0F5570F00}" sqref="D31" showErrorMessage="1" errorTitle="An invalid feedback was entered" error="Please choose feedback from drop down only.">
      <formula1>"1/2,5/4,7/8,RRU TOP JUMPER,N/A"</formula1>
    </dataValidation>
    <dataValidation type="list" xr:uid="{363AEEA9-8835-49CB-BDCE-2A09104BB84E}" sqref="E31" showErrorMessage="1" errorTitle="An invalid feedback was entered" error="Please choose feedback from drop down only.">
      <formula1>"1/2,5/4,7/8,RRU TOP JUMPER,N/A"</formula1>
    </dataValidation>
    <dataValidation type="list" xr:uid="{ED3C178A-810A-4058-A7BF-55C2DD5FDA16}" sqref="F31" showErrorMessage="1" errorTitle="An invalid feedback was entered" error="Please choose feedback from drop down only.">
      <formula1>"1/2,5/4,7/8,RRU TOP JUMPER,N/A"</formula1>
    </dataValidation>
    <dataValidation type="list" xr:uid="{8D06D85F-995A-4E49-B9E2-9A55BB4A3F7D}" sqref="G31" showErrorMessage="1" errorTitle="An invalid feedback was entered" error="Please choose feedback from drop down only.">
      <formula1>"1/2,5/4,7/8,RRU TOP JUMPER,N/A"</formula1>
    </dataValidation>
    <dataValidation type="list" xr:uid="{153FF3CA-85A3-41B1-B243-221E60E26587}" sqref="H31" showErrorMessage="1" errorTitle="An invalid feedback was entered" error="Please choose feedback from drop down only.">
      <formula1>"1/2,5/4,7/8,RRU TOP JUMPER,N/A"</formula1>
    </dataValidation>
    <dataValidation type="list" xr:uid="{D8C5DA50-BAC7-48C8-AE83-C3A78F53DBC2}" sqref="I31" showErrorMessage="1" errorTitle="An invalid feedback was entered" error="Please choose feedback from drop down only.">
      <formula1>"1/2,5/4,7/8,RRU TOP JUMPER,N/A"</formula1>
    </dataValidation>
    <dataValidation type="list" xr:uid="{A68745A0-B9B5-41F0-B385-0F817CF9D292}" sqref="J31" showErrorMessage="1" errorTitle="An invalid feedback was entered" error="Please choose feedback from drop down only.">
      <formula1>"1/2,5/4,7/8,RRU TOP JUMPER,N/A"</formula1>
    </dataValidation>
    <dataValidation type="list" xr:uid="{9D7E3160-50C2-4362-8ECA-9E8A55A2FDD7}" sqref="K31" showErrorMessage="1" errorTitle="An invalid feedback was entered" error="Please choose feedback from drop down only.">
      <formula1>"1/2,5/4,7/8,RRU TOP JUMPER,N/A"</formula1>
    </dataValidation>
    <dataValidation type="list" xr:uid="{F4A15D3D-42B3-436E-AC3C-8666BB3ADAEB}" sqref="L31" showErrorMessage="1" errorTitle="An invalid feedback was entered" error="Please choose feedback from drop down only.">
      <formula1>"1/2,5/4,7/8,RRU TOP JUMPER,N/A"</formula1>
    </dataValidation>
    <dataValidation type="list" xr:uid="{5D82A907-CC73-49B9-9B70-EEB360510E85}" sqref="M31" showErrorMessage="1" errorTitle="An invalid feedback was entered" error="Please choose feedback from drop down only.">
      <formula1>"1/2,5/4,7/8,RRU TOP JUMPER,N/A"</formula1>
    </dataValidation>
    <dataValidation type="list" xr:uid="{EC161399-B8A2-48BB-9F38-3309B9F161CB}" sqref="N31" showErrorMessage="1" errorTitle="An invalid feedback was entered" error="Please choose feedback from drop down only.">
      <formula1>"1/2,5/4,7/8,RRU TOP JUMPER,N/A"</formula1>
    </dataValidation>
    <dataValidation type="list" xr:uid="{52B906EB-60CD-4228-84E1-99D842560B00}" sqref="O31" showErrorMessage="1" errorTitle="An invalid feedback was entered" error="Please choose feedback from drop down only.">
      <formula1>"1/2,5/4,7/8,RRU TOP JUMPER,N/A"</formula1>
    </dataValidation>
    <dataValidation type="list" xr:uid="{9DDD1194-5A8C-4809-B952-CFF489B2890E}" sqref="P31" showErrorMessage="1" errorTitle="An invalid feedback was entered" error="Please choose feedback from drop down only.">
      <formula1>"1/2,5/4,7/8,RRU TOP JUMPER,N/A"</formula1>
    </dataValidation>
    <dataValidation type="list" xr:uid="{53922FD4-7F8B-4C9E-9549-694EE9149F4E}" sqref="Q31" showErrorMessage="1" errorTitle="An invalid feedback was entered" error="Please choose feedback from drop down only.">
      <formula1>"1/2,5/4,7/8,RRU TOP JUMPER,N/A"</formula1>
    </dataValidation>
    <dataValidation type="list" xr:uid="{B38720A9-2CE2-4F90-A3A4-37C5BF8AD824}" sqref="C4" showErrorMessage="1" errorTitle="An invalid feedback was entered" error="Please choose feedback from drop down only.">
      <formula1>"1,2,3,4,5,6,N/A"</formula1>
    </dataValidation>
    <dataValidation type="list" xr:uid="{1250373A-9E09-4AA0-9C43-7782A215F4E3}" sqref="D4" showErrorMessage="1" errorTitle="An invalid feedback was entered" error="Please choose feedback from drop down only.">
      <formula1>"1,2,3,4,5,6,N/A"</formula1>
    </dataValidation>
    <dataValidation type="list" xr:uid="{5B8941D2-47B1-4B89-B9BC-A9BB6032CFA0}" sqref="E4" showErrorMessage="1" errorTitle="An invalid feedback was entered" error="Please choose feedback from drop down only.">
      <formula1>"1,2,3,4,5,6,N/A"</formula1>
    </dataValidation>
    <dataValidation type="list" xr:uid="{8E8E0425-AEC8-4E14-A59A-C0A6F312FED6}" sqref="F4" showErrorMessage="1" errorTitle="An invalid feedback was entered" error="Please choose feedback from drop down only.">
      <formula1>"1,2,3,4,5,6,N/A"</formula1>
    </dataValidation>
    <dataValidation type="list" xr:uid="{0CA43503-B656-420C-90F8-E227CA8548E6}" sqref="G4" showErrorMessage="1" errorTitle="An invalid feedback was entered" error="Please choose feedback from drop down only.">
      <formula1>"1,2,3,4,5,6,N/A"</formula1>
    </dataValidation>
    <dataValidation type="list" xr:uid="{600D9E45-87D6-4C3B-A60A-2BFB10BA7F8A}" sqref="H4" showErrorMessage="1" errorTitle="An invalid feedback was entered" error="Please choose feedback from drop down only.">
      <formula1>"1,2,3,4,5,6,N/A"</formula1>
    </dataValidation>
    <dataValidation type="list" xr:uid="{1C09F8F0-9CF8-4118-B9FF-14BB53F826A0}" sqref="I4" showErrorMessage="1" errorTitle="An invalid feedback was entered" error="Please choose feedback from drop down only.">
      <formula1>"1,2,3,4,5,6,N/A"</formula1>
    </dataValidation>
    <dataValidation type="list" xr:uid="{A522E37F-1868-4F8F-835F-298DB6C63EFA}" sqref="J4" showErrorMessage="1" errorTitle="An invalid feedback was entered" error="Please choose feedback from drop down only.">
      <formula1>"1,2,3,4,5,6,N/A"</formula1>
    </dataValidation>
    <dataValidation type="list" xr:uid="{848BD052-5606-41CE-BBFD-98CDB5372DDA}" sqref="K4" showErrorMessage="1" errorTitle="An invalid feedback was entered" error="Please choose feedback from drop down only.">
      <formula1>"1,2,3,4,5,6,N/A"</formula1>
    </dataValidation>
    <dataValidation type="list" xr:uid="{35653E2D-CCD0-4DF5-B0A7-19304DA2D22F}" sqref="L4" showErrorMessage="1" errorTitle="An invalid feedback was entered" error="Please choose feedback from drop down only.">
      <formula1>"1,2,3,4,5,6,N/A"</formula1>
    </dataValidation>
    <dataValidation type="list" xr:uid="{C9A07E27-7442-4D0E-8DDE-25BD29B63803}" sqref="M4" showErrorMessage="1" errorTitle="An invalid feedback was entered" error="Please choose feedback from drop down only.">
      <formula1>"1,2,3,4,5,6,N/A"</formula1>
    </dataValidation>
    <dataValidation type="list" xr:uid="{1DF2ADD4-C8C6-41EC-BF27-287988FD3EFD}" sqref="N4" showErrorMessage="1" errorTitle="An invalid feedback was entered" error="Please choose feedback from drop down only.">
      <formula1>"1,2,3,4,5,6,N/A"</formula1>
    </dataValidation>
    <dataValidation type="list" xr:uid="{E6363DE5-DA58-4713-8ADD-B49D666D98BE}" sqref="O4" showErrorMessage="1" errorTitle="An invalid feedback was entered" error="Please choose feedback from drop down only.">
      <formula1>"1,2,3,4,5,6,N/A"</formula1>
    </dataValidation>
    <dataValidation type="list" xr:uid="{0858805A-F532-4808-BEF4-3DE8924CD87A}" sqref="P4" showErrorMessage="1" errorTitle="An invalid feedback was entered" error="Please choose feedback from drop down only.">
      <formula1>"1,2,3,4,5,6,N/A"</formula1>
    </dataValidation>
    <dataValidation type="list" xr:uid="{46CB7931-A66A-4FC9-ACD6-8981B60BCB0B}" sqref="Q4" showErrorMessage="1" errorTitle="An invalid feedback was entered" error="Please choose feedback from drop down only.">
      <formula1>"1,2,3,4,5,6,N/A"</formula1>
    </dataValidation>
    <dataValidation type="list" xr:uid="{C0C866CF-116E-4020-9685-2688564AE9D0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A675DDE-5137-420F-B309-6379730C5D9A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07A6F8A-9455-412C-95E7-4928070DEAA1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5C44A87-14D1-4656-9AF0-9ABCE0A3E882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03C3AE1-1E2E-4062-B7D9-4ED7BBB7910A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EE2F7C4-7122-4593-A014-6A0ACC55CEB0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2E630EE-1E7F-40D8-B995-44E3DB9A8087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078246B-C592-4DC4-94F2-A648AAD07FB2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87DA5F7-F8AB-451F-9425-7C4E4A2E99E9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E3197EB-3D13-4C73-9573-8F8C974F3D74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76C805F-036A-4AAE-BC8F-59E5387FD883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452954F-A8F8-4CB6-9E92-7AFA4130E1E8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578B87F-4B2B-4338-921E-BE282E67E35F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12420B9-593C-4978-9AA4-31D93AA41907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EB385DD-8A2B-4362-9AD2-F49FBF04D6A0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F03E21B-D159-400F-9484-A902B7CA0519}" sqref="C28" showErrorMessage="1" errorTitle="An invalid feedback was entered" error="Please choose feedback from drop down only.">
      <formula1>"Yes,No,FlexRET"</formula1>
    </dataValidation>
    <dataValidation type="list" xr:uid="{BCC4A6C0-8FEB-4BE1-8D8E-7EDE8E435C80}" sqref="D28" showErrorMessage="1" errorTitle="An invalid feedback was entered" error="Please choose feedback from drop down only.">
      <formula1>"Yes,No,FlexRET"</formula1>
    </dataValidation>
    <dataValidation type="list" xr:uid="{FFEEECF8-30B5-46D9-9C14-2B657953BCDC}" sqref="E28" showErrorMessage="1" errorTitle="An invalid feedback was entered" error="Please choose feedback from drop down only.">
      <formula1>"Yes,No,FlexRET"</formula1>
    </dataValidation>
    <dataValidation type="list" xr:uid="{A25C11FF-668C-418A-B69F-0168D943BD3D}" sqref="F28" showErrorMessage="1" errorTitle="An invalid feedback was entered" error="Please choose feedback from drop down only.">
      <formula1>"Yes,No,FlexRET"</formula1>
    </dataValidation>
    <dataValidation type="list" xr:uid="{6794055B-A3CA-4FAC-B931-9CC4EE75A3BE}" sqref="G28" showErrorMessage="1" errorTitle="An invalid feedback was entered" error="Please choose feedback from drop down only.">
      <formula1>"Yes,No,FlexRET"</formula1>
    </dataValidation>
    <dataValidation type="list" xr:uid="{D1FF4228-1C4A-45CA-90F4-E9297CDE49DB}" sqref="H28" showErrorMessage="1" errorTitle="An invalid feedback was entered" error="Please choose feedback from drop down only.">
      <formula1>"Yes,No,FlexRET"</formula1>
    </dataValidation>
    <dataValidation type="list" xr:uid="{F9690084-0002-495C-B599-3420648368DC}" sqref="I28" showErrorMessage="1" errorTitle="An invalid feedback was entered" error="Please choose feedback from drop down only.">
      <formula1>"Yes,No,FlexRET"</formula1>
    </dataValidation>
    <dataValidation type="list" xr:uid="{0DEA8F0F-000F-40DB-9E26-DD09B2C7B085}" sqref="J28" showErrorMessage="1" errorTitle="An invalid feedback was entered" error="Please choose feedback from drop down only.">
      <formula1>"Yes,No,FlexRET"</formula1>
    </dataValidation>
    <dataValidation type="list" xr:uid="{64D90E3A-F6CF-4ABD-B5BA-DB7319E1695C}" sqref="K28" showErrorMessage="1" errorTitle="An invalid feedback was entered" error="Please choose feedback from drop down only.">
      <formula1>"Yes,No,FlexRET"</formula1>
    </dataValidation>
    <dataValidation type="list" xr:uid="{58AB6E3E-295C-48DA-B95B-FDF4F9A69D89}" sqref="L28" showErrorMessage="1" errorTitle="An invalid feedback was entered" error="Please choose feedback from drop down only.">
      <formula1>"Yes,No,FlexRET"</formula1>
    </dataValidation>
    <dataValidation type="list" xr:uid="{D5BDA9C8-6B2C-468F-8992-E273451B53C2}" sqref="M28" showErrorMessage="1" errorTitle="An invalid feedback was entered" error="Please choose feedback from drop down only.">
      <formula1>"Yes,No,FlexRET"</formula1>
    </dataValidation>
    <dataValidation type="list" xr:uid="{94EA23E3-2B7D-40A7-AFF6-BC1B61DA2E89}" sqref="N28" showErrorMessage="1" errorTitle="An invalid feedback was entered" error="Please choose feedback from drop down only.">
      <formula1>"Yes,No,FlexRET"</formula1>
    </dataValidation>
    <dataValidation type="list" xr:uid="{8DF30A5F-022B-46DB-AADE-DD2C60B3C691}" sqref="O28" showErrorMessage="1" errorTitle="An invalid feedback was entered" error="Please choose feedback from drop down only.">
      <formula1>"Yes,No,FlexRET"</formula1>
    </dataValidation>
    <dataValidation type="list" xr:uid="{CF28394F-5B2C-4D56-BDE6-7317BEE72FAB}" sqref="P28" showErrorMessage="1" errorTitle="An invalid feedback was entered" error="Please choose feedback from drop down only.">
      <formula1>"Yes,No,FlexRET"</formula1>
    </dataValidation>
    <dataValidation type="list" xr:uid="{585A76E8-96A2-42E6-90DB-41F13AC7E905}" sqref="Q28" showErrorMessage="1" errorTitle="An invalid feedback was entered" error="Please choose feedback from drop down only.">
      <formula1>"Yes,No,FlexRET"</formula1>
    </dataValidation>
    <dataValidation type="list" xr:uid="{A5D0C5AD-1E12-4EEA-841B-2F2BDD328519}" sqref="C29" showErrorMessage="1" errorTitle="An invalid feedback was entered" error="Please choose feedback from drop down only.">
      <formula1>"Yes,No,FlexRET"</formula1>
    </dataValidation>
    <dataValidation type="list" xr:uid="{2C6C1C71-16E7-452A-B738-5742EDB48CD5}" sqref="D29" showErrorMessage="1" errorTitle="An invalid feedback was entered" error="Please choose feedback from drop down only.">
      <formula1>"Yes,No,FlexRET"</formula1>
    </dataValidation>
    <dataValidation type="list" xr:uid="{861445E5-5881-4E74-BD7E-9415DD26CF6F}" sqref="E29" showErrorMessage="1" errorTitle="An invalid feedback was entered" error="Please choose feedback from drop down only.">
      <formula1>"Yes,No,FlexRET"</formula1>
    </dataValidation>
    <dataValidation type="list" xr:uid="{F18DC805-B1F8-4F90-80A6-4BE64ABFABD8}" sqref="F29" showErrorMessage="1" errorTitle="An invalid feedback was entered" error="Please choose feedback from drop down only.">
      <formula1>"Yes,No,FlexRET"</formula1>
    </dataValidation>
    <dataValidation type="list" xr:uid="{E63A02A2-AD72-4730-BBBD-94956F8DFAB5}" sqref="G29" showErrorMessage="1" errorTitle="An invalid feedback was entered" error="Please choose feedback from drop down only.">
      <formula1>"Yes,No,FlexRET"</formula1>
    </dataValidation>
    <dataValidation type="list" xr:uid="{FB40AB06-A3B7-44E8-97A0-FF1A7A4D5DE6}" sqref="H29" showErrorMessage="1" errorTitle="An invalid feedback was entered" error="Please choose feedback from drop down only.">
      <formula1>"Yes,No,FlexRET"</formula1>
    </dataValidation>
    <dataValidation type="list" xr:uid="{43627A4F-FFA5-4EA7-882E-62AADD0B39C4}" sqref="I29" showErrorMessage="1" errorTitle="An invalid feedback was entered" error="Please choose feedback from drop down only.">
      <formula1>"Yes,No,FlexRET"</formula1>
    </dataValidation>
    <dataValidation type="list" xr:uid="{30B36A8C-8534-49E0-ACC1-762E2083BCD6}" sqref="J29" showErrorMessage="1" errorTitle="An invalid feedback was entered" error="Please choose feedback from drop down only.">
      <formula1>"Yes,No,FlexRET"</formula1>
    </dataValidation>
    <dataValidation type="list" xr:uid="{AE6B8B1B-ED42-41FC-9770-796FA2ED13BA}" sqref="K29" showErrorMessage="1" errorTitle="An invalid feedback was entered" error="Please choose feedback from drop down only.">
      <formula1>"Yes,No,FlexRET"</formula1>
    </dataValidation>
    <dataValidation type="list" xr:uid="{2961F904-54C7-4B32-AC1C-01CD4950A12A}" sqref="L29" showErrorMessage="1" errorTitle="An invalid feedback was entered" error="Please choose feedback from drop down only.">
      <formula1>"Yes,No,FlexRET"</formula1>
    </dataValidation>
    <dataValidation type="list" xr:uid="{E28DAEC6-9600-4911-AE85-8CD5CCCBD6A4}" sqref="M29" showErrorMessage="1" errorTitle="An invalid feedback was entered" error="Please choose feedback from drop down only.">
      <formula1>"Yes,No,FlexRET"</formula1>
    </dataValidation>
    <dataValidation type="list" xr:uid="{D1EFAE1C-12B7-4AB8-83F7-10651A8552F8}" sqref="N29" showErrorMessage="1" errorTitle="An invalid feedback was entered" error="Please choose feedback from drop down only.">
      <formula1>"Yes,No,FlexRET"</formula1>
    </dataValidation>
    <dataValidation type="list" xr:uid="{E44E2C34-B2C8-4CAE-8357-B401585F7D37}" sqref="O29" showErrorMessage="1" errorTitle="An invalid feedback was entered" error="Please choose feedback from drop down only.">
      <formula1>"Yes,No,FlexRET"</formula1>
    </dataValidation>
    <dataValidation type="list" xr:uid="{78BA4A46-7E62-4FE1-824B-2213922A9EA3}" sqref="P29" showErrorMessage="1" errorTitle="An invalid feedback was entered" error="Please choose feedback from drop down only.">
      <formula1>"Yes,No,FlexRET"</formula1>
    </dataValidation>
    <dataValidation type="list" xr:uid="{243FE90D-2803-4FB6-97D2-67D6D69C0B8E}" sqref="Q29" showErrorMessage="1" errorTitle="An invalid feedback was entered" error="Please choose feedback from drop down only.">
      <formula1>"Yes,No,FlexRET"</formula1>
    </dataValidation>
    <dataValidation type="list" xr:uid="{41401527-7A8B-4496-B20E-3F6B682EC055}" sqref="C25" showErrorMessage="1" errorTitle="An invalid feedback was entered" error="Please choose feedback from drop down only.">
      <formula1>"G,U,L,NR,GU,UL,GL,GUL,LNR,ULNR,None"</formula1>
    </dataValidation>
    <dataValidation type="list" xr:uid="{24AE5FDD-9044-426C-8C46-63541139DBB7}" sqref="D25" showErrorMessage="1" errorTitle="An invalid feedback was entered" error="Please choose feedback from drop down only.">
      <formula1>"G,U,L,NR,GU,UL,GL,GUL,LNR,ULNR,None"</formula1>
    </dataValidation>
    <dataValidation type="list" xr:uid="{75019413-845E-44A0-B4A5-4CFC73AE1F0F}" sqref="E25" showErrorMessage="1" errorTitle="An invalid feedback was entered" error="Please choose feedback from drop down only.">
      <formula1>"G,U,L,NR,GU,UL,GL,GUL,LNR,ULNR,None"</formula1>
    </dataValidation>
    <dataValidation type="list" xr:uid="{59D7D591-F429-437B-B136-88FFCC61FCD6}" sqref="F25" showErrorMessage="1" errorTitle="An invalid feedback was entered" error="Please choose feedback from drop down only.">
      <formula1>"G,U,L,NR,GU,UL,GL,GUL,LNR,ULNR,None"</formula1>
    </dataValidation>
    <dataValidation type="list" xr:uid="{B034CA1E-E959-4667-9CA8-34D8C715E452}" sqref="G25" showErrorMessage="1" errorTitle="An invalid feedback was entered" error="Please choose feedback from drop down only.">
      <formula1>"G,U,L,NR,GU,UL,GL,GUL,LNR,ULNR,None"</formula1>
    </dataValidation>
    <dataValidation type="list" xr:uid="{5E3E102D-5781-4DF7-9A28-516066D8CD08}" sqref="H25" showErrorMessage="1" errorTitle="An invalid feedback was entered" error="Please choose feedback from drop down only.">
      <formula1>"G,U,L,NR,GU,UL,GL,GUL,LNR,ULNR,None"</formula1>
    </dataValidation>
    <dataValidation type="list" xr:uid="{2C093721-4651-4FA9-B83C-D59A1DC7D9E0}" sqref="I25" showErrorMessage="1" errorTitle="An invalid feedback was entered" error="Please choose feedback from drop down only.">
      <formula1>"G,U,L,NR,GU,UL,GL,GUL,LNR,ULNR,None"</formula1>
    </dataValidation>
    <dataValidation type="list" xr:uid="{549EF022-CFF4-4AE1-B12D-D15DDA96EF60}" sqref="J25" showErrorMessage="1" errorTitle="An invalid feedback was entered" error="Please choose feedback from drop down only.">
      <formula1>"G,U,L,NR,GU,UL,GL,GUL,LNR,ULNR,None"</formula1>
    </dataValidation>
    <dataValidation type="list" xr:uid="{5A0A295B-BDE9-4D47-B4E7-6198D051F020}" sqref="K25" showErrorMessage="1" errorTitle="An invalid feedback was entered" error="Please choose feedback from drop down only.">
      <formula1>"G,U,L,NR,GU,UL,GL,GUL,LNR,ULNR,None"</formula1>
    </dataValidation>
    <dataValidation type="list" xr:uid="{22F0478D-341D-485F-9318-5EEB9137079C}" sqref="L25" showErrorMessage="1" errorTitle="An invalid feedback was entered" error="Please choose feedback from drop down only.">
      <formula1>"G,U,L,NR,GU,UL,GL,GUL,LNR,ULNR,None"</formula1>
    </dataValidation>
    <dataValidation type="list" xr:uid="{86116ED8-D5E7-46FE-9B36-9D17A7CD17D0}" sqref="M25" showErrorMessage="1" errorTitle="An invalid feedback was entered" error="Please choose feedback from drop down only.">
      <formula1>"G,U,L,NR,GU,UL,GL,GUL,LNR,ULNR,None"</formula1>
    </dataValidation>
    <dataValidation type="list" xr:uid="{EB403EE2-0360-4652-B3C3-FDE6593A85A9}" sqref="N25" showErrorMessage="1" errorTitle="An invalid feedback was entered" error="Please choose feedback from drop down only.">
      <formula1>"G,U,L,NR,GU,UL,GL,GUL,LNR,ULNR,None"</formula1>
    </dataValidation>
    <dataValidation type="list" xr:uid="{81F86C3A-2418-4332-AEF3-414D4FE49644}" sqref="O25" showErrorMessage="1" errorTitle="An invalid feedback was entered" error="Please choose feedback from drop down only.">
      <formula1>"G,U,L,NR,GU,UL,GL,GUL,LNR,ULNR,None"</formula1>
    </dataValidation>
    <dataValidation type="list" xr:uid="{F006C775-414D-430B-9849-95B05B3C4C98}" sqref="P25" showErrorMessage="1" errorTitle="An invalid feedback was entered" error="Please choose feedback from drop down only.">
      <formula1>"G,U,L,NR,GU,UL,GL,GUL,LNR,ULNR,None"</formula1>
    </dataValidation>
    <dataValidation type="list" xr:uid="{81136A37-998A-4924-9C6D-BC8EE47A7E6D}" sqref="Q25" showErrorMessage="1" errorTitle="An invalid feedback was entered" error="Please choose feedback from drop down only.">
      <formula1>"G,U,L,NR,GU,UL,GL,GUL,LNR,ULNR,None"</formula1>
    </dataValidation>
    <dataValidation type="list" xr:uid="{9AA7CBD4-C134-441F-9537-52FEC089B580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22C7336-031D-42DB-800E-9B6B00AD9C2A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38F3243-E751-4691-945D-92472F8388FE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0977AC3-13F5-469D-9569-ECD4D7B0CEB6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75B00CF-AABB-4EB1-9F81-8C926EC6C36B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D0241A9-9C29-40EA-8D28-B0995565C3B6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50B4E26-F025-4048-BA25-4CA961D7A9B5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194C512-5E66-4986-AB8E-31F37E2F3290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029F393-9FBB-4990-888E-020BF4BF33D8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B00AA5B-EDF1-4552-85F9-F965E180FA49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24BD374-D92D-4B24-AE4C-15EAD58556B7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15B9720-2B33-48DF-B34F-19CDF0C7CC34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CC5F30B-A50E-4DA1-B6A8-D0CED7257A20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27FFA51-8D15-4A91-83B7-6E104F670CC7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F3BE191-D9D7-43C7-97F4-CC2C454B5EEC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7" right="0.7" top="0.75" bottom="0.75" header="0.3" footer="0.3"/>
  <pageSetup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24441E6D-7D1B-48D3-9F1D-32816B984D4F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FAA190D5-961D-4C42-AA30-F2D462A3B8D9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1954C810-1F89-45A7-924D-975B7967743A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69C7A615-56A5-4F13-A8F9-1EAB87221B7A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205227D9-8BF6-4EE3-BDA9-C50353B69772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F2DB34D6-BA12-4F3E-A61A-99C397CC8BCF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0E77EE45-DB01-417E-A5DC-42EF055AD9E3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FCA7B286-DB1D-4320-A922-144BD70ABCE7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AA19BA20-540C-4536-9FD4-299FFBD05632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5B380243-56BA-41F2-9ED2-CAF8B261BEF3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EB63D4B8-B404-49CA-94E8-B80E6BDF9CFF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61A49BA9-07EB-4A22-88B1-674212FDB85B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25CC7CBD-1D96-4ED8-A4EE-4F0F1B1BE085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F175DC3B-419E-4E93-A489-83474690BA17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A71DFFD8-136C-4C54-88BC-EF48A1EB7A9C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65307B82-9A86-4081-A76B-D6B8BF7251FC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55626B4B-076B-4348-8FC9-F7B511615050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EED2DC49-8645-4577-B76B-3599118A5300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7AC03485-608B-4BC8-ADEE-C9AB7B5EFEC8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D8693CDE-3D14-444A-9E7A-A3AE34C451EA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6C4F7CA5-208B-4008-9E43-0B39CD1A0F48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F706D5D3-DC57-4B92-B13A-FADA4B7480AF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56EA6ACA-EC94-40B9-8D36-D7F6D094649C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48C8CF13-C596-4414-9FAE-FD012FDA83B3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6834D4B5-741D-4809-8891-783D4A703A61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C83F199D-7819-476F-B552-B579C248E42B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37BABFD8-D622-4366-BEA7-05821433F00C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3233744F-04C9-4040-BFC2-E311125D0002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82A906E1-61FF-4A43-8983-0323BC08C98D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906D8585-D1A0-4D83-BF12-AA369727CEAD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9B85A07E-9D92-453E-B438-628DC9E1A02C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E824E79E-4917-4EE7-B413-D221A69FA2F1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2F3DBDC6-8AC7-4696-B3F9-209EF2AEE25A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3F4D5A4B-FEB2-4BE6-87D5-8D748C51A7B0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166FF51E-821B-4F2C-91B3-886475ED01EE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DD2E296D-297A-4309-B975-81EE421DA001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ABC609F9-D5BF-437B-85AF-F1D2679B70E6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0AE0285E-4048-48B1-909E-1687A07FC87A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BFBB4FED-34B8-4DF8-B292-FDCF87B02391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80103330-FC0D-4BA4-80D9-921AA24BA7C6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F85075CE-5E42-4E26-80D8-DF690321CBBA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25F98408-00E4-48CD-9325-978BD018D511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718A8AAB-BE09-438F-B77A-0C5551738298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89E0B738-B877-42A9-BB85-229A616B8F75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E2ACA94E-8999-486E-AF89-11B8E7CDB62C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D3C5FD6E-787D-45E3-8289-C57E542DEB4D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61D2227E-2FAA-417D-A017-8987C5A3AE8E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C98C5A89-CFCC-49F1-931B-2D730C23E1D6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4B421082-B2EC-4573-8A44-DE61C524D6F8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8D7AAFF7-400E-4B45-B099-8F8981743DB7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4C7FF4FB-8006-432C-ACD5-0301B276A42B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78CBF69B-F1D1-4C67-A83E-94505BA30A53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ECB05178-4A16-4357-A58B-74D0BA087E83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E078D860-A7FD-462A-9E82-E9135004EDF8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BBD64337-608D-4A5A-8610-B8EDBFFE4403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D2E5E846-2F0F-4A4E-A431-5489D02530C8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1E502614-E2FB-4A0C-9B67-752A1285B9EA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82B6ABD3-793F-4BEB-8EC3-3D09931DA5DA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376B7DD8-2141-4DC9-AA7F-8C0707EA0581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F7F9109A-46FD-4F38-B6A3-17649651A56D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7"/>
  <dimension ref="A1:U45"/>
  <sheetViews>
    <sheetView zoomScale="90" zoomScaleNormal="90" workbookViewId="0">
      <selection activeCell="C8" sqref="C8:H8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/>
      <c r="B1" s="198"/>
      <c r="C1" s="258" t="s">
        <v>110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8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65">
      <c r="A3" s="241"/>
      <c r="B3" s="12" t="s">
        <v>2</v>
      </c>
      <c r="C3" s="226"/>
      <c r="D3" s="227"/>
      <c r="E3" s="227"/>
      <c r="F3" s="227"/>
      <c r="G3" s="227"/>
      <c r="H3" s="227"/>
      <c r="I3" s="227"/>
      <c r="J3" s="227"/>
      <c r="K3" s="227"/>
      <c r="L3" s="227"/>
      <c r="M3" s="227"/>
      <c r="N3" s="227"/>
      <c r="O3" s="227"/>
      <c r="P3" s="228"/>
    </row>
    <row r="4" ht="25.15" s="22" customFormat="1">
      <c r="A4" s="241"/>
      <c r="B4" s="9" t="s">
        <v>3</v>
      </c>
      <c r="C4" s="267"/>
      <c r="D4" s="268"/>
      <c r="E4" s="268"/>
      <c r="F4" s="268"/>
      <c r="G4" s="268"/>
      <c r="H4" s="268"/>
      <c r="I4" s="268"/>
      <c r="J4" s="268"/>
      <c r="K4" s="268"/>
      <c r="L4" s="268"/>
      <c r="M4" s="268"/>
      <c r="N4" s="268"/>
      <c r="O4" s="268"/>
      <c r="P4" s="269"/>
    </row>
    <row r="5" ht="24.75">
      <c r="A5" s="241"/>
      <c r="B5" s="13" t="s">
        <v>4</v>
      </c>
      <c r="C5" s="245"/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0"/>
    </row>
    <row r="8" ht="17.65" s="22" customFormat="1">
      <c r="A8" s="241"/>
      <c r="B8" s="9" t="s">
        <v>8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74"/>
    </row>
    <row r="9" ht="17.25">
      <c r="A9" s="241"/>
      <c r="B9" s="8" t="s">
        <v>9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73"/>
    </row>
    <row r="10" ht="17.65" s="22" customFormat="1">
      <c r="A10" s="241"/>
      <c r="B10" s="10" t="s">
        <v>11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74"/>
    </row>
    <row r="11" ht="17.25">
      <c r="A11" s="241"/>
      <c r="B11" s="8" t="s">
        <v>12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73"/>
    </row>
    <row r="12" ht="17.65" s="22" customFormat="1">
      <c r="A12" s="241"/>
      <c r="B12" s="10" t="s">
        <v>13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74"/>
    </row>
    <row r="13" ht="17.25">
      <c r="A13" s="241"/>
      <c r="B13" s="8" t="s">
        <v>14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73"/>
    </row>
    <row r="14" ht="17.65" s="22" customFormat="1">
      <c r="A14" s="241"/>
      <c r="B14" s="10" t="s">
        <v>15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81"/>
    </row>
    <row r="15" ht="17.25">
      <c r="A15" s="241"/>
      <c r="B15" s="8" t="s">
        <v>16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80"/>
    </row>
    <row r="16" ht="17.25" s="22" customFormat="1">
      <c r="A16" s="241"/>
      <c r="B16" s="68" t="s">
        <v>17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18</v>
      </c>
      <c r="C17" s="63" t="s">
        <v>19</v>
      </c>
      <c r="D17" s="64" t="s">
        <v>20</v>
      </c>
      <c r="E17" s="64" t="s">
        <v>21</v>
      </c>
      <c r="F17" s="64" t="s">
        <v>22</v>
      </c>
      <c r="G17" s="64" t="s">
        <v>23</v>
      </c>
      <c r="H17" s="65" t="s">
        <v>24</v>
      </c>
      <c r="I17" s="63" t="s">
        <v>19</v>
      </c>
      <c r="J17" s="64" t="s">
        <v>20</v>
      </c>
      <c r="K17" s="64" t="s">
        <v>21</v>
      </c>
      <c r="L17" s="65" t="s">
        <v>22</v>
      </c>
      <c r="M17" s="63" t="s">
        <v>19</v>
      </c>
      <c r="N17" s="64" t="s">
        <v>20</v>
      </c>
      <c r="O17" s="65" t="s">
        <v>21</v>
      </c>
      <c r="P17" s="76" t="s">
        <v>19</v>
      </c>
    </row>
    <row r="18" ht="17.25">
      <c r="A18" s="256"/>
      <c r="B18" s="70" t="s">
        <v>25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30</v>
      </c>
      <c r="C19" s="105">
        <f>VLOOKUP(C8,AntennasPortName!A:H,2,FALSE)</f>
      </c>
      <c r="D19" s="105">
        <f>VLOOKUP(C8,AntennasPortName!A:H,3,FALSE)</f>
      </c>
      <c r="E19" s="105">
        <f>VLOOKUP(C8,AntennasPortName!A:H,4,FALSE)</f>
      </c>
      <c r="F19" s="105">
        <f>VLOOKUP(C8,AntennasPortName!A:H,5,FALSE)</f>
      </c>
      <c r="G19" s="105">
        <f>VLOOKUP(C8,AntennasPortName!A:H,6,FALSE)</f>
      </c>
      <c r="H19" s="105">
        <f>VLOOKUP(C8,AntennasPortName!A:H,7,FALSE)</f>
      </c>
      <c r="I19" s="105">
        <f>VLOOKUP(I8,AntennasPortName!A:H,2,FALSE)</f>
      </c>
      <c r="J19" s="105">
        <f>VLOOKUP(I8,AntennasPortName!A:H,3,FALSE)</f>
      </c>
      <c r="K19" s="105">
        <f>VLOOKUP(I8,AntennasPortName!A:H,4,FALSE)</f>
      </c>
      <c r="L19" s="105">
        <f>VLOOKUP(I8,AntennasPortName!A:H,5,FALSE)</f>
      </c>
      <c r="M19" s="105">
        <f>VLOOKUP(M8,AntennasPortName!A:H,2,FALSE)</f>
      </c>
      <c r="N19" s="105">
        <f>VLOOKUP(M8,AntennasPortName!A:H,3,FALSE)</f>
      </c>
      <c r="O19" s="105">
        <f>VLOOKUP(M8,AntennasPortName!A:H,4,FALSE)</f>
      </c>
      <c r="P19" s="99">
        <f>VLOOKUP(P8,AntennasPortName!A:H,2,FALSE)</f>
      </c>
    </row>
    <row r="20" ht="17.25">
      <c r="A20" s="241"/>
      <c r="B20" s="69" t="s">
        <v>31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34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35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36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37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41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42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43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44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45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46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48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49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50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51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55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56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58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59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61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62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63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64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M14:O14"/>
    <mergeCell ref="M10:O10"/>
    <mergeCell ref="C11:H11"/>
    <mergeCell ref="I11:L11"/>
    <mergeCell ref="M11:O11"/>
    <mergeCell ref="C12:H12"/>
    <mergeCell ref="I12:L12"/>
    <mergeCell ref="M12:O12"/>
    <mergeCell ref="C10:H10"/>
    <mergeCell ref="I10:L10"/>
    <mergeCell ref="A34:A35"/>
    <mergeCell ref="A36:A41"/>
    <mergeCell ref="A42:A45"/>
    <mergeCell ref="C15:H15"/>
    <mergeCell ref="I15:L15"/>
    <mergeCell ref="B42:P45"/>
    <mergeCell ref="M15:O15"/>
    <mergeCell ref="C16:H16"/>
    <mergeCell ref="I16:L16"/>
    <mergeCell ref="M16:O16"/>
    <mergeCell ref="A3:A33"/>
    <mergeCell ref="C13:H13"/>
    <mergeCell ref="I13:L13"/>
    <mergeCell ref="M13:O13"/>
    <mergeCell ref="C14:H14"/>
    <mergeCell ref="I14:L14"/>
    <mergeCell ref="A1:B1"/>
    <mergeCell ref="C2:H2"/>
    <mergeCell ref="I2:L2"/>
    <mergeCell ref="M2:O2"/>
    <mergeCell ref="C1:P1"/>
    <mergeCell ref="C3:P3"/>
    <mergeCell ref="C4:P4"/>
    <mergeCell ref="C5:P5"/>
    <mergeCell ref="C6:P6"/>
    <mergeCell ref="C7:H7"/>
    <mergeCell ref="I7:L7"/>
    <mergeCell ref="M7:O7"/>
    <mergeCell ref="C8:H8"/>
    <mergeCell ref="I8:L8"/>
    <mergeCell ref="M8:O8"/>
    <mergeCell ref="C9:H9"/>
    <mergeCell ref="I9:L9"/>
    <mergeCell ref="M9:O9"/>
  </mergeCells>
  <conditionalFormatting sqref="C22:E22 C4 H22:O22">
    <cfRule type="cellIs" dxfId="0" priority="49" operator="greaterThan">
      <formula>0</formula>
    </cfRule>
  </conditionalFormatting>
  <conditionalFormatting sqref="C21:E21 H21:O21">
    <cfRule type="expression" dxfId="1" priority="48">
      <formula>ISERROR(C21)</formula>
    </cfRule>
  </conditionalFormatting>
  <conditionalFormatting sqref="C21:E21 H21:O21">
    <cfRule type="cellIs" dxfId="1" priority="47" operator="equal">
      <formula>0</formula>
    </cfRule>
  </conditionalFormatting>
  <conditionalFormatting sqref="C21:E21 H21:O21">
    <cfRule type="cellIs" dxfId="3" priority="46" operator="greaterThan">
      <formula>0</formula>
    </cfRule>
  </conditionalFormatting>
  <conditionalFormatting sqref="C27:O27 D29:O29 D33:O33">
    <cfRule type="cellIs" dxfId="0" priority="45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41">
      <formula>ISBLANK(C8)</formula>
    </cfRule>
  </conditionalFormatting>
  <conditionalFormatting sqref="C29">
    <cfRule type="cellIs" dxfId="0" priority="43" operator="notEqual">
      <formula>VALUE(C28)</formula>
    </cfRule>
  </conditionalFormatting>
  <conditionalFormatting sqref="C29">
    <cfRule type="expression" dxfId="10" priority="42">
      <formula>ISBLANK(C29)</formula>
    </cfRule>
  </conditionalFormatting>
  <conditionalFormatting sqref="C8:O8 C10:O10 C12:O12 C14:O14 C16:O16 C31:O31 D35:O35 D37:O37 D25:O25 D39:O39 D41:O41">
    <cfRule type="cellIs" dxfId="0" priority="44" operator="notEqual">
      <formula>C7</formula>
    </cfRule>
  </conditionalFormatting>
  <conditionalFormatting sqref="C31">
    <cfRule type="expression" dxfId="10" priority="40">
      <formula>ISBLANK(C31)</formula>
    </cfRule>
  </conditionalFormatting>
  <conditionalFormatting sqref="C33">
    <cfRule type="cellIs" dxfId="0" priority="39" operator="notEqual">
      <formula>VALUE(C32)</formula>
    </cfRule>
  </conditionalFormatting>
  <conditionalFormatting sqref="C33">
    <cfRule type="expression" dxfId="10" priority="38">
      <formula>ISBLANK(C33)</formula>
    </cfRule>
  </conditionalFormatting>
  <conditionalFormatting sqref="C35">
    <cfRule type="cellIs" dxfId="0" priority="37" operator="notEqual">
      <formula>C34</formula>
    </cfRule>
  </conditionalFormatting>
  <conditionalFormatting sqref="C35">
    <cfRule type="expression" dxfId="10" priority="36">
      <formula>ISBLANK(C35)</formula>
    </cfRule>
  </conditionalFormatting>
  <conditionalFormatting sqref="C37">
    <cfRule type="cellIs" dxfId="0" priority="35" operator="notEqual">
      <formula>C36</formula>
    </cfRule>
  </conditionalFormatting>
  <conditionalFormatting sqref="C37">
    <cfRule type="expression" dxfId="10" priority="34">
      <formula>ISBLANK(C37)</formula>
    </cfRule>
  </conditionalFormatting>
  <conditionalFormatting sqref="C6">
    <cfRule type="expression" dxfId="10" priority="32">
      <formula>ISBLANK(C6)</formula>
    </cfRule>
    <cfRule type="cellIs" dxfId="0" priority="33" operator="notEqual">
      <formula>C5</formula>
    </cfRule>
  </conditionalFormatting>
  <conditionalFormatting sqref="C25">
    <cfRule type="cellIs" dxfId="0" priority="31" operator="notEqual">
      <formula>C24</formula>
    </cfRule>
  </conditionalFormatting>
  <conditionalFormatting sqref="C25">
    <cfRule type="expression" dxfId="10" priority="30">
      <formula>ISBLANK(C25)</formula>
    </cfRule>
  </conditionalFormatting>
  <conditionalFormatting sqref="C39">
    <cfRule type="cellIs" dxfId="0" priority="29" operator="notEqual">
      <formula>C38</formula>
    </cfRule>
  </conditionalFormatting>
  <conditionalFormatting sqref="C39">
    <cfRule type="expression" dxfId="10" priority="28">
      <formula>ISBLANK(C39)</formula>
    </cfRule>
  </conditionalFormatting>
  <conditionalFormatting sqref="C41">
    <cfRule type="cellIs" dxfId="0" priority="27" operator="notEqual">
      <formula>C40</formula>
    </cfRule>
  </conditionalFormatting>
  <conditionalFormatting sqref="C41">
    <cfRule type="expression" dxfId="10" priority="26">
      <formula>ISBLANK(C41)</formula>
    </cfRule>
  </conditionalFormatting>
  <conditionalFormatting sqref="C24:O41">
    <cfRule type="expression" dxfId="1" priority="25" stopIfTrue="1">
      <formula>OR(C$22="Free",C$22="Telenor",C$22="Mtel",C$22="Telenor&amp;Mtel")</formula>
    </cfRule>
  </conditionalFormatting>
  <conditionalFormatting sqref="F22:G22">
    <cfRule type="cellIs" dxfId="0" priority="24" operator="greaterThan">
      <formula>0</formula>
    </cfRule>
  </conditionalFormatting>
  <conditionalFormatting sqref="F21:G21">
    <cfRule type="expression" dxfId="1" priority="23">
      <formula>ISERROR(F21)</formula>
    </cfRule>
  </conditionalFormatting>
  <conditionalFormatting sqref="F21:G21">
    <cfRule type="cellIs" dxfId="1" priority="22" operator="equal">
      <formula>0</formula>
    </cfRule>
  </conditionalFormatting>
  <conditionalFormatting sqref="F21:G21">
    <cfRule type="cellIs" dxfId="3" priority="21" operator="greaterThan">
      <formula>0</formula>
    </cfRule>
  </conditionalFormatting>
  <conditionalFormatting sqref="C19">
    <cfRule type="cellIs" dxfId="139" priority="19" operator="equal">
      <formula>0</formula>
    </cfRule>
    <cfRule type="expression" dxfId="139" priority="20">
      <formula>ISERROR(C19)</formula>
    </cfRule>
  </conditionalFormatting>
  <conditionalFormatting sqref="D19:O19">
    <cfRule type="cellIs" dxfId="139" priority="17" operator="equal">
      <formula>0</formula>
    </cfRule>
    <cfRule type="expression" dxfId="139" priority="18">
      <formula>ISERROR(D19)</formula>
    </cfRule>
  </conditionalFormatting>
  <conditionalFormatting sqref="P22">
    <cfRule type="cellIs" dxfId="0" priority="11" operator="greaterThan">
      <formula>0</formula>
    </cfRule>
  </conditionalFormatting>
  <conditionalFormatting sqref="P21">
    <cfRule type="expression" dxfId="1" priority="10">
      <formula>ISERROR(P21)</formula>
    </cfRule>
  </conditionalFormatting>
  <conditionalFormatting sqref="P21">
    <cfRule type="cellIs" dxfId="1" priority="9" operator="equal">
      <formula>0</formula>
    </cfRule>
  </conditionalFormatting>
  <conditionalFormatting sqref="P21">
    <cfRule type="cellIs" dxfId="3" priority="8" operator="greaterThan">
      <formula>0</formula>
    </cfRule>
  </conditionalFormatting>
  <conditionalFormatting sqref="P27 P29 P33">
    <cfRule type="cellIs" dxfId="0" priority="7" operator="notEqual">
      <formula>VALUE(P26)</formula>
    </cfRule>
  </conditionalFormatting>
  <conditionalFormatting sqref="P8 P10 P12 P14 P16 P27 P29 P31 P33 P35 P37 P25 P39 P41">
    <cfRule type="expression" dxfId="10" priority="5">
      <formula>ISBLANK(P8)</formula>
    </cfRule>
  </conditionalFormatting>
  <conditionalFormatting sqref="P8 P10 P12 P14 P16 P31 P35 P37 P25 P39 P41">
    <cfRule type="cellIs" dxfId="0" priority="6" operator="notEqual">
      <formula>P7</formula>
    </cfRule>
  </conditionalFormatting>
  <conditionalFormatting sqref="P24:P41">
    <cfRule type="expression" dxfId="1" priority="4" stopIfTrue="1">
      <formula>OR(P$22="Free",P$22="Telenor",P$22="Mtel",P$22="Telenor&amp;Mtel")</formula>
    </cfRule>
  </conditionalFormatting>
  <conditionalFormatting sqref="P19">
    <cfRule type="cellIs" dxfId="1" priority="2" operator="equal">
      <formula>0</formula>
    </cfRule>
    <cfRule type="expression" dxfId="1" priority="3">
      <formula>ISERROR(P19)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782C1794-FBD0-4B05-A184-ABF55C7A8EE2}" sqref="C2" showErrorMessage="1" errorTitle="An invalid feedback was entered" error="Please choose feedback from drop down only.">
      <formula1>"1,2,3"</formula1>
    </dataValidation>
    <dataValidation type="list" xr:uid="{64D783EF-CDAC-4AA7-B9FA-8CE867B14581}" sqref="D2" showErrorMessage="1" errorTitle="An invalid feedback was entered" error="Please choose feedback from drop down only.">
      <formula1>"1,2,3"</formula1>
    </dataValidation>
    <dataValidation type="list" xr:uid="{EB74DE49-44EC-414F-B025-D746DB1665D7}" sqref="E2" showErrorMessage="1" errorTitle="An invalid feedback was entered" error="Please choose feedback from drop down only.">
      <formula1>"1,2,3"</formula1>
    </dataValidation>
    <dataValidation type="list" xr:uid="{A141B3A1-8D23-4103-BE88-D2452B4A44BD}" sqref="F2" showErrorMessage="1" errorTitle="An invalid feedback was entered" error="Please choose feedback from drop down only.">
      <formula1>"1,2,3"</formula1>
    </dataValidation>
    <dataValidation type="list" xr:uid="{53ED6C5E-4DF7-459D-9583-E2620ED49D66}" sqref="G2" showErrorMessage="1" errorTitle="An invalid feedback was entered" error="Please choose feedback from drop down only.">
      <formula1>"1,2,3"</formula1>
    </dataValidation>
    <dataValidation type="list" xr:uid="{66870F2A-157D-49D4-B05B-6EEB63D7BB86}" sqref="H2" showErrorMessage="1" errorTitle="An invalid feedback was entered" error="Please choose feedback from drop down only.">
      <formula1>"1,2,3"</formula1>
    </dataValidation>
    <dataValidation type="list" xr:uid="{234751EE-3B4A-43C4-AA54-4AD644D9A804}" sqref="I2" showErrorMessage="1" errorTitle="An invalid feedback was entered" error="Please choose feedback from drop down only.">
      <formula1>"1,2,3"</formula1>
    </dataValidation>
    <dataValidation type="list" xr:uid="{74F5C345-B51D-43E1-B89E-827F8D3F565D}" sqref="J2" showErrorMessage="1" errorTitle="An invalid feedback was entered" error="Please choose feedback from drop down only.">
      <formula1>"1,2,3"</formula1>
    </dataValidation>
    <dataValidation type="list" xr:uid="{1E6FCE7A-E16C-4055-920C-49EB20F6EA3F}" sqref="K2" showErrorMessage="1" errorTitle="An invalid feedback was entered" error="Please choose feedback from drop down only.">
      <formula1>"1,2,3"</formula1>
    </dataValidation>
    <dataValidation type="list" xr:uid="{283C58FC-F46B-4C22-A07B-3BFC792BCFCA}" sqref="L2" showErrorMessage="1" errorTitle="An invalid feedback was entered" error="Please choose feedback from drop down only.">
      <formula1>"1,2,3"</formula1>
    </dataValidation>
    <dataValidation type="list" xr:uid="{7F6B7493-F7B0-47A1-A261-8E0349099BD1}" sqref="M2" showErrorMessage="1" errorTitle="An invalid feedback was entered" error="Please choose feedback from drop down only.">
      <formula1>"1,2,3"</formula1>
    </dataValidation>
    <dataValidation type="list" xr:uid="{621FF961-501A-43D5-B215-A1AACF9C81BB}" sqref="N2" showErrorMessage="1" errorTitle="An invalid feedback was entered" error="Please choose feedback from drop down only.">
      <formula1>"1,2,3"</formula1>
    </dataValidation>
    <dataValidation type="list" xr:uid="{CC0F5F3B-9BDC-4B2B-A3C4-A90E57BE2C81}" sqref="O2" showErrorMessage="1" errorTitle="An invalid feedback was entered" error="Please choose feedback from drop down only.">
      <formula1>"1,2,3"</formula1>
    </dataValidation>
    <dataValidation type="list" xr:uid="{6E6A21B5-5291-47A2-969F-9A9ABFBA5E0B}" sqref="P2" showErrorMessage="1" errorTitle="An invalid feedback was entered" error="Please choose feedback from drop down only.">
      <formula1>"1,2,3"</formula1>
    </dataValidation>
    <dataValidation type="list" xr:uid="{97C52DDC-05EC-476E-A1A6-48F2CBC4A4D9}" sqref="Q2" showErrorMessage="1" errorTitle="An invalid feedback was entered" error="Please choose feedback from drop down only.">
      <formula1>"1,2,3"</formula1>
    </dataValidation>
    <dataValidation type="list" xr:uid="{698BB402-3A59-4BC5-9894-6F0082AB8112}" sqref="C17" showErrorMessage="1" errorTitle="An invalid feedback was entered" error="Please choose feedback from drop down only.">
      <formula1>"1-2,3-4,5-6,7-8,9-10,N/A"</formula1>
    </dataValidation>
    <dataValidation type="list" xr:uid="{1110CC6B-4A95-40AC-A5E3-26CEFA691D0B}" sqref="D17" showErrorMessage="1" errorTitle="An invalid feedback was entered" error="Please choose feedback from drop down only.">
      <formula1>"1-2,3-4,5-6,7-8,9-10,N/A"</formula1>
    </dataValidation>
    <dataValidation type="list" xr:uid="{318BCEBB-CC37-4AEC-971D-76462CFF54D8}" sqref="E17" showErrorMessage="1" errorTitle="An invalid feedback was entered" error="Please choose feedback from drop down only.">
      <formula1>"1-2,3-4,5-6,7-8,9-10,N/A"</formula1>
    </dataValidation>
    <dataValidation type="list" xr:uid="{FB4F925F-0FCC-4FB4-992A-67E606040EAE}" sqref="F17" showErrorMessage="1" errorTitle="An invalid feedback was entered" error="Please choose feedback from drop down only.">
      <formula1>"1-2,3-4,5-6,7-8,9-10,N/A"</formula1>
    </dataValidation>
    <dataValidation type="list" xr:uid="{F13D11FF-C808-4D2F-845A-15DC0B1D1376}" sqref="G17" showErrorMessage="1" errorTitle="An invalid feedback was entered" error="Please choose feedback from drop down only.">
      <formula1>"1-2,3-4,5-6,7-8,9-10,N/A"</formula1>
    </dataValidation>
    <dataValidation type="list" xr:uid="{C543D334-0AB6-4585-A1FE-9DB9BC546674}" sqref="H17" showErrorMessage="1" errorTitle="An invalid feedback was entered" error="Please choose feedback from drop down only.">
      <formula1>"1-2,3-4,5-6,7-8,9-10,N/A"</formula1>
    </dataValidation>
    <dataValidation type="list" xr:uid="{A41CB846-F03D-4C8C-9908-ED5EA84CB8F4}" sqref="I17" showErrorMessage="1" errorTitle="An invalid feedback was entered" error="Please choose feedback from drop down only.">
      <formula1>"1-2,3-4,5-6,7-8,9-10,N/A"</formula1>
    </dataValidation>
    <dataValidation type="list" xr:uid="{0C20ECCB-FBDF-44B6-8164-DBC52BECC1D1}" sqref="J17" showErrorMessage="1" errorTitle="An invalid feedback was entered" error="Please choose feedback from drop down only.">
      <formula1>"1-2,3-4,5-6,7-8,9-10,N/A"</formula1>
    </dataValidation>
    <dataValidation type="list" xr:uid="{E4B84C57-5BC5-4C77-B3B5-9E7D8B641A37}" sqref="K17" showErrorMessage="1" errorTitle="An invalid feedback was entered" error="Please choose feedback from drop down only.">
      <formula1>"1-2,3-4,5-6,7-8,9-10,N/A"</formula1>
    </dataValidation>
    <dataValidation type="list" xr:uid="{8E878C38-7878-4B00-9709-D917EE8B694E}" sqref="L17" showErrorMessage="1" errorTitle="An invalid feedback was entered" error="Please choose feedback from drop down only.">
      <formula1>"1-2,3-4,5-6,7-8,9-10,N/A"</formula1>
    </dataValidation>
    <dataValidation type="list" xr:uid="{548CDCF3-771B-491B-8631-4F5648ADE587}" sqref="M17" showErrorMessage="1" errorTitle="An invalid feedback was entered" error="Please choose feedback from drop down only.">
      <formula1>"1-2,3-4,5-6,7-8,9-10,N/A"</formula1>
    </dataValidation>
    <dataValidation type="list" xr:uid="{472C2B83-DA4F-4782-A0BD-5E5F22A5FA78}" sqref="N17" showErrorMessage="1" errorTitle="An invalid feedback was entered" error="Please choose feedback from drop down only.">
      <formula1>"1-2,3-4,5-6,7-8,9-10,N/A"</formula1>
    </dataValidation>
    <dataValidation type="list" xr:uid="{6186B647-8EEA-4DA6-9EF2-24C285F99A3B}" sqref="O17" showErrorMessage="1" errorTitle="An invalid feedback was entered" error="Please choose feedback from drop down only.">
      <formula1>"1-2,3-4,5-6,7-8,9-10,N/A"</formula1>
    </dataValidation>
    <dataValidation type="list" xr:uid="{55AE3332-11CD-4547-905B-7E8066BFC752}" sqref="P17" showErrorMessage="1" errorTitle="An invalid feedback was entered" error="Please choose feedback from drop down only.">
      <formula1>"1-2,3-4,5-6,7-8,9-10,N/A"</formula1>
    </dataValidation>
    <dataValidation type="list" xr:uid="{0238560F-35FA-414A-B4A8-D3687942916B}" sqref="Q17" showErrorMessage="1" errorTitle="An invalid feedback was entered" error="Please choose feedback from drop down only.">
      <formula1>"1-2,3-4,5-6,7-8,9-10,N/A"</formula1>
    </dataValidation>
    <dataValidation type="list" xr:uid="{4D6933CD-EFB3-4C5A-9F0B-504488438E99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8ED80105-B9E1-47A3-9ECD-71E60943247E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C106392C-335F-4467-8CCB-0AEAABF9009C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05005647-25E9-4ED3-BAE5-E52856B506FD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189CA736-1728-43B2-9CE2-F99438A1D598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BDA35933-8D2C-4A35-9A1C-CF0452F25E8C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4E0F672D-AEE1-412D-A757-31D965035925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A6F85E68-8FD9-4F6A-BBE7-9C4AFFA7FF16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A099234A-61E9-4009-B9D1-6EA2A30BD8D6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008A270C-FFAC-4EF2-B554-0F62B0DD84BF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1D9B731F-4825-4961-A09B-E90B044348B0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A2FD9E4A-6455-4663-8981-50D3BC416959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CF234584-66D3-48AC-8718-020FCFB7FD9F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916DF748-187F-4880-9218-9DE486C14F47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E7DD5263-96AB-445C-9848-6A248E674FDC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56331B1E-6BA1-449F-BEBC-384D36023474}" sqref="C23" showErrorMessage="1" errorTitle="An invalid feedback was entered" error="Please choose feedback from drop down only.">
      <formula1>"Yetel,Bulsatcom,A1,Yetel&amp;A1,N/A"</formula1>
    </dataValidation>
    <dataValidation type="list" xr:uid="{61372ED8-61A9-4B19-9C14-AEB092E83090}" sqref="D23" showErrorMessage="1" errorTitle="An invalid feedback was entered" error="Please choose feedback from drop down only.">
      <formula1>"Yetel,Bulsatcom,A1,Yetel&amp;A1,N/A"</formula1>
    </dataValidation>
    <dataValidation type="list" xr:uid="{4ACE34DB-DEB3-4657-B4B8-98E72A55EE2D}" sqref="E23" showErrorMessage="1" errorTitle="An invalid feedback was entered" error="Please choose feedback from drop down only.">
      <formula1>"Yetel,Bulsatcom,A1,Yetel&amp;A1,N/A"</formula1>
    </dataValidation>
    <dataValidation type="list" xr:uid="{E53F4F08-CCC6-488F-B962-7191F423129B}" sqref="F23" showErrorMessage="1" errorTitle="An invalid feedback was entered" error="Please choose feedback from drop down only.">
      <formula1>"Yetel,Bulsatcom,A1,Yetel&amp;A1,N/A"</formula1>
    </dataValidation>
    <dataValidation type="list" xr:uid="{8A8D1FD4-F584-4AE4-A309-9F43FBDF7DC5}" sqref="G23" showErrorMessage="1" errorTitle="An invalid feedback was entered" error="Please choose feedback from drop down only.">
      <formula1>"Yetel,Bulsatcom,A1,Yetel&amp;A1,N/A"</formula1>
    </dataValidation>
    <dataValidation type="list" xr:uid="{84FF3667-506C-4D84-A3F2-8943AB7B285E}" sqref="H23" showErrorMessage="1" errorTitle="An invalid feedback was entered" error="Please choose feedback from drop down only.">
      <formula1>"Yetel,Bulsatcom,A1,Yetel&amp;A1,N/A"</formula1>
    </dataValidation>
    <dataValidation type="list" xr:uid="{AC0418FE-7D18-4A9E-924B-7B52BAD14D69}" sqref="I23" showErrorMessage="1" errorTitle="An invalid feedback was entered" error="Please choose feedback from drop down only.">
      <formula1>"Yetel,Bulsatcom,A1,Yetel&amp;A1,N/A"</formula1>
    </dataValidation>
    <dataValidation type="list" xr:uid="{DC06EEA9-E2F8-4621-A51E-B60DAED96757}" sqref="J23" showErrorMessage="1" errorTitle="An invalid feedback was entered" error="Please choose feedback from drop down only.">
      <formula1>"Yetel,Bulsatcom,A1,Yetel&amp;A1,N/A"</formula1>
    </dataValidation>
    <dataValidation type="list" xr:uid="{DB2CD901-E09B-4666-B78B-907F0FDB99F8}" sqref="K23" showErrorMessage="1" errorTitle="An invalid feedback was entered" error="Please choose feedback from drop down only.">
      <formula1>"Yetel,Bulsatcom,A1,Yetel&amp;A1,N/A"</formula1>
    </dataValidation>
    <dataValidation type="list" xr:uid="{765E6F0D-E95A-4EBE-BC84-7B696A0B4BB2}" sqref="L23" showErrorMessage="1" errorTitle="An invalid feedback was entered" error="Please choose feedback from drop down only.">
      <formula1>"Yetel,Bulsatcom,A1,Yetel&amp;A1,N/A"</formula1>
    </dataValidation>
    <dataValidation type="list" xr:uid="{090DCDD5-BC86-4B1A-8730-585131D6EB08}" sqref="M23" showErrorMessage="1" errorTitle="An invalid feedback was entered" error="Please choose feedback from drop down only.">
      <formula1>"Yetel,Bulsatcom,A1,Yetel&amp;A1,N/A"</formula1>
    </dataValidation>
    <dataValidation type="list" xr:uid="{9139EF3B-C1B5-49D8-845B-6D3CB0C6250A}" sqref="N23" showErrorMessage="1" errorTitle="An invalid feedback was entered" error="Please choose feedback from drop down only.">
      <formula1>"Yetel,Bulsatcom,A1,Yetel&amp;A1,N/A"</formula1>
    </dataValidation>
    <dataValidation type="list" xr:uid="{7A9D2CDE-74D2-4628-998F-48227DCF5C02}" sqref="O23" showErrorMessage="1" errorTitle="An invalid feedback was entered" error="Please choose feedback from drop down only.">
      <formula1>"Yetel,Bulsatcom,A1,Yetel&amp;A1,N/A"</formula1>
    </dataValidation>
    <dataValidation type="list" xr:uid="{2FE479A0-04D2-4380-82E7-BD5A4E5D08EF}" sqref="P23" showErrorMessage="1" errorTitle="An invalid feedback was entered" error="Please choose feedback from drop down only.">
      <formula1>"Yetel,Bulsatcom,A1,Yetel&amp;A1,N/A"</formula1>
    </dataValidation>
    <dataValidation type="list" xr:uid="{56319C08-B63A-4710-84C7-6998BBD2A4D4}" sqref="Q23" showErrorMessage="1" errorTitle="An invalid feedback was entered" error="Please choose feedback from drop down only.">
      <formula1>"Yetel,Bulsatcom,A1,Yetel&amp;A1,N/A"</formula1>
    </dataValidation>
    <dataValidation type="list" xr:uid="{19B60577-7340-49FD-8E88-237DAE4544C8}" sqref="C31" showErrorMessage="1" errorTitle="An invalid feedback was entered" error="Please choose feedback from drop down only.">
      <formula1>"1/2,5/4,7/8,RRU TOP JUMPER,N/A"</formula1>
    </dataValidation>
    <dataValidation type="list" xr:uid="{07902712-F50F-4C58-930F-77BC13431654}" sqref="D31" showErrorMessage="1" errorTitle="An invalid feedback was entered" error="Please choose feedback from drop down only.">
      <formula1>"1/2,5/4,7/8,RRU TOP JUMPER,N/A"</formula1>
    </dataValidation>
    <dataValidation type="list" xr:uid="{8572B5A6-D75B-4EC2-9FC0-39192FE3AA62}" sqref="E31" showErrorMessage="1" errorTitle="An invalid feedback was entered" error="Please choose feedback from drop down only.">
      <formula1>"1/2,5/4,7/8,RRU TOP JUMPER,N/A"</formula1>
    </dataValidation>
    <dataValidation type="list" xr:uid="{7ED18919-3446-43C8-93C9-A8CBD6767425}" sqref="F31" showErrorMessage="1" errorTitle="An invalid feedback was entered" error="Please choose feedback from drop down only.">
      <formula1>"1/2,5/4,7/8,RRU TOP JUMPER,N/A"</formula1>
    </dataValidation>
    <dataValidation type="list" xr:uid="{CBF39A06-F445-40EB-8F16-5B9BB8D8B923}" sqref="G31" showErrorMessage="1" errorTitle="An invalid feedback was entered" error="Please choose feedback from drop down only.">
      <formula1>"1/2,5/4,7/8,RRU TOP JUMPER,N/A"</formula1>
    </dataValidation>
    <dataValidation type="list" xr:uid="{F9F4A715-61E4-4DCE-8774-F0C98568E26E}" sqref="H31" showErrorMessage="1" errorTitle="An invalid feedback was entered" error="Please choose feedback from drop down only.">
      <formula1>"1/2,5/4,7/8,RRU TOP JUMPER,N/A"</formula1>
    </dataValidation>
    <dataValidation type="list" xr:uid="{E741F62B-0E6C-434D-BBA2-6CD42B74DAB5}" sqref="I31" showErrorMessage="1" errorTitle="An invalid feedback was entered" error="Please choose feedback from drop down only.">
      <formula1>"1/2,5/4,7/8,RRU TOP JUMPER,N/A"</formula1>
    </dataValidation>
    <dataValidation type="list" xr:uid="{C2F33647-C17E-4469-BAB0-B95B633B08A5}" sqref="J31" showErrorMessage="1" errorTitle="An invalid feedback was entered" error="Please choose feedback from drop down only.">
      <formula1>"1/2,5/4,7/8,RRU TOP JUMPER,N/A"</formula1>
    </dataValidation>
    <dataValidation type="list" xr:uid="{736AF5C0-A12F-44DD-81ED-91EBCDCFC188}" sqref="K31" showErrorMessage="1" errorTitle="An invalid feedback was entered" error="Please choose feedback from drop down only.">
      <formula1>"1/2,5/4,7/8,RRU TOP JUMPER,N/A"</formula1>
    </dataValidation>
    <dataValidation type="list" xr:uid="{DFFF581B-233D-45E3-99BE-89F91F55F848}" sqref="L31" showErrorMessage="1" errorTitle="An invalid feedback was entered" error="Please choose feedback from drop down only.">
      <formula1>"1/2,5/4,7/8,RRU TOP JUMPER,N/A"</formula1>
    </dataValidation>
    <dataValidation type="list" xr:uid="{8003C0F2-222E-411C-BBA5-08607EB7A1C3}" sqref="M31" showErrorMessage="1" errorTitle="An invalid feedback was entered" error="Please choose feedback from drop down only.">
      <formula1>"1/2,5/4,7/8,RRU TOP JUMPER,N/A"</formula1>
    </dataValidation>
    <dataValidation type="list" xr:uid="{26F99F29-7D06-4080-AB4C-F0EE14AB84EE}" sqref="N31" showErrorMessage="1" errorTitle="An invalid feedback was entered" error="Please choose feedback from drop down only.">
      <formula1>"1/2,5/4,7/8,RRU TOP JUMPER,N/A"</formula1>
    </dataValidation>
    <dataValidation type="list" xr:uid="{60A67807-5B92-4978-B6A5-87359D5C70F3}" sqref="O31" showErrorMessage="1" errorTitle="An invalid feedback was entered" error="Please choose feedback from drop down only.">
      <formula1>"1/2,5/4,7/8,RRU TOP JUMPER,N/A"</formula1>
    </dataValidation>
    <dataValidation type="list" xr:uid="{B2EB57F4-F33A-4970-B891-4C1B74DD95D5}" sqref="P31" showErrorMessage="1" errorTitle="An invalid feedback was entered" error="Please choose feedback from drop down only.">
      <formula1>"1/2,5/4,7/8,RRU TOP JUMPER,N/A"</formula1>
    </dataValidation>
    <dataValidation type="list" xr:uid="{C3A99D22-DDD8-4BA3-903E-B035FA255D34}" sqref="Q31" showErrorMessage="1" errorTitle="An invalid feedback was entered" error="Please choose feedback from drop down only.">
      <formula1>"1/2,5/4,7/8,RRU TOP JUMPER,N/A"</formula1>
    </dataValidation>
    <dataValidation type="list" xr:uid="{B82D6BB7-DDF0-450F-BDD9-5668BC037E04}" sqref="C4" showErrorMessage="1" errorTitle="An invalid feedback was entered" error="Please choose feedback from drop down only.">
      <formula1>"1,2,3,4,5,6,N/A"</formula1>
    </dataValidation>
    <dataValidation type="list" xr:uid="{53E09E76-D416-4960-8491-5908A8E36AF8}" sqref="D4" showErrorMessage="1" errorTitle="An invalid feedback was entered" error="Please choose feedback from drop down only.">
      <formula1>"1,2,3,4,5,6,N/A"</formula1>
    </dataValidation>
    <dataValidation type="list" xr:uid="{7FE0A985-C08D-4456-919F-6B53D4050F18}" sqref="E4" showErrorMessage="1" errorTitle="An invalid feedback was entered" error="Please choose feedback from drop down only.">
      <formula1>"1,2,3,4,5,6,N/A"</formula1>
    </dataValidation>
    <dataValidation type="list" xr:uid="{D8657CD9-6E8D-4FB4-BB0F-46F2FCAC7ED1}" sqref="F4" showErrorMessage="1" errorTitle="An invalid feedback was entered" error="Please choose feedback from drop down only.">
      <formula1>"1,2,3,4,5,6,N/A"</formula1>
    </dataValidation>
    <dataValidation type="list" xr:uid="{E28EECAB-D1E1-47CB-AACA-555E223BB249}" sqref="G4" showErrorMessage="1" errorTitle="An invalid feedback was entered" error="Please choose feedback from drop down only.">
      <formula1>"1,2,3,4,5,6,N/A"</formula1>
    </dataValidation>
    <dataValidation type="list" xr:uid="{81BFE995-323E-4A0A-AA7A-9A4C90F1D6A4}" sqref="H4" showErrorMessage="1" errorTitle="An invalid feedback was entered" error="Please choose feedback from drop down only.">
      <formula1>"1,2,3,4,5,6,N/A"</formula1>
    </dataValidation>
    <dataValidation type="list" xr:uid="{E59AA3F9-05C7-4128-A985-A4E70ECC776F}" sqref="I4" showErrorMessage="1" errorTitle="An invalid feedback was entered" error="Please choose feedback from drop down only.">
      <formula1>"1,2,3,4,5,6,N/A"</formula1>
    </dataValidation>
    <dataValidation type="list" xr:uid="{AD7BA62C-E4A8-46AD-A72A-24FC38D74577}" sqref="J4" showErrorMessage="1" errorTitle="An invalid feedback was entered" error="Please choose feedback from drop down only.">
      <formula1>"1,2,3,4,5,6,N/A"</formula1>
    </dataValidation>
    <dataValidation type="list" xr:uid="{E1EB3865-BC28-4378-A54C-781283B15567}" sqref="K4" showErrorMessage="1" errorTitle="An invalid feedback was entered" error="Please choose feedback from drop down only.">
      <formula1>"1,2,3,4,5,6,N/A"</formula1>
    </dataValidation>
    <dataValidation type="list" xr:uid="{FDACD753-A5BC-4C37-A805-CE96F943361A}" sqref="L4" showErrorMessage="1" errorTitle="An invalid feedback was entered" error="Please choose feedback from drop down only.">
      <formula1>"1,2,3,4,5,6,N/A"</formula1>
    </dataValidation>
    <dataValidation type="list" xr:uid="{6345DDFF-B922-49AF-814C-C0540E8C3E2D}" sqref="M4" showErrorMessage="1" errorTitle="An invalid feedback was entered" error="Please choose feedback from drop down only.">
      <formula1>"1,2,3,4,5,6,N/A"</formula1>
    </dataValidation>
    <dataValidation type="list" xr:uid="{E35687B3-B6AF-44BB-A83F-FB43D98411FC}" sqref="N4" showErrorMessage="1" errorTitle="An invalid feedback was entered" error="Please choose feedback from drop down only.">
      <formula1>"1,2,3,4,5,6,N/A"</formula1>
    </dataValidation>
    <dataValidation type="list" xr:uid="{B6A7768D-47F3-413C-B5CE-052F32F7F547}" sqref="O4" showErrorMessage="1" errorTitle="An invalid feedback was entered" error="Please choose feedback from drop down only.">
      <formula1>"1,2,3,4,5,6,N/A"</formula1>
    </dataValidation>
    <dataValidation type="list" xr:uid="{886CE666-811A-4E95-A768-EF14BA25A6E7}" sqref="P4" showErrorMessage="1" errorTitle="An invalid feedback was entered" error="Please choose feedback from drop down only.">
      <formula1>"1,2,3,4,5,6,N/A"</formula1>
    </dataValidation>
    <dataValidation type="list" xr:uid="{FD0D60AB-3996-4459-A872-F25217CEF5EA}" sqref="Q4" showErrorMessage="1" errorTitle="An invalid feedback was entered" error="Please choose feedback from drop down only.">
      <formula1>"1,2,3,4,5,6,N/A"</formula1>
    </dataValidation>
    <dataValidation type="list" xr:uid="{50C68027-667B-4165-9E46-1A194F0D0A79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1336EA7-83CD-49F5-9B92-D5D7ED0C8E1B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88F4A7D-CC48-4933-9BEA-252CF9EE5823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B9B8E17-617B-40F5-897A-D53C28C3E330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A49B695-6BBC-4AC8-A6D8-B7D271F7B84A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F944ECD-3141-4C8B-8CD0-667F763F1A79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B78B8D1-A3BF-47CB-BCAD-B7D950057E30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2E672D3-35BD-4513-AA49-FA7CF95FB312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962068A-6B32-4193-8376-88FC6123C902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3ECDDEB-6AF7-46DC-886A-AF3C2C56C095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4128463-3371-4AA0-869D-97EFEFF40F2E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A636C23-2EAA-4FEF-8EAF-E5EF380EEBBF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BFAFA10-E93A-4571-AC0E-91F9DC377ED2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E446BF9-4415-4D67-8681-369450BFAA83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BA3C5C9-78D8-4330-A95E-9C490D3F9FD3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0C272D2-4E38-4BA5-95C5-A8299DEEC793}" sqref="C28" showErrorMessage="1" errorTitle="An invalid feedback was entered" error="Please choose feedback from drop down only.">
      <formula1>"Yes,No,FlexRET"</formula1>
    </dataValidation>
    <dataValidation type="list" xr:uid="{1C614312-3119-4E03-8DAF-4A9C648E9903}" sqref="D28" showErrorMessage="1" errorTitle="An invalid feedback was entered" error="Please choose feedback from drop down only.">
      <formula1>"Yes,No,FlexRET"</formula1>
    </dataValidation>
    <dataValidation type="list" xr:uid="{DE9E7DE3-E6EA-46D5-90C4-F50808EA246A}" sqref="E28" showErrorMessage="1" errorTitle="An invalid feedback was entered" error="Please choose feedback from drop down only.">
      <formula1>"Yes,No,FlexRET"</formula1>
    </dataValidation>
    <dataValidation type="list" xr:uid="{8AAC36AE-0325-43B9-A7B0-11AAC19CCA79}" sqref="F28" showErrorMessage="1" errorTitle="An invalid feedback was entered" error="Please choose feedback from drop down only.">
      <formula1>"Yes,No,FlexRET"</formula1>
    </dataValidation>
    <dataValidation type="list" xr:uid="{9BA12DD2-547C-4556-8EAD-C71C5E88D1AA}" sqref="G28" showErrorMessage="1" errorTitle="An invalid feedback was entered" error="Please choose feedback from drop down only.">
      <formula1>"Yes,No,FlexRET"</formula1>
    </dataValidation>
    <dataValidation type="list" xr:uid="{94394C9D-7830-4A0A-8E5E-B94FC0BD1509}" sqref="H28" showErrorMessage="1" errorTitle="An invalid feedback was entered" error="Please choose feedback from drop down only.">
      <formula1>"Yes,No,FlexRET"</formula1>
    </dataValidation>
    <dataValidation type="list" xr:uid="{1AD7478E-CC0F-41CA-A010-EAF9A908A042}" sqref="I28" showErrorMessage="1" errorTitle="An invalid feedback was entered" error="Please choose feedback from drop down only.">
      <formula1>"Yes,No,FlexRET"</formula1>
    </dataValidation>
    <dataValidation type="list" xr:uid="{2CCF1E4A-B202-41B9-BD19-F2F324EE432E}" sqref="J28" showErrorMessage="1" errorTitle="An invalid feedback was entered" error="Please choose feedback from drop down only.">
      <formula1>"Yes,No,FlexRET"</formula1>
    </dataValidation>
    <dataValidation type="list" xr:uid="{82A80C5D-E2F3-4FE4-B5BE-65318C722B7E}" sqref="K28" showErrorMessage="1" errorTitle="An invalid feedback was entered" error="Please choose feedback from drop down only.">
      <formula1>"Yes,No,FlexRET"</formula1>
    </dataValidation>
    <dataValidation type="list" xr:uid="{6DA7A3C1-207C-4236-816C-D17167264FD7}" sqref="L28" showErrorMessage="1" errorTitle="An invalid feedback was entered" error="Please choose feedback from drop down only.">
      <formula1>"Yes,No,FlexRET"</formula1>
    </dataValidation>
    <dataValidation type="list" xr:uid="{2523CB05-07FE-4366-9A72-997C27CAAEE0}" sqref="M28" showErrorMessage="1" errorTitle="An invalid feedback was entered" error="Please choose feedback from drop down only.">
      <formula1>"Yes,No,FlexRET"</formula1>
    </dataValidation>
    <dataValidation type="list" xr:uid="{2C74F062-060D-4760-8320-EE205FD90623}" sqref="N28" showErrorMessage="1" errorTitle="An invalid feedback was entered" error="Please choose feedback from drop down only.">
      <formula1>"Yes,No,FlexRET"</formula1>
    </dataValidation>
    <dataValidation type="list" xr:uid="{83330589-C811-4352-AC01-B2EB67790BC9}" sqref="O28" showErrorMessage="1" errorTitle="An invalid feedback was entered" error="Please choose feedback from drop down only.">
      <formula1>"Yes,No,FlexRET"</formula1>
    </dataValidation>
    <dataValidation type="list" xr:uid="{4600B3C3-DD8E-4B15-A63E-7AC590ADF5A0}" sqref="P28" showErrorMessage="1" errorTitle="An invalid feedback was entered" error="Please choose feedback from drop down only.">
      <formula1>"Yes,No,FlexRET"</formula1>
    </dataValidation>
    <dataValidation type="list" xr:uid="{9511EB80-CA16-4252-ABEC-F747FAC5FE41}" sqref="Q28" showErrorMessage="1" errorTitle="An invalid feedback was entered" error="Please choose feedback from drop down only.">
      <formula1>"Yes,No,FlexRET"</formula1>
    </dataValidation>
    <dataValidation type="list" xr:uid="{3415CFEE-C372-4814-B454-F4C55980B549}" sqref="C29" showErrorMessage="1" errorTitle="An invalid feedback was entered" error="Please choose feedback from drop down only.">
      <formula1>"Yes,No,FlexRET"</formula1>
    </dataValidation>
    <dataValidation type="list" xr:uid="{0EC557D4-EDE8-43E6-8A48-347E180F796B}" sqref="D29" showErrorMessage="1" errorTitle="An invalid feedback was entered" error="Please choose feedback from drop down only.">
      <formula1>"Yes,No,FlexRET"</formula1>
    </dataValidation>
    <dataValidation type="list" xr:uid="{1AF7FAA9-E4BC-4A86-8898-32A16CFCA0A0}" sqref="E29" showErrorMessage="1" errorTitle="An invalid feedback was entered" error="Please choose feedback from drop down only.">
      <formula1>"Yes,No,FlexRET"</formula1>
    </dataValidation>
    <dataValidation type="list" xr:uid="{10D255BD-B55A-4688-8FFC-65D9B26D399C}" sqref="F29" showErrorMessage="1" errorTitle="An invalid feedback was entered" error="Please choose feedback from drop down only.">
      <formula1>"Yes,No,FlexRET"</formula1>
    </dataValidation>
    <dataValidation type="list" xr:uid="{E6A049E9-B1AC-4B95-B965-81F15AD00A2F}" sqref="G29" showErrorMessage="1" errorTitle="An invalid feedback was entered" error="Please choose feedback from drop down only.">
      <formula1>"Yes,No,FlexRET"</formula1>
    </dataValidation>
    <dataValidation type="list" xr:uid="{866098B3-67E1-444B-999E-54D042E050B6}" sqref="H29" showErrorMessage="1" errorTitle="An invalid feedback was entered" error="Please choose feedback from drop down only.">
      <formula1>"Yes,No,FlexRET"</formula1>
    </dataValidation>
    <dataValidation type="list" xr:uid="{A3BBC2A8-99B8-4D5B-B8E9-F7280AB9D223}" sqref="I29" showErrorMessage="1" errorTitle="An invalid feedback was entered" error="Please choose feedback from drop down only.">
      <formula1>"Yes,No,FlexRET"</formula1>
    </dataValidation>
    <dataValidation type="list" xr:uid="{23AADE45-B40D-4BB4-A869-11A59B11BA6D}" sqref="J29" showErrorMessage="1" errorTitle="An invalid feedback was entered" error="Please choose feedback from drop down only.">
      <formula1>"Yes,No,FlexRET"</formula1>
    </dataValidation>
    <dataValidation type="list" xr:uid="{F1F71CFE-D66F-44C4-BE8C-8B4E14FED863}" sqref="K29" showErrorMessage="1" errorTitle="An invalid feedback was entered" error="Please choose feedback from drop down only.">
      <formula1>"Yes,No,FlexRET"</formula1>
    </dataValidation>
    <dataValidation type="list" xr:uid="{5A09873F-6FE0-4A55-AC01-233A000B5029}" sqref="L29" showErrorMessage="1" errorTitle="An invalid feedback was entered" error="Please choose feedback from drop down only.">
      <formula1>"Yes,No,FlexRET"</formula1>
    </dataValidation>
    <dataValidation type="list" xr:uid="{19F7A4C1-22FF-49E3-A3C0-EC25594F166E}" sqref="M29" showErrorMessage="1" errorTitle="An invalid feedback was entered" error="Please choose feedback from drop down only.">
      <formula1>"Yes,No,FlexRET"</formula1>
    </dataValidation>
    <dataValidation type="list" xr:uid="{A3304CEB-BD0B-4BAE-9CF1-AA4C00E226D8}" sqref="N29" showErrorMessage="1" errorTitle="An invalid feedback was entered" error="Please choose feedback from drop down only.">
      <formula1>"Yes,No,FlexRET"</formula1>
    </dataValidation>
    <dataValidation type="list" xr:uid="{0CBCE1CD-8830-497A-B455-D7A5FAE5235B}" sqref="O29" showErrorMessage="1" errorTitle="An invalid feedback was entered" error="Please choose feedback from drop down only.">
      <formula1>"Yes,No,FlexRET"</formula1>
    </dataValidation>
    <dataValidation type="list" xr:uid="{97D4FA41-F553-49D5-AC89-074015262924}" sqref="P29" showErrorMessage="1" errorTitle="An invalid feedback was entered" error="Please choose feedback from drop down only.">
      <formula1>"Yes,No,FlexRET"</formula1>
    </dataValidation>
    <dataValidation type="list" xr:uid="{EE17CE91-8D05-4CC2-B29A-A870130D16AD}" sqref="Q29" showErrorMessage="1" errorTitle="An invalid feedback was entered" error="Please choose feedback from drop down only.">
      <formula1>"Yes,No,FlexRET"</formula1>
    </dataValidation>
    <dataValidation type="list" xr:uid="{5FDFEF31-83F9-453D-9F33-B5E32CF806CD}" sqref="C25" showErrorMessage="1" errorTitle="An invalid feedback was entered" error="Please choose feedback from drop down only.">
      <formula1>"G,U,L,NR,GU,UL,GL,GUL,LNR,ULNR,None"</formula1>
    </dataValidation>
    <dataValidation type="list" xr:uid="{20B74B10-23BD-4E6C-92BE-846C56E80A60}" sqref="D25" showErrorMessage="1" errorTitle="An invalid feedback was entered" error="Please choose feedback from drop down only.">
      <formula1>"G,U,L,NR,GU,UL,GL,GUL,LNR,ULNR,None"</formula1>
    </dataValidation>
    <dataValidation type="list" xr:uid="{38DDB09E-E4B6-4704-8556-183AC0F419B3}" sqref="E25" showErrorMessage="1" errorTitle="An invalid feedback was entered" error="Please choose feedback from drop down only.">
      <formula1>"G,U,L,NR,GU,UL,GL,GUL,LNR,ULNR,None"</formula1>
    </dataValidation>
    <dataValidation type="list" xr:uid="{5CF40235-EEE1-4781-8D8A-33E422B0E2B7}" sqref="F25" showErrorMessage="1" errorTitle="An invalid feedback was entered" error="Please choose feedback from drop down only.">
      <formula1>"G,U,L,NR,GU,UL,GL,GUL,LNR,ULNR,None"</formula1>
    </dataValidation>
    <dataValidation type="list" xr:uid="{C4016DD0-7140-49D3-9162-6BEE061CFC61}" sqref="G25" showErrorMessage="1" errorTitle="An invalid feedback was entered" error="Please choose feedback from drop down only.">
      <formula1>"G,U,L,NR,GU,UL,GL,GUL,LNR,ULNR,None"</formula1>
    </dataValidation>
    <dataValidation type="list" xr:uid="{982BC6AD-E333-440A-9A1A-F0236DA5AABB}" sqref="H25" showErrorMessage="1" errorTitle="An invalid feedback was entered" error="Please choose feedback from drop down only.">
      <formula1>"G,U,L,NR,GU,UL,GL,GUL,LNR,ULNR,None"</formula1>
    </dataValidation>
    <dataValidation type="list" xr:uid="{4CC3307E-B8C2-47C8-8252-CEE2BC160AD2}" sqref="I25" showErrorMessage="1" errorTitle="An invalid feedback was entered" error="Please choose feedback from drop down only.">
      <formula1>"G,U,L,NR,GU,UL,GL,GUL,LNR,ULNR,None"</formula1>
    </dataValidation>
    <dataValidation type="list" xr:uid="{1BC89B31-9CAD-4933-9904-DA1EDC42FA6B}" sqref="J25" showErrorMessage="1" errorTitle="An invalid feedback was entered" error="Please choose feedback from drop down only.">
      <formula1>"G,U,L,NR,GU,UL,GL,GUL,LNR,ULNR,None"</formula1>
    </dataValidation>
    <dataValidation type="list" xr:uid="{0A3BCE97-FBD6-4F7C-AB14-D0C4F9D8C21B}" sqref="K25" showErrorMessage="1" errorTitle="An invalid feedback was entered" error="Please choose feedback from drop down only.">
      <formula1>"G,U,L,NR,GU,UL,GL,GUL,LNR,ULNR,None"</formula1>
    </dataValidation>
    <dataValidation type="list" xr:uid="{957E0B57-328F-4E88-AE70-18D5EA96F99D}" sqref="L25" showErrorMessage="1" errorTitle="An invalid feedback was entered" error="Please choose feedback from drop down only.">
      <formula1>"G,U,L,NR,GU,UL,GL,GUL,LNR,ULNR,None"</formula1>
    </dataValidation>
    <dataValidation type="list" xr:uid="{DE852A5C-5388-4F49-9407-2931566DB21E}" sqref="M25" showErrorMessage="1" errorTitle="An invalid feedback was entered" error="Please choose feedback from drop down only.">
      <formula1>"G,U,L,NR,GU,UL,GL,GUL,LNR,ULNR,None"</formula1>
    </dataValidation>
    <dataValidation type="list" xr:uid="{77257FDD-7047-4C48-818E-760383BA21F7}" sqref="N25" showErrorMessage="1" errorTitle="An invalid feedback was entered" error="Please choose feedback from drop down only.">
      <formula1>"G,U,L,NR,GU,UL,GL,GUL,LNR,ULNR,None"</formula1>
    </dataValidation>
    <dataValidation type="list" xr:uid="{79801E96-067C-4DD2-91B8-25C1B98DB144}" sqref="O25" showErrorMessage="1" errorTitle="An invalid feedback was entered" error="Please choose feedback from drop down only.">
      <formula1>"G,U,L,NR,GU,UL,GL,GUL,LNR,ULNR,None"</formula1>
    </dataValidation>
    <dataValidation type="list" xr:uid="{C53FABEB-5630-4692-B1CD-C6BE4CD089C9}" sqref="P25" showErrorMessage="1" errorTitle="An invalid feedback was entered" error="Please choose feedback from drop down only.">
      <formula1>"G,U,L,NR,GU,UL,GL,GUL,LNR,ULNR,None"</formula1>
    </dataValidation>
    <dataValidation type="list" xr:uid="{3D41654C-32E3-4937-8C2A-9036D882A000}" sqref="Q25" showErrorMessage="1" errorTitle="An invalid feedback was entered" error="Please choose feedback from drop down only.">
      <formula1>"G,U,L,NR,GU,UL,GL,GUL,LNR,ULNR,None"</formula1>
    </dataValidation>
    <dataValidation type="list" xr:uid="{74428DDA-D210-4457-8860-31950DB7C3A3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50C4CAA-D56E-4E0F-B6B4-9C17257B76DC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526CB8A-531F-4C05-8A58-299FED6DD9DB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28D9DE2-AEB1-4720-99AE-9AEB9E1C73D2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36BDAD4-0925-4501-9B0D-F5FF200B7F8A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137D131-7027-41AE-B9A1-2E1B2AA4A640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D2B660B-FDF3-407C-B863-8E5242B72BFC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98B55D6-C355-4790-9738-4F804E693D06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01D5135-07F6-4A0C-9AE3-87BE7CC03E9A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2DB7A6D-4052-44FF-B2ED-3CF684061414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C3F8D55-C3B5-4962-8C07-11E1B34FE4C4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FDE9C2E-2E4F-4ED7-B18E-45972DC53B9D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920E2BA-5A3E-4E14-AA89-C07D4BC7A4DF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92CEEEE-2906-4F8F-8262-DACCB0AA5C07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3B976F2-6285-4DED-8956-5E7E105826C6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7" right="0.7" top="0.75" bottom="0.75" header="0.3" footer="0.3"/>
  <pageSetup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6FC944ED-2F02-4F6D-910C-E5708D328551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E76C456B-3132-4AA7-8639-4EA89869A0D8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699E66B0-4012-4B29-B40C-55671250FF07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81485CED-FFD9-4CDE-B2D1-AAE758084F90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10D7F9DB-C98F-43C6-A2B1-B7C9F5697589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7A7C3A92-E810-440D-98A5-E6363BACB595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C43A24A4-98E0-42CF-A744-1D8AF20748E0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254BBC28-1467-4188-9DF4-B7026D95FBE6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0972EC9B-ACE4-4B2F-B3CB-A0AD27B0CCF9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F07FFA04-DE10-4905-A404-A8743F000110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741E7C6B-4592-42EA-8435-DCFCCAEEC0EF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EA229A69-26FC-4829-8DBF-2CD50AE80A4D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A95C9442-E62A-4701-86A8-965B3176C34B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AA1EE969-BD73-4285-A9A5-0AE25DBBF485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64FAF705-5005-4ADD-9158-447125848922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77DF8498-2359-4710-9318-C356DAB6EB84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E2D55603-C895-4F34-973C-A2AD2134EF0C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3C3C6A03-ADA8-4BBC-9F1C-247D504BCF8F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DE024DEB-CD84-4053-943C-BCAF55F9374F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71E68004-B236-445E-9E28-EEDB9771DDEC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618EEBB6-EE52-4670-B5C7-080EBD8DC666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169BDA19-9C51-467B-8CCA-6001BFAFF7CB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EFCFB445-5267-4CE0-B686-142829D46F50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D6616B16-B49F-4CC6-AE49-6862E0F8E035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D527A28B-A261-45AA-9A1A-347C15364B9D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BBCA92C6-5B77-42EC-A98F-646B5F198381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0F420244-A4FA-418D-BAAB-879473B78749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6149101C-32F1-4C44-A911-4F3B72E0C386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8CBB79FC-0F02-424F-8A90-95813F43CDA6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F0DC9834-C22B-4D5A-9A8D-E71EF229A8FD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4A1F100D-6C11-45AC-9B04-92AA90905FCC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4D323684-4BC0-4950-A9B5-5E881FF073D2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A0115C2E-2A9A-4AFC-8C9F-60D18C85A2A9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A7D76493-C3B1-45C8-A6C5-084D40BC9F97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04E43457-802A-4605-9773-6C9DCC14EEC1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23B3E957-EE5E-44ED-80C3-5A6E3F87590B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7223C728-D26E-4490-9FAF-C8B01A470895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9E08ECF6-B135-416D-B5F1-5C1FA94C9AA9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09AB24C2-2138-4626-8129-3DD2B32520C3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764F21CD-CA1C-4AC7-ABFC-6539C0D43C81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F2ECE5DC-C8F8-45EC-8B18-92B86FC1D40C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266BEAF0-AB4A-4F32-B513-07CC8E9A1A5F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432FE38F-128C-466A-BAD6-C13A9B556A01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39AA956A-DF9B-459F-93A6-AD5D3D47D8CD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B27FF9C3-B0D4-4672-80C9-CE15238C5D63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6DAF6B64-EE99-406E-B787-112A13DB6687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CD6AEB6C-E8EE-4AA2-B0A6-4542E1F2FF7C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69A108C4-5E92-482A-82B2-8EDEE1544919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37FF317A-E620-4A00-96D4-1154A4F642E7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11D398B7-F89E-44AD-B285-E19BF4EB1827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41B0CC19-2E12-40CE-AF08-9C5B359D7F61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C6616C41-20FE-48E9-84B2-26F5842034E8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762F715B-38F8-452F-8BCE-6549DBF228D1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80BE2844-4A68-449E-BA33-7B8FA892254C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0AB18C97-7249-44FA-8689-01FFBC5D9C81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A6D9A539-51D3-46EF-A4C2-27D7B47735FC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A042CC1B-2F23-4310-8F79-B405584B0804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9932E79C-A3C5-4B4C-9E36-9C39E2731AA1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F1742822-7240-4A5A-9460-11B80891B22B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8C83514B-BDF4-4C18-AC20-72BD3A0DFEE3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8"/>
  <dimension ref="A1:U45"/>
  <sheetViews>
    <sheetView zoomScale="90" zoomScaleNormal="90" workbookViewId="0">
      <selection activeCell="C8" sqref="C8:H8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/>
      <c r="B1" s="198"/>
      <c r="C1" s="258" t="s">
        <v>113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8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11"/>
      <c r="D3" s="212"/>
      <c r="E3" s="212"/>
      <c r="F3" s="212"/>
      <c r="G3" s="212"/>
      <c r="H3" s="212"/>
      <c r="I3" s="212"/>
      <c r="J3" s="212"/>
      <c r="K3" s="212"/>
      <c r="L3" s="212"/>
      <c r="M3" s="212"/>
      <c r="N3" s="212"/>
      <c r="O3" s="212"/>
      <c r="P3" s="213"/>
    </row>
    <row r="4" ht="25.15" s="22" customFormat="1">
      <c r="A4" s="241"/>
      <c r="B4" s="9" t="s">
        <v>3</v>
      </c>
      <c r="C4" s="248"/>
      <c r="D4" s="249"/>
      <c r="E4" s="249"/>
      <c r="F4" s="249"/>
      <c r="G4" s="249"/>
      <c r="H4" s="249"/>
      <c r="I4" s="249"/>
      <c r="J4" s="249"/>
      <c r="K4" s="249"/>
      <c r="L4" s="249"/>
      <c r="M4" s="249"/>
      <c r="N4" s="249"/>
      <c r="O4" s="249"/>
      <c r="P4" s="250"/>
    </row>
    <row r="5" ht="24.75">
      <c r="A5" s="241"/>
      <c r="B5" s="13" t="s">
        <v>4</v>
      </c>
      <c r="C5" s="245"/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0"/>
    </row>
    <row r="8" ht="17.65" s="22" customFormat="1">
      <c r="A8" s="241"/>
      <c r="B8" s="9" t="s">
        <v>8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74"/>
    </row>
    <row r="9" ht="17.25">
      <c r="A9" s="241"/>
      <c r="B9" s="8" t="s">
        <v>9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73"/>
    </row>
    <row r="10" ht="17.65" s="22" customFormat="1">
      <c r="A10" s="241"/>
      <c r="B10" s="10" t="s">
        <v>11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74"/>
    </row>
    <row r="11" ht="17.25">
      <c r="A11" s="241"/>
      <c r="B11" s="8" t="s">
        <v>12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73"/>
    </row>
    <row r="12" ht="17.65" s="22" customFormat="1">
      <c r="A12" s="241"/>
      <c r="B12" s="10" t="s">
        <v>13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74"/>
    </row>
    <row r="13" ht="17.25">
      <c r="A13" s="241"/>
      <c r="B13" s="8" t="s">
        <v>14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73"/>
    </row>
    <row r="14" ht="17.65" s="22" customFormat="1">
      <c r="A14" s="241"/>
      <c r="B14" s="10" t="s">
        <v>15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81"/>
    </row>
    <row r="15" ht="17.25">
      <c r="A15" s="241"/>
      <c r="B15" s="8" t="s">
        <v>16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80"/>
    </row>
    <row r="16" ht="17.25" s="22" customFormat="1">
      <c r="A16" s="241"/>
      <c r="B16" s="68" t="s">
        <v>17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18</v>
      </c>
      <c r="C17" s="63" t="s">
        <v>19</v>
      </c>
      <c r="D17" s="64" t="s">
        <v>20</v>
      </c>
      <c r="E17" s="64" t="s">
        <v>21</v>
      </c>
      <c r="F17" s="64" t="s">
        <v>22</v>
      </c>
      <c r="G17" s="64" t="s">
        <v>23</v>
      </c>
      <c r="H17" s="65" t="s">
        <v>24</v>
      </c>
      <c r="I17" s="63" t="s">
        <v>19</v>
      </c>
      <c r="J17" s="64" t="s">
        <v>20</v>
      </c>
      <c r="K17" s="64" t="s">
        <v>21</v>
      </c>
      <c r="L17" s="65" t="s">
        <v>22</v>
      </c>
      <c r="M17" s="63" t="s">
        <v>19</v>
      </c>
      <c r="N17" s="64" t="s">
        <v>20</v>
      </c>
      <c r="O17" s="65" t="s">
        <v>21</v>
      </c>
      <c r="P17" s="76" t="s">
        <v>19</v>
      </c>
    </row>
    <row r="18" ht="17.25">
      <c r="A18" s="256"/>
      <c r="B18" s="70" t="s">
        <v>25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30</v>
      </c>
      <c r="C19" s="105">
        <f>VLOOKUP(C8,AntennasPortName!A:H,2,FALSE)</f>
      </c>
      <c r="D19" s="105">
        <f>VLOOKUP(C8,AntennasPortName!A:H,3,FALSE)</f>
      </c>
      <c r="E19" s="105">
        <f>VLOOKUP(C8,AntennasPortName!A:H,4,FALSE)</f>
      </c>
      <c r="F19" s="105">
        <f>VLOOKUP(C8,AntennasPortName!A:H,5,FALSE)</f>
      </c>
      <c r="G19" s="105">
        <f>VLOOKUP(C8,AntennasPortName!A:H,6,FALSE)</f>
      </c>
      <c r="H19" s="105">
        <f>VLOOKUP(C8,AntennasPortName!A:H,7,FALSE)</f>
      </c>
      <c r="I19" s="105">
        <f>VLOOKUP(I8,AntennasPortName!A:H,2,FALSE)</f>
      </c>
      <c r="J19" s="105">
        <f>VLOOKUP(I8,AntennasPortName!A:H,3,FALSE)</f>
      </c>
      <c r="K19" s="105">
        <f>VLOOKUP(I8,AntennasPortName!A:H,4,FALSE)</f>
      </c>
      <c r="L19" s="105">
        <f>VLOOKUP(I8,AntennasPortName!A:H,5,FALSE)</f>
      </c>
      <c r="M19" s="105">
        <f>VLOOKUP(M8,AntennasPortName!A:H,2,FALSE)</f>
      </c>
      <c r="N19" s="105">
        <f>VLOOKUP(M8,AntennasPortName!A:H,3,FALSE)</f>
      </c>
      <c r="O19" s="105">
        <f>VLOOKUP(M8,AntennasPortName!A:H,4,FALSE)</f>
      </c>
      <c r="P19" s="99">
        <f>VLOOKUP(P8,AntennasPortName!A:H,2,FALSE)</f>
      </c>
    </row>
    <row r="20" ht="17.25">
      <c r="A20" s="241"/>
      <c r="B20" s="69" t="s">
        <v>31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34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35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36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37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41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42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43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44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45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46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48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49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50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51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55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56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58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59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61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62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63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64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M14:O14"/>
    <mergeCell ref="M10:O10"/>
    <mergeCell ref="C11:H11"/>
    <mergeCell ref="I11:L11"/>
    <mergeCell ref="M11:O11"/>
    <mergeCell ref="C12:H12"/>
    <mergeCell ref="I12:L12"/>
    <mergeCell ref="M12:O12"/>
    <mergeCell ref="C10:H10"/>
    <mergeCell ref="I10:L10"/>
    <mergeCell ref="A34:A35"/>
    <mergeCell ref="A36:A41"/>
    <mergeCell ref="A42:A45"/>
    <mergeCell ref="C15:H15"/>
    <mergeCell ref="I15:L15"/>
    <mergeCell ref="B42:P45"/>
    <mergeCell ref="M15:O15"/>
    <mergeCell ref="C16:H16"/>
    <mergeCell ref="I16:L16"/>
    <mergeCell ref="M16:O16"/>
    <mergeCell ref="A3:A33"/>
    <mergeCell ref="C13:H13"/>
    <mergeCell ref="I13:L13"/>
    <mergeCell ref="M13:O13"/>
    <mergeCell ref="C14:H14"/>
    <mergeCell ref="I14:L14"/>
    <mergeCell ref="A1:B1"/>
    <mergeCell ref="C2:H2"/>
    <mergeCell ref="I2:L2"/>
    <mergeCell ref="M2:O2"/>
    <mergeCell ref="C1:P1"/>
    <mergeCell ref="C3:P3"/>
    <mergeCell ref="C4:P4"/>
    <mergeCell ref="C5:P5"/>
    <mergeCell ref="C6:P6"/>
    <mergeCell ref="C7:H7"/>
    <mergeCell ref="I7:L7"/>
    <mergeCell ref="M7:O7"/>
    <mergeCell ref="C8:H8"/>
    <mergeCell ref="I8:L8"/>
    <mergeCell ref="M8:O8"/>
    <mergeCell ref="C9:H9"/>
    <mergeCell ref="I9:L9"/>
    <mergeCell ref="M9:O9"/>
  </mergeCells>
  <conditionalFormatting sqref="C22:E22 C4 H22:O22">
    <cfRule type="cellIs" dxfId="0" priority="49" operator="greaterThan">
      <formula>0</formula>
    </cfRule>
  </conditionalFormatting>
  <conditionalFormatting sqref="C21:E21 H21:O21">
    <cfRule type="expression" dxfId="1" priority="48">
      <formula>ISERROR(C21)</formula>
    </cfRule>
  </conditionalFormatting>
  <conditionalFormatting sqref="C21:E21 H21:O21">
    <cfRule type="cellIs" dxfId="1" priority="47" operator="equal">
      <formula>0</formula>
    </cfRule>
  </conditionalFormatting>
  <conditionalFormatting sqref="C21:E21 H21:O21">
    <cfRule type="cellIs" dxfId="3" priority="46" operator="greaterThan">
      <formula>0</formula>
    </cfRule>
  </conditionalFormatting>
  <conditionalFormatting sqref="C27:O27 D29:O29 D33:O33">
    <cfRule type="cellIs" dxfId="0" priority="45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41">
      <formula>ISBLANK(C8)</formula>
    </cfRule>
  </conditionalFormatting>
  <conditionalFormatting sqref="C29">
    <cfRule type="cellIs" dxfId="0" priority="43" operator="notEqual">
      <formula>VALUE(C28)</formula>
    </cfRule>
  </conditionalFormatting>
  <conditionalFormatting sqref="C29">
    <cfRule type="expression" dxfId="10" priority="42">
      <formula>ISBLANK(C29)</formula>
    </cfRule>
  </conditionalFormatting>
  <conditionalFormatting sqref="C8:O8 C10:O10 C12:O12 C14:O14 C16:O16 C31:O31 D35:O35 D37:O37 D25:O25 D39:O39 D41:O41">
    <cfRule type="cellIs" dxfId="0" priority="44" operator="notEqual">
      <formula>C7</formula>
    </cfRule>
  </conditionalFormatting>
  <conditionalFormatting sqref="C31">
    <cfRule type="expression" dxfId="10" priority="40">
      <formula>ISBLANK(C31)</formula>
    </cfRule>
  </conditionalFormatting>
  <conditionalFormatting sqref="C33">
    <cfRule type="cellIs" dxfId="0" priority="39" operator="notEqual">
      <formula>VALUE(C32)</formula>
    </cfRule>
  </conditionalFormatting>
  <conditionalFormatting sqref="C33">
    <cfRule type="expression" dxfId="10" priority="38">
      <formula>ISBLANK(C33)</formula>
    </cfRule>
  </conditionalFormatting>
  <conditionalFormatting sqref="C35">
    <cfRule type="cellIs" dxfId="0" priority="37" operator="notEqual">
      <formula>C34</formula>
    </cfRule>
  </conditionalFormatting>
  <conditionalFormatting sqref="C35">
    <cfRule type="expression" dxfId="10" priority="36">
      <formula>ISBLANK(C35)</formula>
    </cfRule>
  </conditionalFormatting>
  <conditionalFormatting sqref="C37">
    <cfRule type="cellIs" dxfId="0" priority="35" operator="notEqual">
      <formula>C36</formula>
    </cfRule>
  </conditionalFormatting>
  <conditionalFormatting sqref="C37">
    <cfRule type="expression" dxfId="10" priority="34">
      <formula>ISBLANK(C37)</formula>
    </cfRule>
  </conditionalFormatting>
  <conditionalFormatting sqref="C6">
    <cfRule type="expression" dxfId="10" priority="32">
      <formula>ISBLANK(C6)</formula>
    </cfRule>
    <cfRule type="cellIs" dxfId="0" priority="33" operator="notEqual">
      <formula>C5</formula>
    </cfRule>
  </conditionalFormatting>
  <conditionalFormatting sqref="C25">
    <cfRule type="cellIs" dxfId="0" priority="31" operator="notEqual">
      <formula>C24</formula>
    </cfRule>
  </conditionalFormatting>
  <conditionalFormatting sqref="C25">
    <cfRule type="expression" dxfId="10" priority="30">
      <formula>ISBLANK(C25)</formula>
    </cfRule>
  </conditionalFormatting>
  <conditionalFormatting sqref="C39">
    <cfRule type="cellIs" dxfId="0" priority="29" operator="notEqual">
      <formula>C38</formula>
    </cfRule>
  </conditionalFormatting>
  <conditionalFormatting sqref="C39">
    <cfRule type="expression" dxfId="10" priority="28">
      <formula>ISBLANK(C39)</formula>
    </cfRule>
  </conditionalFormatting>
  <conditionalFormatting sqref="C41">
    <cfRule type="cellIs" dxfId="0" priority="27" operator="notEqual">
      <formula>C40</formula>
    </cfRule>
  </conditionalFormatting>
  <conditionalFormatting sqref="C41">
    <cfRule type="expression" dxfId="10" priority="26">
      <formula>ISBLANK(C41)</formula>
    </cfRule>
  </conditionalFormatting>
  <conditionalFormatting sqref="C24:O41">
    <cfRule type="expression" dxfId="1" priority="25" stopIfTrue="1">
      <formula>OR(C$22="Free",C$22="Telenor",C$22="Mtel",C$22="Telenor&amp;Mtel")</formula>
    </cfRule>
  </conditionalFormatting>
  <conditionalFormatting sqref="F22:G22">
    <cfRule type="cellIs" dxfId="0" priority="24" operator="greaterThan">
      <formula>0</formula>
    </cfRule>
  </conditionalFormatting>
  <conditionalFormatting sqref="F21:G21">
    <cfRule type="expression" dxfId="1" priority="23">
      <formula>ISERROR(F21)</formula>
    </cfRule>
  </conditionalFormatting>
  <conditionalFormatting sqref="F21:G21">
    <cfRule type="cellIs" dxfId="1" priority="22" operator="equal">
      <formula>0</formula>
    </cfRule>
  </conditionalFormatting>
  <conditionalFormatting sqref="F21:G21">
    <cfRule type="cellIs" dxfId="3" priority="21" operator="greaterThan">
      <formula>0</formula>
    </cfRule>
  </conditionalFormatting>
  <conditionalFormatting sqref="C19">
    <cfRule type="cellIs" dxfId="1" priority="19" operator="equal">
      <formula>0</formula>
    </cfRule>
    <cfRule type="expression" dxfId="95" priority="20">
      <formula>ISERROR(C19)</formula>
    </cfRule>
  </conditionalFormatting>
  <conditionalFormatting sqref="D19:O19">
    <cfRule type="cellIs" dxfId="1" priority="17" operator="equal">
      <formula>0</formula>
    </cfRule>
    <cfRule type="expression" dxfId="95" priority="18">
      <formula>ISERROR(D19)</formula>
    </cfRule>
  </conditionalFormatting>
  <conditionalFormatting sqref="P22">
    <cfRule type="cellIs" dxfId="0" priority="11" operator="greaterThan">
      <formula>0</formula>
    </cfRule>
  </conditionalFormatting>
  <conditionalFormatting sqref="P21">
    <cfRule type="expression" dxfId="1" priority="10">
      <formula>ISERROR(P21)</formula>
    </cfRule>
  </conditionalFormatting>
  <conditionalFormatting sqref="P21">
    <cfRule type="cellIs" dxfId="1" priority="9" operator="equal">
      <formula>0</formula>
    </cfRule>
  </conditionalFormatting>
  <conditionalFormatting sqref="P21">
    <cfRule type="cellIs" dxfId="3" priority="8" operator="greaterThan">
      <formula>0</formula>
    </cfRule>
  </conditionalFormatting>
  <conditionalFormatting sqref="P27 P29 P33">
    <cfRule type="cellIs" dxfId="0" priority="7" operator="notEqual">
      <formula>VALUE(P26)</formula>
    </cfRule>
  </conditionalFormatting>
  <conditionalFormatting sqref="P8 P10 P12 P14 P16 P27 P29 P31 P33 P35 P37 P25 P39 P41">
    <cfRule type="expression" dxfId="10" priority="5">
      <formula>ISBLANK(P8)</formula>
    </cfRule>
  </conditionalFormatting>
  <conditionalFormatting sqref="P8 P10 P12 P14 P16 P31 P35 P37 P25 P39 P41">
    <cfRule type="cellIs" dxfId="0" priority="6" operator="notEqual">
      <formula>P7</formula>
    </cfRule>
  </conditionalFormatting>
  <conditionalFormatting sqref="P24:P41">
    <cfRule type="expression" dxfId="1" priority="4" stopIfTrue="1">
      <formula>OR(P$22="Free",P$22="Telenor",P$22="Mtel",P$22="Telenor&amp;Mtel")</formula>
    </cfRule>
  </conditionalFormatting>
  <conditionalFormatting sqref="P19">
    <cfRule type="cellIs" dxfId="1" priority="2" operator="equal">
      <formula>0</formula>
    </cfRule>
    <cfRule type="expression" dxfId="1" priority="3">
      <formula>ISERROR(P19)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1707D64C-BFE4-4284-BBED-7E3A6BE013F4}" sqref="C2" showErrorMessage="1" errorTitle="An invalid feedback was entered" error="Please choose feedback from drop down only.">
      <formula1>"1,2,3"</formula1>
    </dataValidation>
    <dataValidation type="list" xr:uid="{FE94D650-8FF8-4DA9-9AFA-C4125B3FE64E}" sqref="D2" showErrorMessage="1" errorTitle="An invalid feedback was entered" error="Please choose feedback from drop down only.">
      <formula1>"1,2,3"</formula1>
    </dataValidation>
    <dataValidation type="list" xr:uid="{EF8F6A14-2466-43E5-AE6C-88725D8A7100}" sqref="E2" showErrorMessage="1" errorTitle="An invalid feedback was entered" error="Please choose feedback from drop down only.">
      <formula1>"1,2,3"</formula1>
    </dataValidation>
    <dataValidation type="list" xr:uid="{AB62B998-2577-47B1-B917-03CB9E7B83B1}" sqref="F2" showErrorMessage="1" errorTitle="An invalid feedback was entered" error="Please choose feedback from drop down only.">
      <formula1>"1,2,3"</formula1>
    </dataValidation>
    <dataValidation type="list" xr:uid="{6D21932C-6912-4959-814F-83B599868ADE}" sqref="G2" showErrorMessage="1" errorTitle="An invalid feedback was entered" error="Please choose feedback from drop down only.">
      <formula1>"1,2,3"</formula1>
    </dataValidation>
    <dataValidation type="list" xr:uid="{3298C839-773E-4873-B9EB-FC5C6B98F46F}" sqref="H2" showErrorMessage="1" errorTitle="An invalid feedback was entered" error="Please choose feedback from drop down only.">
      <formula1>"1,2,3"</formula1>
    </dataValidation>
    <dataValidation type="list" xr:uid="{4DFD2424-454A-47E3-B573-1C97DD495E2A}" sqref="I2" showErrorMessage="1" errorTitle="An invalid feedback was entered" error="Please choose feedback from drop down only.">
      <formula1>"1,2,3"</formula1>
    </dataValidation>
    <dataValidation type="list" xr:uid="{6E475D01-C041-430F-A10E-85C9F1A1BC8D}" sqref="J2" showErrorMessage="1" errorTitle="An invalid feedback was entered" error="Please choose feedback from drop down only.">
      <formula1>"1,2,3"</formula1>
    </dataValidation>
    <dataValidation type="list" xr:uid="{12759781-5512-4666-AA2A-99AFFB058086}" sqref="K2" showErrorMessage="1" errorTitle="An invalid feedback was entered" error="Please choose feedback from drop down only.">
      <formula1>"1,2,3"</formula1>
    </dataValidation>
    <dataValidation type="list" xr:uid="{9D26332F-8188-4AF3-A81B-8070FEE771C1}" sqref="L2" showErrorMessage="1" errorTitle="An invalid feedback was entered" error="Please choose feedback from drop down only.">
      <formula1>"1,2,3"</formula1>
    </dataValidation>
    <dataValidation type="list" xr:uid="{42E42A95-720A-4F41-8A27-EA82DF12128E}" sqref="M2" showErrorMessage="1" errorTitle="An invalid feedback was entered" error="Please choose feedback from drop down only.">
      <formula1>"1,2,3"</formula1>
    </dataValidation>
    <dataValidation type="list" xr:uid="{62CE5AFD-76EF-43FA-B715-BF19AFF856A0}" sqref="N2" showErrorMessage="1" errorTitle="An invalid feedback was entered" error="Please choose feedback from drop down only.">
      <formula1>"1,2,3"</formula1>
    </dataValidation>
    <dataValidation type="list" xr:uid="{FF4C1CF4-5207-4580-8136-CC207F6FADFE}" sqref="O2" showErrorMessage="1" errorTitle="An invalid feedback was entered" error="Please choose feedback from drop down only.">
      <formula1>"1,2,3"</formula1>
    </dataValidation>
    <dataValidation type="list" xr:uid="{AC7A3F88-60DA-41A2-8A08-82B7395CD566}" sqref="P2" showErrorMessage="1" errorTitle="An invalid feedback was entered" error="Please choose feedback from drop down only.">
      <formula1>"1,2,3"</formula1>
    </dataValidation>
    <dataValidation type="list" xr:uid="{F56E96C9-343D-4B44-A235-65F57FD50C2B}" sqref="Q2" showErrorMessage="1" errorTitle="An invalid feedback was entered" error="Please choose feedback from drop down only.">
      <formula1>"1,2,3"</formula1>
    </dataValidation>
    <dataValidation type="list" xr:uid="{F0C748FC-539A-4069-960A-72F1335F8C02}" sqref="C17" showErrorMessage="1" errorTitle="An invalid feedback was entered" error="Please choose feedback from drop down only.">
      <formula1>"1-2,3-4,5-6,7-8,9-10,N/A"</formula1>
    </dataValidation>
    <dataValidation type="list" xr:uid="{FCC56DD7-B9D2-4423-89CE-421358F716F6}" sqref="D17" showErrorMessage="1" errorTitle="An invalid feedback was entered" error="Please choose feedback from drop down only.">
      <formula1>"1-2,3-4,5-6,7-8,9-10,N/A"</formula1>
    </dataValidation>
    <dataValidation type="list" xr:uid="{1EC04335-973B-4DB6-B442-BBE273C4727D}" sqref="E17" showErrorMessage="1" errorTitle="An invalid feedback was entered" error="Please choose feedback from drop down only.">
      <formula1>"1-2,3-4,5-6,7-8,9-10,N/A"</formula1>
    </dataValidation>
    <dataValidation type="list" xr:uid="{70A60ACC-367D-497B-B543-256DE651AFC6}" sqref="F17" showErrorMessage="1" errorTitle="An invalid feedback was entered" error="Please choose feedback from drop down only.">
      <formula1>"1-2,3-4,5-6,7-8,9-10,N/A"</formula1>
    </dataValidation>
    <dataValidation type="list" xr:uid="{702DCB10-3E89-41CB-B728-8BB367D51BB3}" sqref="G17" showErrorMessage="1" errorTitle="An invalid feedback was entered" error="Please choose feedback from drop down only.">
      <formula1>"1-2,3-4,5-6,7-8,9-10,N/A"</formula1>
    </dataValidation>
    <dataValidation type="list" xr:uid="{A78A1708-3E09-4F5A-9B29-6B5A3BEAE70B}" sqref="H17" showErrorMessage="1" errorTitle="An invalid feedback was entered" error="Please choose feedback from drop down only.">
      <formula1>"1-2,3-4,5-6,7-8,9-10,N/A"</formula1>
    </dataValidation>
    <dataValidation type="list" xr:uid="{DE1C7448-AAC3-44EA-B9F0-895A09D7E2A2}" sqref="I17" showErrorMessage="1" errorTitle="An invalid feedback was entered" error="Please choose feedback from drop down only.">
      <formula1>"1-2,3-4,5-6,7-8,9-10,N/A"</formula1>
    </dataValidation>
    <dataValidation type="list" xr:uid="{4C7E68D5-7708-424E-B6E7-6498DEB5108B}" sqref="J17" showErrorMessage="1" errorTitle="An invalid feedback was entered" error="Please choose feedback from drop down only.">
      <formula1>"1-2,3-4,5-6,7-8,9-10,N/A"</formula1>
    </dataValidation>
    <dataValidation type="list" xr:uid="{C0C60412-1CC1-4C61-BBF5-7297ABBD6468}" sqref="K17" showErrorMessage="1" errorTitle="An invalid feedback was entered" error="Please choose feedback from drop down only.">
      <formula1>"1-2,3-4,5-6,7-8,9-10,N/A"</formula1>
    </dataValidation>
    <dataValidation type="list" xr:uid="{1DCE9228-9870-44BD-94F0-373ECEA5B244}" sqref="L17" showErrorMessage="1" errorTitle="An invalid feedback was entered" error="Please choose feedback from drop down only.">
      <formula1>"1-2,3-4,5-6,7-8,9-10,N/A"</formula1>
    </dataValidation>
    <dataValidation type="list" xr:uid="{EB132D05-242A-4B04-B7EB-DE15D0022DEA}" sqref="M17" showErrorMessage="1" errorTitle="An invalid feedback was entered" error="Please choose feedback from drop down only.">
      <formula1>"1-2,3-4,5-6,7-8,9-10,N/A"</formula1>
    </dataValidation>
    <dataValidation type="list" xr:uid="{2411C5DE-DD00-4627-813B-1405442163CF}" sqref="N17" showErrorMessage="1" errorTitle="An invalid feedback was entered" error="Please choose feedback from drop down only.">
      <formula1>"1-2,3-4,5-6,7-8,9-10,N/A"</formula1>
    </dataValidation>
    <dataValidation type="list" xr:uid="{77750F68-13A8-47B2-891B-5E655D2FD56A}" sqref="O17" showErrorMessage="1" errorTitle="An invalid feedback was entered" error="Please choose feedback from drop down only.">
      <formula1>"1-2,3-4,5-6,7-8,9-10,N/A"</formula1>
    </dataValidation>
    <dataValidation type="list" xr:uid="{EA1DCD35-C151-4023-8C15-B959AF591F74}" sqref="P17" showErrorMessage="1" errorTitle="An invalid feedback was entered" error="Please choose feedback from drop down only.">
      <formula1>"1-2,3-4,5-6,7-8,9-10,N/A"</formula1>
    </dataValidation>
    <dataValidation type="list" xr:uid="{7806AB25-4DE4-48FB-AE82-6FC8AD1C1623}" sqref="Q17" showErrorMessage="1" errorTitle="An invalid feedback was entered" error="Please choose feedback from drop down only.">
      <formula1>"1-2,3-4,5-6,7-8,9-10,N/A"</formula1>
    </dataValidation>
    <dataValidation type="list" xr:uid="{EAF10E6E-C763-4D81-8C9F-DE991920A25D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0B01A38D-96D6-4ECC-8357-34FF00AC8C9A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314C32E1-9772-484D-8C28-3AA779F3ED20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F001F052-7741-4471-944E-686ED1BF80D3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FB5F4728-6C9E-4FD3-8E27-08216223870B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67A0D6AF-2D87-4C62-8766-B37AFEE5561E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0C0349CF-50A0-4A5E-BA17-CA662A3A6FBC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AD554A97-1807-461E-AA24-AF3E68BF3B8E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ECFF3D4D-CD81-48CB-B183-ED4302234D96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8B22412B-B8A0-414D-971E-503D5B9CF5C6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286AB081-7AFA-49E4-BD49-B7B5A3234124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35FB042D-9695-4F18-B61A-D85DE0B30DD0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A762DA8C-EE35-4182-932E-7FFB9F14B5D1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1EFDD8E8-800F-452D-B164-9C44AF7D2CDE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D1290D46-E8D6-4021-BF50-7EB234E72B62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6BA36D34-FF3C-439D-8F6C-CCD2FA2A7DEC}" sqref="C23" showErrorMessage="1" errorTitle="An invalid feedback was entered" error="Please choose feedback from drop down only.">
      <formula1>"Yetel,Bulsatcom,A1,Yetel&amp;A1,N/A"</formula1>
    </dataValidation>
    <dataValidation type="list" xr:uid="{A6F28DEF-8BAD-4EF9-8DE7-2C5F65AB0EEC}" sqref="D23" showErrorMessage="1" errorTitle="An invalid feedback was entered" error="Please choose feedback from drop down only.">
      <formula1>"Yetel,Bulsatcom,A1,Yetel&amp;A1,N/A"</formula1>
    </dataValidation>
    <dataValidation type="list" xr:uid="{4EF02064-9ACF-4475-BC5E-C66029BC8C3F}" sqref="E23" showErrorMessage="1" errorTitle="An invalid feedback was entered" error="Please choose feedback from drop down only.">
      <formula1>"Yetel,Bulsatcom,A1,Yetel&amp;A1,N/A"</formula1>
    </dataValidation>
    <dataValidation type="list" xr:uid="{8061F317-31D1-48C1-8EE5-6446A128B285}" sqref="F23" showErrorMessage="1" errorTitle="An invalid feedback was entered" error="Please choose feedback from drop down only.">
      <formula1>"Yetel,Bulsatcom,A1,Yetel&amp;A1,N/A"</formula1>
    </dataValidation>
    <dataValidation type="list" xr:uid="{23219049-1BD2-4270-8E74-1FA12488B087}" sqref="G23" showErrorMessage="1" errorTitle="An invalid feedback was entered" error="Please choose feedback from drop down only.">
      <formula1>"Yetel,Bulsatcom,A1,Yetel&amp;A1,N/A"</formula1>
    </dataValidation>
    <dataValidation type="list" xr:uid="{428CF88B-721C-4228-8004-E3893DEC0930}" sqref="H23" showErrorMessage="1" errorTitle="An invalid feedback was entered" error="Please choose feedback from drop down only.">
      <formula1>"Yetel,Bulsatcom,A1,Yetel&amp;A1,N/A"</formula1>
    </dataValidation>
    <dataValidation type="list" xr:uid="{5B36E233-4955-4473-A1B6-4FF425ABE28F}" sqref="I23" showErrorMessage="1" errorTitle="An invalid feedback was entered" error="Please choose feedback from drop down only.">
      <formula1>"Yetel,Bulsatcom,A1,Yetel&amp;A1,N/A"</formula1>
    </dataValidation>
    <dataValidation type="list" xr:uid="{754B9479-144A-436A-8290-509F5CBC890E}" sqref="J23" showErrorMessage="1" errorTitle="An invalid feedback was entered" error="Please choose feedback from drop down only.">
      <formula1>"Yetel,Bulsatcom,A1,Yetel&amp;A1,N/A"</formula1>
    </dataValidation>
    <dataValidation type="list" xr:uid="{CC213746-5B39-4D2B-A960-0463CFFDAEB5}" sqref="K23" showErrorMessage="1" errorTitle="An invalid feedback was entered" error="Please choose feedback from drop down only.">
      <formula1>"Yetel,Bulsatcom,A1,Yetel&amp;A1,N/A"</formula1>
    </dataValidation>
    <dataValidation type="list" xr:uid="{A7014FC3-CEA4-4129-BD34-4C898B45FE34}" sqref="L23" showErrorMessage="1" errorTitle="An invalid feedback was entered" error="Please choose feedback from drop down only.">
      <formula1>"Yetel,Bulsatcom,A1,Yetel&amp;A1,N/A"</formula1>
    </dataValidation>
    <dataValidation type="list" xr:uid="{334E84EC-9400-4526-9580-104A10872CDE}" sqref="M23" showErrorMessage="1" errorTitle="An invalid feedback was entered" error="Please choose feedback from drop down only.">
      <formula1>"Yetel,Bulsatcom,A1,Yetel&amp;A1,N/A"</formula1>
    </dataValidation>
    <dataValidation type="list" xr:uid="{6079A9C7-F2EF-4DF3-BAB1-7CE873C71844}" sqref="N23" showErrorMessage="1" errorTitle="An invalid feedback was entered" error="Please choose feedback from drop down only.">
      <formula1>"Yetel,Bulsatcom,A1,Yetel&amp;A1,N/A"</formula1>
    </dataValidation>
    <dataValidation type="list" xr:uid="{CB4D3CFE-3122-4B7D-976E-DF8D0D785D9B}" sqref="O23" showErrorMessage="1" errorTitle="An invalid feedback was entered" error="Please choose feedback from drop down only.">
      <formula1>"Yetel,Bulsatcom,A1,Yetel&amp;A1,N/A"</formula1>
    </dataValidation>
    <dataValidation type="list" xr:uid="{F9245BCE-A5DC-45F5-9AC0-1DD243C169E8}" sqref="P23" showErrorMessage="1" errorTitle="An invalid feedback was entered" error="Please choose feedback from drop down only.">
      <formula1>"Yetel,Bulsatcom,A1,Yetel&amp;A1,N/A"</formula1>
    </dataValidation>
    <dataValidation type="list" xr:uid="{B78918F3-6B7B-496D-B0F5-C54ACAA0200D}" sqref="Q23" showErrorMessage="1" errorTitle="An invalid feedback was entered" error="Please choose feedback from drop down only.">
      <formula1>"Yetel,Bulsatcom,A1,Yetel&amp;A1,N/A"</formula1>
    </dataValidation>
    <dataValidation type="list" xr:uid="{E136C401-3CC0-45B1-8288-F75868500CA5}" sqref="C31" showErrorMessage="1" errorTitle="An invalid feedback was entered" error="Please choose feedback from drop down only.">
      <formula1>"1/2,5/4,7/8,RRU TOP JUMPER,N/A"</formula1>
    </dataValidation>
    <dataValidation type="list" xr:uid="{7B26AE71-3BE5-4DC9-B720-3F42416ACBF2}" sqref="D31" showErrorMessage="1" errorTitle="An invalid feedback was entered" error="Please choose feedback from drop down only.">
      <formula1>"1/2,5/4,7/8,RRU TOP JUMPER,N/A"</formula1>
    </dataValidation>
    <dataValidation type="list" xr:uid="{814C2EF6-6A9B-4AF1-92B5-481359EC5B97}" sqref="E31" showErrorMessage="1" errorTitle="An invalid feedback was entered" error="Please choose feedback from drop down only.">
      <formula1>"1/2,5/4,7/8,RRU TOP JUMPER,N/A"</formula1>
    </dataValidation>
    <dataValidation type="list" xr:uid="{B39E6E76-A0A0-4DEE-933D-2127477AAE80}" sqref="F31" showErrorMessage="1" errorTitle="An invalid feedback was entered" error="Please choose feedback from drop down only.">
      <formula1>"1/2,5/4,7/8,RRU TOP JUMPER,N/A"</formula1>
    </dataValidation>
    <dataValidation type="list" xr:uid="{F99AC3AC-9CC6-4AC4-B3F6-10024462603F}" sqref="G31" showErrorMessage="1" errorTitle="An invalid feedback was entered" error="Please choose feedback from drop down only.">
      <formula1>"1/2,5/4,7/8,RRU TOP JUMPER,N/A"</formula1>
    </dataValidation>
    <dataValidation type="list" xr:uid="{874DE86E-97E6-48E9-8AAB-7C8F40556C78}" sqref="H31" showErrorMessage="1" errorTitle="An invalid feedback was entered" error="Please choose feedback from drop down only.">
      <formula1>"1/2,5/4,7/8,RRU TOP JUMPER,N/A"</formula1>
    </dataValidation>
    <dataValidation type="list" xr:uid="{37621AF6-51A3-469E-AA71-52302422DEE2}" sqref="I31" showErrorMessage="1" errorTitle="An invalid feedback was entered" error="Please choose feedback from drop down only.">
      <formula1>"1/2,5/4,7/8,RRU TOP JUMPER,N/A"</formula1>
    </dataValidation>
    <dataValidation type="list" xr:uid="{03FDDCF9-B14F-4807-A7BF-B9FF2D7AE09E}" sqref="J31" showErrorMessage="1" errorTitle="An invalid feedback was entered" error="Please choose feedback from drop down only.">
      <formula1>"1/2,5/4,7/8,RRU TOP JUMPER,N/A"</formula1>
    </dataValidation>
    <dataValidation type="list" xr:uid="{22C10CE1-02A8-4187-B184-B6B2FD51F77C}" sqref="K31" showErrorMessage="1" errorTitle="An invalid feedback was entered" error="Please choose feedback from drop down only.">
      <formula1>"1/2,5/4,7/8,RRU TOP JUMPER,N/A"</formula1>
    </dataValidation>
    <dataValidation type="list" xr:uid="{C3DF3B18-3428-4217-AAA9-A2E834140C85}" sqref="L31" showErrorMessage="1" errorTitle="An invalid feedback was entered" error="Please choose feedback from drop down only.">
      <formula1>"1/2,5/4,7/8,RRU TOP JUMPER,N/A"</formula1>
    </dataValidation>
    <dataValidation type="list" xr:uid="{874419F3-C372-40C8-A198-92F130A84086}" sqref="M31" showErrorMessage="1" errorTitle="An invalid feedback was entered" error="Please choose feedback from drop down only.">
      <formula1>"1/2,5/4,7/8,RRU TOP JUMPER,N/A"</formula1>
    </dataValidation>
    <dataValidation type="list" xr:uid="{F1C58F5A-E6BF-41EB-B484-D81DAE39A174}" sqref="N31" showErrorMessage="1" errorTitle="An invalid feedback was entered" error="Please choose feedback from drop down only.">
      <formula1>"1/2,5/4,7/8,RRU TOP JUMPER,N/A"</formula1>
    </dataValidation>
    <dataValidation type="list" xr:uid="{A1F0A924-8E76-47D1-BEBD-30B3FB74391B}" sqref="O31" showErrorMessage="1" errorTitle="An invalid feedback was entered" error="Please choose feedback from drop down only.">
      <formula1>"1/2,5/4,7/8,RRU TOP JUMPER,N/A"</formula1>
    </dataValidation>
    <dataValidation type="list" xr:uid="{693AF5A7-6122-4A0C-9DF9-FCC1C1DA716E}" sqref="P31" showErrorMessage="1" errorTitle="An invalid feedback was entered" error="Please choose feedback from drop down only.">
      <formula1>"1/2,5/4,7/8,RRU TOP JUMPER,N/A"</formula1>
    </dataValidation>
    <dataValidation type="list" xr:uid="{CB35644E-F214-415B-AC4A-E465C00A5F9D}" sqref="Q31" showErrorMessage="1" errorTitle="An invalid feedback was entered" error="Please choose feedback from drop down only.">
      <formula1>"1/2,5/4,7/8,RRU TOP JUMPER,N/A"</formula1>
    </dataValidation>
    <dataValidation type="list" xr:uid="{92382209-AF04-4ACE-B191-E04B356D719A}" sqref="C4" showErrorMessage="1" errorTitle="An invalid feedback was entered" error="Please choose feedback from drop down only.">
      <formula1>"1,2,3,4,5,6,N/A"</formula1>
    </dataValidation>
    <dataValidation type="list" xr:uid="{FEDE4CBB-9733-494B-AC2C-A9626073B881}" sqref="D4" showErrorMessage="1" errorTitle="An invalid feedback was entered" error="Please choose feedback from drop down only.">
      <formula1>"1,2,3,4,5,6,N/A"</formula1>
    </dataValidation>
    <dataValidation type="list" xr:uid="{791E9085-BC66-4195-A8E8-C687ECF9CF0F}" sqref="E4" showErrorMessage="1" errorTitle="An invalid feedback was entered" error="Please choose feedback from drop down only.">
      <formula1>"1,2,3,4,5,6,N/A"</formula1>
    </dataValidation>
    <dataValidation type="list" xr:uid="{693AF132-A30A-42E7-ABF7-CC48FF045AFE}" sqref="F4" showErrorMessage="1" errorTitle="An invalid feedback was entered" error="Please choose feedback from drop down only.">
      <formula1>"1,2,3,4,5,6,N/A"</formula1>
    </dataValidation>
    <dataValidation type="list" xr:uid="{BDCA5925-E909-4417-8E43-D79DC4F9F2AD}" sqref="G4" showErrorMessage="1" errorTitle="An invalid feedback was entered" error="Please choose feedback from drop down only.">
      <formula1>"1,2,3,4,5,6,N/A"</formula1>
    </dataValidation>
    <dataValidation type="list" xr:uid="{177A5DC9-6F70-4007-B328-3D14F04B33B3}" sqref="H4" showErrorMessage="1" errorTitle="An invalid feedback was entered" error="Please choose feedback from drop down only.">
      <formula1>"1,2,3,4,5,6,N/A"</formula1>
    </dataValidation>
    <dataValidation type="list" xr:uid="{B40EC177-A55E-416A-9C46-6EA803A49B0B}" sqref="I4" showErrorMessage="1" errorTitle="An invalid feedback was entered" error="Please choose feedback from drop down only.">
      <formula1>"1,2,3,4,5,6,N/A"</formula1>
    </dataValidation>
    <dataValidation type="list" xr:uid="{2E211276-E9D1-45D0-9779-9831D20D3D7B}" sqref="J4" showErrorMessage="1" errorTitle="An invalid feedback was entered" error="Please choose feedback from drop down only.">
      <formula1>"1,2,3,4,5,6,N/A"</formula1>
    </dataValidation>
    <dataValidation type="list" xr:uid="{0E7C3EC7-4B56-448F-99B1-E9394A0B2B6F}" sqref="K4" showErrorMessage="1" errorTitle="An invalid feedback was entered" error="Please choose feedback from drop down only.">
      <formula1>"1,2,3,4,5,6,N/A"</formula1>
    </dataValidation>
    <dataValidation type="list" xr:uid="{5F70FCD4-3932-42F7-A853-8A4AC08AE6CD}" sqref="L4" showErrorMessage="1" errorTitle="An invalid feedback was entered" error="Please choose feedback from drop down only.">
      <formula1>"1,2,3,4,5,6,N/A"</formula1>
    </dataValidation>
    <dataValidation type="list" xr:uid="{E440EB6E-1ECD-4229-B623-6ED9D7356241}" sqref="M4" showErrorMessage="1" errorTitle="An invalid feedback was entered" error="Please choose feedback from drop down only.">
      <formula1>"1,2,3,4,5,6,N/A"</formula1>
    </dataValidation>
    <dataValidation type="list" xr:uid="{F02C61C0-AE03-44C5-B5E5-967A4BC735B1}" sqref="N4" showErrorMessage="1" errorTitle="An invalid feedback was entered" error="Please choose feedback from drop down only.">
      <formula1>"1,2,3,4,5,6,N/A"</formula1>
    </dataValidation>
    <dataValidation type="list" xr:uid="{F91CDB00-9258-4EBE-B29B-E0217D2144AB}" sqref="O4" showErrorMessage="1" errorTitle="An invalid feedback was entered" error="Please choose feedback from drop down only.">
      <formula1>"1,2,3,4,5,6,N/A"</formula1>
    </dataValidation>
    <dataValidation type="list" xr:uid="{D8AECC93-4FFD-40B3-B974-4FCB5FFAABE7}" sqref="P4" showErrorMessage="1" errorTitle="An invalid feedback was entered" error="Please choose feedback from drop down only.">
      <formula1>"1,2,3,4,5,6,N/A"</formula1>
    </dataValidation>
    <dataValidation type="list" xr:uid="{DE292694-EEDF-43AC-B782-3990754BC9B5}" sqref="Q4" showErrorMessage="1" errorTitle="An invalid feedback was entered" error="Please choose feedback from drop down only.">
      <formula1>"1,2,3,4,5,6,N/A"</formula1>
    </dataValidation>
    <dataValidation type="list" xr:uid="{C82E81FD-8E0B-413D-A2B1-AC94DB309684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0C0FE00-6404-486A-A270-2BB44DF782B9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2A044FA-D9C3-4644-8961-4ED310303932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7D0879C-6413-4C46-89EB-350B121279FB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8CA8690-4BEC-476F-8497-E36FA7ABC73B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1CECB7E-37FB-4A4F-B5C7-8E452671E304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A562E7C-24E8-45A6-A6F0-018B9F61E5DF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B123320-2D90-46FA-B9B4-8FD79A000AD9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E603897-B997-4342-BD77-89CC9E498E97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58B1F10-A954-41D2-84CC-7C93651BAC01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FC1DB54-02C7-424C-9910-C334870582F7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3F4149D-D4D1-467A-820B-1BCEA8293589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DDF8BEB-760D-4D9A-841C-EAF099566CB3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534F2B1-D8DC-403E-A947-811049C97ECA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4FF0EBF-200B-41CF-8B89-98F62D6D9886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566306D-D31E-45C5-A80B-23661D58EF0C}" sqref="C28" showErrorMessage="1" errorTitle="An invalid feedback was entered" error="Please choose feedback from drop down only.">
      <formula1>"Yes,No,FlexRET"</formula1>
    </dataValidation>
    <dataValidation type="list" xr:uid="{EEED2DFF-E6A6-496B-B78F-40ACAD056D03}" sqref="D28" showErrorMessage="1" errorTitle="An invalid feedback was entered" error="Please choose feedback from drop down only.">
      <formula1>"Yes,No,FlexRET"</formula1>
    </dataValidation>
    <dataValidation type="list" xr:uid="{7A3BC219-BDBF-45E0-B02C-E7321FF65516}" sqref="E28" showErrorMessage="1" errorTitle="An invalid feedback was entered" error="Please choose feedback from drop down only.">
      <formula1>"Yes,No,FlexRET"</formula1>
    </dataValidation>
    <dataValidation type="list" xr:uid="{75A84AEF-8EB0-4644-98EC-B344B2E43514}" sqref="F28" showErrorMessage="1" errorTitle="An invalid feedback was entered" error="Please choose feedback from drop down only.">
      <formula1>"Yes,No,FlexRET"</formula1>
    </dataValidation>
    <dataValidation type="list" xr:uid="{81269126-957E-4DE7-A91C-54DEA52F79D0}" sqref="G28" showErrorMessage="1" errorTitle="An invalid feedback was entered" error="Please choose feedback from drop down only.">
      <formula1>"Yes,No,FlexRET"</formula1>
    </dataValidation>
    <dataValidation type="list" xr:uid="{7B5560FD-830C-4088-9E9C-758E4FD45B71}" sqref="H28" showErrorMessage="1" errorTitle="An invalid feedback was entered" error="Please choose feedback from drop down only.">
      <formula1>"Yes,No,FlexRET"</formula1>
    </dataValidation>
    <dataValidation type="list" xr:uid="{AE71BA35-B1C7-44BF-A600-2A2D863EE356}" sqref="I28" showErrorMessage="1" errorTitle="An invalid feedback was entered" error="Please choose feedback from drop down only.">
      <formula1>"Yes,No,FlexRET"</formula1>
    </dataValidation>
    <dataValidation type="list" xr:uid="{FFCE9C4C-FC75-447D-A3CA-D8F8CBC4F606}" sqref="J28" showErrorMessage="1" errorTitle="An invalid feedback was entered" error="Please choose feedback from drop down only.">
      <formula1>"Yes,No,FlexRET"</formula1>
    </dataValidation>
    <dataValidation type="list" xr:uid="{D4EB8875-5DC4-4360-BFDA-67DFEE7E2EB2}" sqref="K28" showErrorMessage="1" errorTitle="An invalid feedback was entered" error="Please choose feedback from drop down only.">
      <formula1>"Yes,No,FlexRET"</formula1>
    </dataValidation>
    <dataValidation type="list" xr:uid="{5935B414-D904-4153-A214-D6B229A87C47}" sqref="L28" showErrorMessage="1" errorTitle="An invalid feedback was entered" error="Please choose feedback from drop down only.">
      <formula1>"Yes,No,FlexRET"</formula1>
    </dataValidation>
    <dataValidation type="list" xr:uid="{24EFD3C3-0847-4CDC-85A3-768DD6E2C018}" sqref="M28" showErrorMessage="1" errorTitle="An invalid feedback was entered" error="Please choose feedback from drop down only.">
      <formula1>"Yes,No,FlexRET"</formula1>
    </dataValidation>
    <dataValidation type="list" xr:uid="{F8A8B723-D781-4F87-BFBD-2F4B402DDBD7}" sqref="N28" showErrorMessage="1" errorTitle="An invalid feedback was entered" error="Please choose feedback from drop down only.">
      <formula1>"Yes,No,FlexRET"</formula1>
    </dataValidation>
    <dataValidation type="list" xr:uid="{B5B26D76-58B1-4D0C-9F59-8805A656B78A}" sqref="O28" showErrorMessage="1" errorTitle="An invalid feedback was entered" error="Please choose feedback from drop down only.">
      <formula1>"Yes,No,FlexRET"</formula1>
    </dataValidation>
    <dataValidation type="list" xr:uid="{CACAFA0C-0273-491B-8109-8F2565C935FE}" sqref="P28" showErrorMessage="1" errorTitle="An invalid feedback was entered" error="Please choose feedback from drop down only.">
      <formula1>"Yes,No,FlexRET"</formula1>
    </dataValidation>
    <dataValidation type="list" xr:uid="{C555F161-F7BD-4027-BA99-5A9B771536D6}" sqref="Q28" showErrorMessage="1" errorTitle="An invalid feedback was entered" error="Please choose feedback from drop down only.">
      <formula1>"Yes,No,FlexRET"</formula1>
    </dataValidation>
    <dataValidation type="list" xr:uid="{080CDAAB-A122-4482-8327-BA2E0411DD1F}" sqref="C29" showErrorMessage="1" errorTitle="An invalid feedback was entered" error="Please choose feedback from drop down only.">
      <formula1>"Yes,No,FlexRET"</formula1>
    </dataValidation>
    <dataValidation type="list" xr:uid="{85C23F40-D2BF-48D7-9A13-FBC6F53B0A18}" sqref="D29" showErrorMessage="1" errorTitle="An invalid feedback was entered" error="Please choose feedback from drop down only.">
      <formula1>"Yes,No,FlexRET"</formula1>
    </dataValidation>
    <dataValidation type="list" xr:uid="{375C2F28-F832-47E9-A7CF-53F5C26B07E7}" sqref="E29" showErrorMessage="1" errorTitle="An invalid feedback was entered" error="Please choose feedback from drop down only.">
      <formula1>"Yes,No,FlexRET"</formula1>
    </dataValidation>
    <dataValidation type="list" xr:uid="{48CDE137-28B1-4582-A1C4-33334BC02503}" sqref="F29" showErrorMessage="1" errorTitle="An invalid feedback was entered" error="Please choose feedback from drop down only.">
      <formula1>"Yes,No,FlexRET"</formula1>
    </dataValidation>
    <dataValidation type="list" xr:uid="{2D66D9EF-6D1E-4BCE-9B62-BF3FB4FA264D}" sqref="G29" showErrorMessage="1" errorTitle="An invalid feedback was entered" error="Please choose feedback from drop down only.">
      <formula1>"Yes,No,FlexRET"</formula1>
    </dataValidation>
    <dataValidation type="list" xr:uid="{9B4928C8-4295-45B3-B513-B7DAFE6549E3}" sqref="H29" showErrorMessage="1" errorTitle="An invalid feedback was entered" error="Please choose feedback from drop down only.">
      <formula1>"Yes,No,FlexRET"</formula1>
    </dataValidation>
    <dataValidation type="list" xr:uid="{EDA8FB4D-21BE-4D9B-AD09-F0959BBAF736}" sqref="I29" showErrorMessage="1" errorTitle="An invalid feedback was entered" error="Please choose feedback from drop down only.">
      <formula1>"Yes,No,FlexRET"</formula1>
    </dataValidation>
    <dataValidation type="list" xr:uid="{57AFDFED-BAC3-4A77-B1CC-6D6A0BBFF7F1}" sqref="J29" showErrorMessage="1" errorTitle="An invalid feedback was entered" error="Please choose feedback from drop down only.">
      <formula1>"Yes,No,FlexRET"</formula1>
    </dataValidation>
    <dataValidation type="list" xr:uid="{0870868D-F879-4067-99F1-15DA81AF2B3A}" sqref="K29" showErrorMessage="1" errorTitle="An invalid feedback was entered" error="Please choose feedback from drop down only.">
      <formula1>"Yes,No,FlexRET"</formula1>
    </dataValidation>
    <dataValidation type="list" xr:uid="{985CA1EA-F0DB-419B-87FC-873452BB8F54}" sqref="L29" showErrorMessage="1" errorTitle="An invalid feedback was entered" error="Please choose feedback from drop down only.">
      <formula1>"Yes,No,FlexRET"</formula1>
    </dataValidation>
    <dataValidation type="list" xr:uid="{6AC64F86-9126-4CDE-AC12-8D1418DA72B2}" sqref="M29" showErrorMessage="1" errorTitle="An invalid feedback was entered" error="Please choose feedback from drop down only.">
      <formula1>"Yes,No,FlexRET"</formula1>
    </dataValidation>
    <dataValidation type="list" xr:uid="{F4160C8D-7CA6-4A50-BD94-0CD53FFC6FE0}" sqref="N29" showErrorMessage="1" errorTitle="An invalid feedback was entered" error="Please choose feedback from drop down only.">
      <formula1>"Yes,No,FlexRET"</formula1>
    </dataValidation>
    <dataValidation type="list" xr:uid="{1ACDFD79-589D-4C37-994B-4925D75364B5}" sqref="O29" showErrorMessage="1" errorTitle="An invalid feedback was entered" error="Please choose feedback from drop down only.">
      <formula1>"Yes,No,FlexRET"</formula1>
    </dataValidation>
    <dataValidation type="list" xr:uid="{7F9B5A10-14C7-4088-8EFC-E9159769B2E4}" sqref="P29" showErrorMessage="1" errorTitle="An invalid feedback was entered" error="Please choose feedback from drop down only.">
      <formula1>"Yes,No,FlexRET"</formula1>
    </dataValidation>
    <dataValidation type="list" xr:uid="{F4D851B2-42E8-40D3-9FEA-59FEA5077DCF}" sqref="Q29" showErrorMessage="1" errorTitle="An invalid feedback was entered" error="Please choose feedback from drop down only.">
      <formula1>"Yes,No,FlexRET"</formula1>
    </dataValidation>
    <dataValidation type="list" xr:uid="{DD064090-C159-4CE3-875C-1CF43DDAA64C}" sqref="C25" showErrorMessage="1" errorTitle="An invalid feedback was entered" error="Please choose feedback from drop down only.">
      <formula1>"G,U,L,NR,GU,UL,GL,GUL,LNR,ULNR,None"</formula1>
    </dataValidation>
    <dataValidation type="list" xr:uid="{96CA747D-5797-413D-A276-5E55CDDF84A2}" sqref="D25" showErrorMessage="1" errorTitle="An invalid feedback was entered" error="Please choose feedback from drop down only.">
      <formula1>"G,U,L,NR,GU,UL,GL,GUL,LNR,ULNR,None"</formula1>
    </dataValidation>
    <dataValidation type="list" xr:uid="{EE989C2D-85E5-4BFD-B051-3662ADF76C98}" sqref="E25" showErrorMessage="1" errorTitle="An invalid feedback was entered" error="Please choose feedback from drop down only.">
      <formula1>"G,U,L,NR,GU,UL,GL,GUL,LNR,ULNR,None"</formula1>
    </dataValidation>
    <dataValidation type="list" xr:uid="{3F2149D7-382F-42EE-95D3-2AFE954D4DCF}" sqref="F25" showErrorMessage="1" errorTitle="An invalid feedback was entered" error="Please choose feedback from drop down only.">
      <formula1>"G,U,L,NR,GU,UL,GL,GUL,LNR,ULNR,None"</formula1>
    </dataValidation>
    <dataValidation type="list" xr:uid="{B801D59F-332B-4BD4-B6D4-38A62BA2AE9E}" sqref="G25" showErrorMessage="1" errorTitle="An invalid feedback was entered" error="Please choose feedback from drop down only.">
      <formula1>"G,U,L,NR,GU,UL,GL,GUL,LNR,ULNR,None"</formula1>
    </dataValidation>
    <dataValidation type="list" xr:uid="{23D15A45-B0E8-407C-B582-1138AF51DCB6}" sqref="H25" showErrorMessage="1" errorTitle="An invalid feedback was entered" error="Please choose feedback from drop down only.">
      <formula1>"G,U,L,NR,GU,UL,GL,GUL,LNR,ULNR,None"</formula1>
    </dataValidation>
    <dataValidation type="list" xr:uid="{109A1F99-A7BB-45E6-A817-A32DB3C1C4F2}" sqref="I25" showErrorMessage="1" errorTitle="An invalid feedback was entered" error="Please choose feedback from drop down only.">
      <formula1>"G,U,L,NR,GU,UL,GL,GUL,LNR,ULNR,None"</formula1>
    </dataValidation>
    <dataValidation type="list" xr:uid="{0971EE83-FAE0-4A5E-BDAC-0B16AB77184C}" sqref="J25" showErrorMessage="1" errorTitle="An invalid feedback was entered" error="Please choose feedback from drop down only.">
      <formula1>"G,U,L,NR,GU,UL,GL,GUL,LNR,ULNR,None"</formula1>
    </dataValidation>
    <dataValidation type="list" xr:uid="{D4A2C183-02D7-4BD5-A2B3-06920B586C88}" sqref="K25" showErrorMessage="1" errorTitle="An invalid feedback was entered" error="Please choose feedback from drop down only.">
      <formula1>"G,U,L,NR,GU,UL,GL,GUL,LNR,ULNR,None"</formula1>
    </dataValidation>
    <dataValidation type="list" xr:uid="{7D95B4C7-34F3-4F5D-9090-BC57C0D9D375}" sqref="L25" showErrorMessage="1" errorTitle="An invalid feedback was entered" error="Please choose feedback from drop down only.">
      <formula1>"G,U,L,NR,GU,UL,GL,GUL,LNR,ULNR,None"</formula1>
    </dataValidation>
    <dataValidation type="list" xr:uid="{4F166322-3F81-431B-AEED-CF6496DA3FA2}" sqref="M25" showErrorMessage="1" errorTitle="An invalid feedback was entered" error="Please choose feedback from drop down only.">
      <formula1>"G,U,L,NR,GU,UL,GL,GUL,LNR,ULNR,None"</formula1>
    </dataValidation>
    <dataValidation type="list" xr:uid="{E9AC684F-9F61-48D1-A479-E45D99E66A03}" sqref="N25" showErrorMessage="1" errorTitle="An invalid feedback was entered" error="Please choose feedback from drop down only.">
      <formula1>"G,U,L,NR,GU,UL,GL,GUL,LNR,ULNR,None"</formula1>
    </dataValidation>
    <dataValidation type="list" xr:uid="{38CB53E1-D3B8-4B3C-9891-610251B13FA0}" sqref="O25" showErrorMessage="1" errorTitle="An invalid feedback was entered" error="Please choose feedback from drop down only.">
      <formula1>"G,U,L,NR,GU,UL,GL,GUL,LNR,ULNR,None"</formula1>
    </dataValidation>
    <dataValidation type="list" xr:uid="{7023EAEB-A510-44EF-90CB-983C99FB1580}" sqref="P25" showErrorMessage="1" errorTitle="An invalid feedback was entered" error="Please choose feedback from drop down only.">
      <formula1>"G,U,L,NR,GU,UL,GL,GUL,LNR,ULNR,None"</formula1>
    </dataValidation>
    <dataValidation type="list" xr:uid="{E49D313B-856E-407A-BA4F-67E48BD5D557}" sqref="Q25" showErrorMessage="1" errorTitle="An invalid feedback was entered" error="Please choose feedback from drop down only.">
      <formula1>"G,U,L,NR,GU,UL,GL,GUL,LNR,ULNR,None"</formula1>
    </dataValidation>
    <dataValidation type="list" xr:uid="{1A007154-5C0A-4AF8-8335-A673E83B01D1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7B3D8BC-4C2A-4F2F-9CE3-B8673ABCF356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28EB8A3-263A-483D-94D9-1C47E0482D23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4423C4E-3341-4F3E-9C3E-768A6354A057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0556037-8EA1-472F-BBBB-3A016180C1C3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B7E642E-36D0-4F21-8781-766088E6830A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E064290-8502-4E01-B22C-FB96C3A64572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D46B650-3216-4E2C-9E4F-AE4BED3F1A67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E57F406-1730-4DD1-BF75-3479C81F4F21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31BB2C5-562D-40D0-8DF5-EC5E568520BE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6BCCF23-EDA6-4D09-8FD2-F865F0F597CA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DF6A793-863A-4048-8335-768CDA45B8F9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43F4B23-F831-438F-88D9-53CA41F7B328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A8C976C-DC66-4567-958B-73ACC7E7BFAF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5CC50C4-1956-466C-B393-7FC2BF965170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7" right="0.7" top="0.75" bottom="0.75" header="0.3" footer="0.3"/>
  <pageSetup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1B7ADF0A-CA54-4ED3-B85F-4D144C39A7C7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9EED9280-DC8C-42AD-9578-B0614A778D8C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D0F330B2-2282-4D66-BD21-A08F72F43E20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254E1F68-9BC0-4FAD-8088-1BDAECE88B75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5CCB1FA5-427B-40B7-A551-E042AB6EC7CB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6DF84759-0AE1-4C18-86FC-87E7B57E2670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1AFE21B6-B06E-4CAE-B10D-AF770A55E415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08170730-F164-42BA-850F-325A8BC4F4AD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6E8D2F20-94D1-46B4-A2D2-CD1920A0BE31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05172BC7-71E2-4A6D-A637-E0F0D9793CDA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505462D1-EA88-4BB1-9439-30528A418590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CAA94376-0A97-4B66-A5C7-17DCAD6F5F88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E6E82B1A-8B42-43BA-B817-B9EF58419143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F2A383F5-9309-493A-872A-8C0D8BC58380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A6244105-75C5-4305-9016-E64714430438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790C3BBE-1CEB-4205-8004-02872C70128F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EA8E18BB-9E92-4A52-91BD-3D9590F3CDF2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831AA6E5-24E3-4F1B-994D-32A66401C95C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4F59B586-998F-45E8-87D7-88AABD14745D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CB4DEB02-C3E1-45B1-AC95-3A9311DB2C90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49E3A587-426F-4CF0-827C-E4829D8BD228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4E54EBE8-B7F7-4EAE-8709-CCC3ABB68DC7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4270BC6C-4037-4702-8A74-B17AB802170B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1183EDDA-E7C6-48D8-91CB-CC5CC50293BA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0F2ACF51-812C-4BB1-A76B-914DA7118971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BB3E23E1-A94F-466F-93E0-447C8A5585B9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E91E12C1-2C36-47E9-A994-7FA8A47037AA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83355085-4B5B-457E-89D4-7E2F1D2F1890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12F10990-B3BE-4410-9F22-DF3F652694CA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904C28F8-978B-436E-B1E0-7668AC648E32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4AD11F96-7205-40EA-8B6E-F4A7275A0F67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1E244BEC-F1F1-4FCC-BBBE-C056D73F2AE0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0A5AF30E-CC0F-4AF5-A44C-9DCDC05F4F01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20740B74-7BD2-4C4A-9B2F-5B929AFD073A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7A2AFFD8-E2CD-4B80-A1A2-940894FB5EE8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5D9C4519-5870-427B-B416-F42A45672A00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8209CF79-8775-4AB9-AF77-6EFB84D20611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359597BA-F8E6-41FF-B8DF-9AC15BD7C4A1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526420B5-EC8D-4388-BBA3-080FF3D98271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F5E0F4B8-6330-4A86-A35A-819B7303421F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B45775E9-EA12-40B6-B556-20A727CF98CB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CBDE5966-0008-476A-9857-46BDB48A5521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C8E28E78-2775-4465-BE58-B5952081AEBC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024932D4-C5AB-45A6-B672-CB6EBA077768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D1D38584-49E4-460C-AAAC-0D48CE453256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8FD73DA6-FFCC-409B-A2CE-EEF561D9F4F3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2067B259-A9E9-4F1A-ADA3-E440B73194B3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9F11C37E-FEC1-410B-A7BD-707869985EC3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3A8C0A6B-4B54-4F8E-8ED8-B40E6E55D7BF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5B5A6F86-A9C9-4774-B440-0AADE440FA69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95738B0C-B76B-48D7-8006-A94BC4BE786C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6DCDB04B-C053-4CD4-8DED-BD322AA5DB95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71AE640B-817F-43AC-B98F-85EED79FBE02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878C0635-5B6F-4366-9D94-565BEC9397F3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7B5E0B5B-AD2B-4679-91B9-18248FF1F7EF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07F61389-79BA-486B-B2F9-7B546A148725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91CA3BD1-217A-4F08-AAD7-90720CF10782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929DBD03-148F-4654-B41B-80007725DD73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F43BF4F0-7A98-4E0A-9188-538D4DF988C9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AEF61EAA-8100-4E28-AF44-CC5025D92E70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9"/>
  <dimension ref="A1:U45"/>
  <sheetViews>
    <sheetView zoomScale="90" zoomScaleNormal="90" workbookViewId="0">
      <selection activeCell="C8" sqref="C8:H8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/>
      <c r="B1" s="198"/>
      <c r="C1" s="258" t="s">
        <v>115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8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11"/>
      <c r="D3" s="212"/>
      <c r="E3" s="212"/>
      <c r="F3" s="212"/>
      <c r="G3" s="212"/>
      <c r="H3" s="212"/>
      <c r="I3" s="212"/>
      <c r="J3" s="212"/>
      <c r="K3" s="212"/>
      <c r="L3" s="212"/>
      <c r="M3" s="212"/>
      <c r="N3" s="212"/>
      <c r="O3" s="212"/>
      <c r="P3" s="213"/>
    </row>
    <row r="4" ht="25.15" s="22" customFormat="1">
      <c r="A4" s="241"/>
      <c r="B4" s="9" t="s">
        <v>3</v>
      </c>
      <c r="C4" s="270"/>
      <c r="D4" s="271"/>
      <c r="E4" s="271"/>
      <c r="F4" s="271"/>
      <c r="G4" s="271"/>
      <c r="H4" s="271"/>
      <c r="I4" s="271"/>
      <c r="J4" s="271"/>
      <c r="K4" s="271"/>
      <c r="L4" s="271"/>
      <c r="M4" s="271"/>
      <c r="N4" s="271"/>
      <c r="O4" s="271"/>
      <c r="P4" s="272"/>
    </row>
    <row r="5" ht="24.75">
      <c r="A5" s="241"/>
      <c r="B5" s="13" t="s">
        <v>4</v>
      </c>
      <c r="C5" s="263"/>
      <c r="D5" s="264"/>
      <c r="E5" s="264"/>
      <c r="F5" s="264"/>
      <c r="G5" s="264"/>
      <c r="H5" s="264"/>
      <c r="I5" s="264"/>
      <c r="J5" s="264"/>
      <c r="K5" s="264"/>
      <c r="L5" s="264"/>
      <c r="M5" s="264"/>
      <c r="N5" s="264"/>
      <c r="O5" s="264"/>
      <c r="P5" s="265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4"/>
    </row>
    <row r="8" ht="17.65" s="22" customFormat="1">
      <c r="A8" s="241"/>
      <c r="B8" s="9" t="s">
        <v>8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95"/>
    </row>
    <row r="9" ht="17.25">
      <c r="A9" s="241"/>
      <c r="B9" s="8" t="s">
        <v>9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94"/>
    </row>
    <row r="10" ht="17.65" s="22" customFormat="1">
      <c r="A10" s="241"/>
      <c r="B10" s="10" t="s">
        <v>11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95"/>
    </row>
    <row r="11" ht="17.25">
      <c r="A11" s="241"/>
      <c r="B11" s="8" t="s">
        <v>12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94"/>
    </row>
    <row r="12" ht="17.65" s="22" customFormat="1">
      <c r="A12" s="241"/>
      <c r="B12" s="10" t="s">
        <v>13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95"/>
    </row>
    <row r="13" ht="17.25">
      <c r="A13" s="241"/>
      <c r="B13" s="8" t="s">
        <v>14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94"/>
    </row>
    <row r="14" ht="17.65" s="22" customFormat="1">
      <c r="A14" s="241"/>
      <c r="B14" s="10" t="s">
        <v>15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96"/>
    </row>
    <row r="15" ht="17.25">
      <c r="A15" s="241"/>
      <c r="B15" s="8" t="s">
        <v>16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97"/>
    </row>
    <row r="16" ht="17.25" s="22" customFormat="1">
      <c r="A16" s="241"/>
      <c r="B16" s="68" t="s">
        <v>17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98"/>
    </row>
    <row r="17" ht="17.25">
      <c r="A17" s="256"/>
      <c r="B17" s="70" t="s">
        <v>18</v>
      </c>
      <c r="C17" s="63" t="s">
        <v>19</v>
      </c>
      <c r="D17" s="64" t="s">
        <v>20</v>
      </c>
      <c r="E17" s="64" t="s">
        <v>21</v>
      </c>
      <c r="F17" s="64" t="s">
        <v>22</v>
      </c>
      <c r="G17" s="64" t="s">
        <v>23</v>
      </c>
      <c r="H17" s="65" t="s">
        <v>24</v>
      </c>
      <c r="I17" s="63" t="s">
        <v>19</v>
      </c>
      <c r="J17" s="64" t="s">
        <v>20</v>
      </c>
      <c r="K17" s="64" t="s">
        <v>21</v>
      </c>
      <c r="L17" s="65" t="s">
        <v>22</v>
      </c>
      <c r="M17" s="63" t="s">
        <v>19</v>
      </c>
      <c r="N17" s="64" t="s">
        <v>20</v>
      </c>
      <c r="O17" s="65" t="s">
        <v>21</v>
      </c>
      <c r="P17" s="76" t="s">
        <v>19</v>
      </c>
    </row>
    <row r="18" ht="17.25">
      <c r="A18" s="256"/>
      <c r="B18" s="70" t="s">
        <v>25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30</v>
      </c>
      <c r="C19" s="105">
        <f>VLOOKUP(C8,AntennasPortName!A:H,2,FALSE)</f>
      </c>
      <c r="D19" s="105">
        <f>VLOOKUP(C8,AntennasPortName!A:H,3,FALSE)</f>
      </c>
      <c r="E19" s="105">
        <f>VLOOKUP(C8,AntennasPortName!A:H,4,FALSE)</f>
      </c>
      <c r="F19" s="105">
        <f>VLOOKUP(C8,AntennasPortName!A:H,5,FALSE)</f>
      </c>
      <c r="G19" s="105">
        <f>VLOOKUP(C8,AntennasPortName!A:H,6,FALSE)</f>
      </c>
      <c r="H19" s="105">
        <f>VLOOKUP(C8,AntennasPortName!A:H,7,FALSE)</f>
      </c>
      <c r="I19" s="105">
        <f>VLOOKUP(I8,AntennasPortName!A:H,2,FALSE)</f>
      </c>
      <c r="J19" s="105">
        <f>VLOOKUP(I8,AntennasPortName!A:H,3,FALSE)</f>
      </c>
      <c r="K19" s="105">
        <f>VLOOKUP(I8,AntennasPortName!A:H,4,FALSE)</f>
      </c>
      <c r="L19" s="105">
        <f>VLOOKUP(I8,AntennasPortName!A:H,5,FALSE)</f>
      </c>
      <c r="M19" s="105">
        <f>VLOOKUP(M8,AntennasPortName!A:H,2,FALSE)</f>
      </c>
      <c r="N19" s="105">
        <f>VLOOKUP(M8,AntennasPortName!A:H,3,FALSE)</f>
      </c>
      <c r="O19" s="105">
        <f>VLOOKUP(M8,AntennasPortName!A:H,4,FALSE)</f>
      </c>
      <c r="P19" s="105">
        <f>VLOOKUP(P8,AntennasPortName!A:H,2,FALSE)</f>
      </c>
      <c r="Q19" s="106"/>
    </row>
    <row r="20" ht="17.25">
      <c r="A20" s="241"/>
      <c r="B20" s="69" t="s">
        <v>31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34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35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36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37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41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42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43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44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45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46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48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49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50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51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55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56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58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59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61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62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63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64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C3:P3"/>
    <mergeCell ref="C4:P4"/>
    <mergeCell ref="C5:P5"/>
    <mergeCell ref="C6:P6"/>
    <mergeCell ref="B42:P45"/>
    <mergeCell ref="M15:O15"/>
    <mergeCell ref="M16:O16"/>
    <mergeCell ref="M13:O13"/>
    <mergeCell ref="M14:O14"/>
    <mergeCell ref="M11:O11"/>
    <mergeCell ref="M12:O12"/>
    <mergeCell ref="C9:H9"/>
    <mergeCell ref="I9:L9"/>
    <mergeCell ref="M9:O9"/>
    <mergeCell ref="C10:H10"/>
    <mergeCell ref="I10:L10"/>
    <mergeCell ref="A34:A35"/>
    <mergeCell ref="A36:A41"/>
    <mergeCell ref="A42:A45"/>
    <mergeCell ref="C15:H15"/>
    <mergeCell ref="I15:L15"/>
    <mergeCell ref="C16:H16"/>
    <mergeCell ref="I16:L16"/>
    <mergeCell ref="A3:A33"/>
    <mergeCell ref="C13:H13"/>
    <mergeCell ref="I13:L13"/>
    <mergeCell ref="C14:H14"/>
    <mergeCell ref="I14:L14"/>
    <mergeCell ref="C11:H11"/>
    <mergeCell ref="I11:L11"/>
    <mergeCell ref="C12:H12"/>
    <mergeCell ref="I12:L12"/>
    <mergeCell ref="M10:O10"/>
    <mergeCell ref="C7:H7"/>
    <mergeCell ref="I7:L7"/>
    <mergeCell ref="M7:O7"/>
    <mergeCell ref="C8:H8"/>
    <mergeCell ref="I8:L8"/>
    <mergeCell ref="M8:O8"/>
    <mergeCell ref="A1:B1"/>
    <mergeCell ref="C2:H2"/>
    <mergeCell ref="I2:L2"/>
    <mergeCell ref="M2:O2"/>
    <mergeCell ref="C1:P1"/>
  </mergeCells>
  <conditionalFormatting sqref="C22:E22 C4 H22:O22">
    <cfRule type="cellIs" dxfId="0" priority="47" operator="greaterThan">
      <formula>0</formula>
    </cfRule>
  </conditionalFormatting>
  <conditionalFormatting sqref="C21:E21 H21:O21">
    <cfRule type="expression" dxfId="1" priority="46">
      <formula>ISERROR(C21)</formula>
    </cfRule>
  </conditionalFormatting>
  <conditionalFormatting sqref="C21:E21 H21:O21">
    <cfRule type="cellIs" dxfId="1" priority="45" operator="equal">
      <formula>0</formula>
    </cfRule>
  </conditionalFormatting>
  <conditionalFormatting sqref="C21:E21 H21:O21">
    <cfRule type="cellIs" dxfId="3" priority="44" operator="greaterThan">
      <formula>0</formula>
    </cfRule>
  </conditionalFormatting>
  <conditionalFormatting sqref="C27:O27 D29:O29 D33:O33">
    <cfRule type="cellIs" dxfId="0" priority="43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39">
      <formula>ISBLANK(C8)</formula>
    </cfRule>
  </conditionalFormatting>
  <conditionalFormatting sqref="C29">
    <cfRule type="cellIs" dxfId="0" priority="41" operator="notEqual">
      <formula>VALUE(C28)</formula>
    </cfRule>
  </conditionalFormatting>
  <conditionalFormatting sqref="C29">
    <cfRule type="expression" dxfId="10" priority="40">
      <formula>ISBLANK(C29)</formula>
    </cfRule>
  </conditionalFormatting>
  <conditionalFormatting sqref="C8:O8 C10:O10 C12:O12 C14:O14 C16:O16 C31:O31 D35:O35 D37:O37 D25:O25 D39:O39 D41:O41">
    <cfRule type="cellIs" dxfId="0" priority="42" operator="notEqual">
      <formula>C7</formula>
    </cfRule>
  </conditionalFormatting>
  <conditionalFormatting sqref="C31">
    <cfRule type="expression" dxfId="10" priority="38">
      <formula>ISBLANK(C31)</formula>
    </cfRule>
  </conditionalFormatting>
  <conditionalFormatting sqref="C33">
    <cfRule type="cellIs" dxfId="0" priority="37" operator="notEqual">
      <formula>VALUE(C32)</formula>
    </cfRule>
  </conditionalFormatting>
  <conditionalFormatting sqref="C33">
    <cfRule type="expression" dxfId="10" priority="36">
      <formula>ISBLANK(C33)</formula>
    </cfRule>
  </conditionalFormatting>
  <conditionalFormatting sqref="C35">
    <cfRule type="cellIs" dxfId="0" priority="35" operator="notEqual">
      <formula>C34</formula>
    </cfRule>
  </conditionalFormatting>
  <conditionalFormatting sqref="C35">
    <cfRule type="expression" dxfId="10" priority="34">
      <formula>ISBLANK(C35)</formula>
    </cfRule>
  </conditionalFormatting>
  <conditionalFormatting sqref="C37">
    <cfRule type="cellIs" dxfId="0" priority="33" operator="notEqual">
      <formula>C36</formula>
    </cfRule>
  </conditionalFormatting>
  <conditionalFormatting sqref="C37">
    <cfRule type="expression" dxfId="10" priority="32">
      <formula>ISBLANK(C37)</formula>
    </cfRule>
  </conditionalFormatting>
  <conditionalFormatting sqref="C6">
    <cfRule type="expression" dxfId="10" priority="30">
      <formula>ISBLANK(C6)</formula>
    </cfRule>
    <cfRule type="cellIs" dxfId="0" priority="31" operator="notEqual">
      <formula>C5</formula>
    </cfRule>
  </conditionalFormatting>
  <conditionalFormatting sqref="C25">
    <cfRule type="cellIs" dxfId="0" priority="29" operator="notEqual">
      <formula>C24</formula>
    </cfRule>
  </conditionalFormatting>
  <conditionalFormatting sqref="C25">
    <cfRule type="expression" dxfId="10" priority="28">
      <formula>ISBLANK(C25)</formula>
    </cfRule>
  </conditionalFormatting>
  <conditionalFormatting sqref="C39">
    <cfRule type="cellIs" dxfId="0" priority="27" operator="notEqual">
      <formula>C38</formula>
    </cfRule>
  </conditionalFormatting>
  <conditionalFormatting sqref="C39">
    <cfRule type="expression" dxfId="10" priority="26">
      <formula>ISBLANK(C39)</formula>
    </cfRule>
  </conditionalFormatting>
  <conditionalFormatting sqref="C41">
    <cfRule type="cellIs" dxfId="0" priority="25" operator="notEqual">
      <formula>C40</formula>
    </cfRule>
  </conditionalFormatting>
  <conditionalFormatting sqref="C41">
    <cfRule type="expression" dxfId="10" priority="24">
      <formula>ISBLANK(C41)</formula>
    </cfRule>
  </conditionalFormatting>
  <conditionalFormatting sqref="C24:O41">
    <cfRule type="expression" dxfId="1" priority="23" stopIfTrue="1">
      <formula>OR(C$22="Free",C$22="Telenor",C$22="Mtel",C$22="Telenor&amp;Mtel")</formula>
    </cfRule>
  </conditionalFormatting>
  <conditionalFormatting sqref="F22:G22">
    <cfRule type="cellIs" dxfId="0" priority="22" operator="greaterThan">
      <formula>0</formula>
    </cfRule>
  </conditionalFormatting>
  <conditionalFormatting sqref="F21:G21">
    <cfRule type="expression" dxfId="1" priority="21">
      <formula>ISERROR(F21)</formula>
    </cfRule>
  </conditionalFormatting>
  <conditionalFormatting sqref="F21:G21">
    <cfRule type="cellIs" dxfId="1" priority="20" operator="equal">
      <formula>0</formula>
    </cfRule>
  </conditionalFormatting>
  <conditionalFormatting sqref="F21:G21">
    <cfRule type="cellIs" dxfId="3" priority="19" operator="greaterThan">
      <formula>0</formula>
    </cfRule>
  </conditionalFormatting>
  <conditionalFormatting sqref="P22">
    <cfRule type="cellIs" dxfId="0" priority="18" operator="greaterThan">
      <formula>0</formula>
    </cfRule>
  </conditionalFormatting>
  <conditionalFormatting sqref="P27 P29 P33">
    <cfRule type="cellIs" dxfId="0" priority="14" operator="notEqual">
      <formula>VALUE(P26)</formula>
    </cfRule>
  </conditionalFormatting>
  <conditionalFormatting sqref="P8 P10 P12 P14 P16 P27 P29 P31 P33 P35 P37 P25 P39 P41">
    <cfRule type="expression" dxfId="10" priority="12">
      <formula>ISBLANK(P8)</formula>
    </cfRule>
  </conditionalFormatting>
  <conditionalFormatting sqref="P8 P10 P12 P14 P16 P31 P35 P37 P25 P39 P41">
    <cfRule type="cellIs" dxfId="0" priority="13" operator="notEqual">
      <formula>P7</formula>
    </cfRule>
  </conditionalFormatting>
  <conditionalFormatting sqref="P24:P41">
    <cfRule type="expression" dxfId="1" priority="11" stopIfTrue="1">
      <formula>OR(P$22="Free",P$22="Telenor",P$22="Mtel",P$22="Telenor&amp;Mtel")</formula>
    </cfRule>
  </conditionalFormatting>
  <conditionalFormatting sqref="C19">
    <cfRule type="expression" dxfId="1" priority="7">
      <formula>ISERROR(C19)</formula>
    </cfRule>
    <cfRule type="cellIs" dxfId="1" priority="8" operator="equal">
      <formula>0</formula>
    </cfRule>
  </conditionalFormatting>
  <conditionalFormatting sqref="D19:P19">
    <cfRule type="expression" dxfId="1" priority="5">
      <formula>ISERROR(D19)</formula>
    </cfRule>
    <cfRule type="cellIs" dxfId="1" priority="6" operator="equal">
      <formula>0</formula>
    </cfRule>
  </conditionalFormatting>
  <conditionalFormatting sqref="P21">
    <cfRule type="expression" dxfId="1" priority="4">
      <formula>ISERROR(P21)</formula>
    </cfRule>
  </conditionalFormatting>
  <conditionalFormatting sqref="P21">
    <cfRule type="cellIs" dxfId="1" priority="3" operator="equal">
      <formula>0</formula>
    </cfRule>
  </conditionalFormatting>
  <conditionalFormatting sqref="P21">
    <cfRule type="cellIs" dxfId="3" priority="2" operator="greaterThan">
      <formula>0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250C4327-29EB-47E8-A702-284B98FBC508}" sqref="C2" showErrorMessage="1" errorTitle="An invalid feedback was entered" error="Please choose feedback from drop down only.">
      <formula1>"1,2,3"</formula1>
    </dataValidation>
    <dataValidation type="list" xr:uid="{41901317-4EDA-4CA7-B341-41544E6B9854}" sqref="D2" showErrorMessage="1" errorTitle="An invalid feedback was entered" error="Please choose feedback from drop down only.">
      <formula1>"1,2,3"</formula1>
    </dataValidation>
    <dataValidation type="list" xr:uid="{A06C6D71-ED2A-4710-B244-D06E75C06566}" sqref="E2" showErrorMessage="1" errorTitle="An invalid feedback was entered" error="Please choose feedback from drop down only.">
      <formula1>"1,2,3"</formula1>
    </dataValidation>
    <dataValidation type="list" xr:uid="{2DDEAD37-5BA5-4751-803E-3C5505EE610B}" sqref="F2" showErrorMessage="1" errorTitle="An invalid feedback was entered" error="Please choose feedback from drop down only.">
      <formula1>"1,2,3"</formula1>
    </dataValidation>
    <dataValidation type="list" xr:uid="{20C14F34-5931-468B-9A8A-0F9D0F307440}" sqref="G2" showErrorMessage="1" errorTitle="An invalid feedback was entered" error="Please choose feedback from drop down only.">
      <formula1>"1,2,3"</formula1>
    </dataValidation>
    <dataValidation type="list" xr:uid="{838B84E9-A493-4DE3-B865-B958602B48DA}" sqref="H2" showErrorMessage="1" errorTitle="An invalid feedback was entered" error="Please choose feedback from drop down only.">
      <formula1>"1,2,3"</formula1>
    </dataValidation>
    <dataValidation type="list" xr:uid="{6D68C9DB-B0E6-4017-B1DA-BAD532787A4C}" sqref="I2" showErrorMessage="1" errorTitle="An invalid feedback was entered" error="Please choose feedback from drop down only.">
      <formula1>"1,2,3"</formula1>
    </dataValidation>
    <dataValidation type="list" xr:uid="{E2217632-7A2D-4550-B7C8-A5C7AC409226}" sqref="J2" showErrorMessage="1" errorTitle="An invalid feedback was entered" error="Please choose feedback from drop down only.">
      <formula1>"1,2,3"</formula1>
    </dataValidation>
    <dataValidation type="list" xr:uid="{22EB90D5-784E-4813-B3EC-1DE446B85525}" sqref="K2" showErrorMessage="1" errorTitle="An invalid feedback was entered" error="Please choose feedback from drop down only.">
      <formula1>"1,2,3"</formula1>
    </dataValidation>
    <dataValidation type="list" xr:uid="{9FD5E6F5-6F74-443E-97F2-1ECC57B32509}" sqref="L2" showErrorMessage="1" errorTitle="An invalid feedback was entered" error="Please choose feedback from drop down only.">
      <formula1>"1,2,3"</formula1>
    </dataValidation>
    <dataValidation type="list" xr:uid="{B73E028E-7C3E-47A7-B876-FA091EDC1A5F}" sqref="M2" showErrorMessage="1" errorTitle="An invalid feedback was entered" error="Please choose feedback from drop down only.">
      <formula1>"1,2,3"</formula1>
    </dataValidation>
    <dataValidation type="list" xr:uid="{248FFC0A-825E-4863-812C-42E96F0A0AE7}" sqref="N2" showErrorMessage="1" errorTitle="An invalid feedback was entered" error="Please choose feedback from drop down only.">
      <formula1>"1,2,3"</formula1>
    </dataValidation>
    <dataValidation type="list" xr:uid="{DFE166E9-E996-4711-A6E8-609B866BFB11}" sqref="O2" showErrorMessage="1" errorTitle="An invalid feedback was entered" error="Please choose feedback from drop down only.">
      <formula1>"1,2,3"</formula1>
    </dataValidation>
    <dataValidation type="list" xr:uid="{7E50D218-31FE-4048-A520-0DBFE0517C12}" sqref="P2" showErrorMessage="1" errorTitle="An invalid feedback was entered" error="Please choose feedback from drop down only.">
      <formula1>"1,2,3"</formula1>
    </dataValidation>
    <dataValidation type="list" xr:uid="{C51EBFFB-4994-4B1B-AE86-9822429A4039}" sqref="Q2" showErrorMessage="1" errorTitle="An invalid feedback was entered" error="Please choose feedback from drop down only.">
      <formula1>"1,2,3"</formula1>
    </dataValidation>
    <dataValidation type="list" xr:uid="{3801F9D1-0F08-48D2-B8AE-07671FDEEE46}" sqref="C17" showErrorMessage="1" errorTitle="An invalid feedback was entered" error="Please choose feedback from drop down only.">
      <formula1>"1-2,3-4,5-6,7-8,9-10,N/A"</formula1>
    </dataValidation>
    <dataValidation type="list" xr:uid="{01292B4A-A1A8-463C-B6D7-194AB24F9200}" sqref="D17" showErrorMessage="1" errorTitle="An invalid feedback was entered" error="Please choose feedback from drop down only.">
      <formula1>"1-2,3-4,5-6,7-8,9-10,N/A"</formula1>
    </dataValidation>
    <dataValidation type="list" xr:uid="{84BF56AC-40DF-4A8F-B340-2CE4BB6AD07B}" sqref="E17" showErrorMessage="1" errorTitle="An invalid feedback was entered" error="Please choose feedback from drop down only.">
      <formula1>"1-2,3-4,5-6,7-8,9-10,N/A"</formula1>
    </dataValidation>
    <dataValidation type="list" xr:uid="{5E321E8A-B8C7-4682-95A1-9275362570C7}" sqref="F17" showErrorMessage="1" errorTitle="An invalid feedback was entered" error="Please choose feedback from drop down only.">
      <formula1>"1-2,3-4,5-6,7-8,9-10,N/A"</formula1>
    </dataValidation>
    <dataValidation type="list" xr:uid="{96260759-EF6C-4968-B297-D98C355615CD}" sqref="G17" showErrorMessage="1" errorTitle="An invalid feedback was entered" error="Please choose feedback from drop down only.">
      <formula1>"1-2,3-4,5-6,7-8,9-10,N/A"</formula1>
    </dataValidation>
    <dataValidation type="list" xr:uid="{58EDDACD-2A80-442D-BF42-32FCAA97AE40}" sqref="H17" showErrorMessage="1" errorTitle="An invalid feedback was entered" error="Please choose feedback from drop down only.">
      <formula1>"1-2,3-4,5-6,7-8,9-10,N/A"</formula1>
    </dataValidation>
    <dataValidation type="list" xr:uid="{05639B1B-D78C-4193-85F8-F16FF9C5359E}" sqref="I17" showErrorMessage="1" errorTitle="An invalid feedback was entered" error="Please choose feedback from drop down only.">
      <formula1>"1-2,3-4,5-6,7-8,9-10,N/A"</formula1>
    </dataValidation>
    <dataValidation type="list" xr:uid="{F67BC97D-7EB6-4CAB-B1FE-4ECE44D4AE74}" sqref="J17" showErrorMessage="1" errorTitle="An invalid feedback was entered" error="Please choose feedback from drop down only.">
      <formula1>"1-2,3-4,5-6,7-8,9-10,N/A"</formula1>
    </dataValidation>
    <dataValidation type="list" xr:uid="{19F78305-DB3F-489F-9DAD-942211081659}" sqref="K17" showErrorMessage="1" errorTitle="An invalid feedback was entered" error="Please choose feedback from drop down only.">
      <formula1>"1-2,3-4,5-6,7-8,9-10,N/A"</formula1>
    </dataValidation>
    <dataValidation type="list" xr:uid="{3F1984E2-2542-4169-AB28-D6484337B0C9}" sqref="L17" showErrorMessage="1" errorTitle="An invalid feedback was entered" error="Please choose feedback from drop down only.">
      <formula1>"1-2,3-4,5-6,7-8,9-10,N/A"</formula1>
    </dataValidation>
    <dataValidation type="list" xr:uid="{66F6CC2B-20E6-461D-9CF8-B45DD728465B}" sqref="M17" showErrorMessage="1" errorTitle="An invalid feedback was entered" error="Please choose feedback from drop down only.">
      <formula1>"1-2,3-4,5-6,7-8,9-10,N/A"</formula1>
    </dataValidation>
    <dataValidation type="list" xr:uid="{609B04D3-968D-4914-B4F0-B51B2D707736}" sqref="N17" showErrorMessage="1" errorTitle="An invalid feedback was entered" error="Please choose feedback from drop down only.">
      <formula1>"1-2,3-4,5-6,7-8,9-10,N/A"</formula1>
    </dataValidation>
    <dataValidation type="list" xr:uid="{389E5EB9-026D-43A6-9DED-758A66D0F816}" sqref="O17" showErrorMessage="1" errorTitle="An invalid feedback was entered" error="Please choose feedback from drop down only.">
      <formula1>"1-2,3-4,5-6,7-8,9-10,N/A"</formula1>
    </dataValidation>
    <dataValidation type="list" xr:uid="{6B65AB73-3138-43A2-8CFB-B666EAB19372}" sqref="P17" showErrorMessage="1" errorTitle="An invalid feedback was entered" error="Please choose feedback from drop down only.">
      <formula1>"1-2,3-4,5-6,7-8,9-10,N/A"</formula1>
    </dataValidation>
    <dataValidation type="list" xr:uid="{734C1E26-70FD-4523-B45F-32993DAA5FC2}" sqref="Q17" showErrorMessage="1" errorTitle="An invalid feedback was entered" error="Please choose feedback from drop down only.">
      <formula1>"1-2,3-4,5-6,7-8,9-10,N/A"</formula1>
    </dataValidation>
    <dataValidation type="list" xr:uid="{6162DE3B-A81D-43AE-B908-3584905D59A6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FFAFAA5B-E0C6-47CC-BF21-CF5CAADAAAB4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04AEC57D-A441-4D26-BE93-7B00ECCE45E8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65D2398D-88D3-4314-BADC-99FCDBDE9257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127EFAEF-C94A-41A6-AEF7-EFB001F60D23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F4E5D2DD-41A9-403F-9D30-28F9DF61DEF5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E66EBAC1-3028-4AA4-BAAC-0C239656E872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3E3BF0EE-7009-47F2-A86B-7B8544500888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E6630242-E507-4646-A484-EB066E6B0E5B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F06FF3DD-039D-4467-BC52-DBE13DFB5D37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542A1992-1ADB-4EE2-9934-1C2FE4D0BDE5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F16B4B2E-0F76-4A4A-9C6D-FDB96918FC85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21B16604-17CE-469C-B9EB-F627D7AD50B6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388285C9-21FE-4A2A-9FA8-E6CD6D4BEADA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9F62EF30-01BA-4F54-9349-15CDB84EEBE2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36083681-7AF8-4CAB-AD5D-10D6585EC848}" sqref="C23" showErrorMessage="1" errorTitle="An invalid feedback was entered" error="Please choose feedback from drop down only.">
      <formula1>"Yetel,Bulsatcom,A1,Yetel&amp;A1,N/A"</formula1>
    </dataValidation>
    <dataValidation type="list" xr:uid="{AC0E1938-356A-4F0B-873C-635EEAED264C}" sqref="D23" showErrorMessage="1" errorTitle="An invalid feedback was entered" error="Please choose feedback from drop down only.">
      <formula1>"Yetel,Bulsatcom,A1,Yetel&amp;A1,N/A"</formula1>
    </dataValidation>
    <dataValidation type="list" xr:uid="{573EEA6D-AA99-4DE8-8979-4150679D14B5}" sqref="E23" showErrorMessage="1" errorTitle="An invalid feedback was entered" error="Please choose feedback from drop down only.">
      <formula1>"Yetel,Bulsatcom,A1,Yetel&amp;A1,N/A"</formula1>
    </dataValidation>
    <dataValidation type="list" xr:uid="{84FCE0F1-8CB5-490A-9068-7212283434FD}" sqref="F23" showErrorMessage="1" errorTitle="An invalid feedback was entered" error="Please choose feedback from drop down only.">
      <formula1>"Yetel,Bulsatcom,A1,Yetel&amp;A1,N/A"</formula1>
    </dataValidation>
    <dataValidation type="list" xr:uid="{EDA7482D-3D46-4588-94F0-9A1660B1D13A}" sqref="G23" showErrorMessage="1" errorTitle="An invalid feedback was entered" error="Please choose feedback from drop down only.">
      <formula1>"Yetel,Bulsatcom,A1,Yetel&amp;A1,N/A"</formula1>
    </dataValidation>
    <dataValidation type="list" xr:uid="{16F9CCDC-64D3-45D7-AD51-0989634265B2}" sqref="H23" showErrorMessage="1" errorTitle="An invalid feedback was entered" error="Please choose feedback from drop down only.">
      <formula1>"Yetel,Bulsatcom,A1,Yetel&amp;A1,N/A"</formula1>
    </dataValidation>
    <dataValidation type="list" xr:uid="{28D3939F-ED04-42FC-A790-6DC55864655C}" sqref="I23" showErrorMessage="1" errorTitle="An invalid feedback was entered" error="Please choose feedback from drop down only.">
      <formula1>"Yetel,Bulsatcom,A1,Yetel&amp;A1,N/A"</formula1>
    </dataValidation>
    <dataValidation type="list" xr:uid="{3DA860EB-B547-450A-9A56-F6488A4FF6B1}" sqref="J23" showErrorMessage="1" errorTitle="An invalid feedback was entered" error="Please choose feedback from drop down only.">
      <formula1>"Yetel,Bulsatcom,A1,Yetel&amp;A1,N/A"</formula1>
    </dataValidation>
    <dataValidation type="list" xr:uid="{67806B5C-5535-448A-BA66-C95A72F3990B}" sqref="K23" showErrorMessage="1" errorTitle="An invalid feedback was entered" error="Please choose feedback from drop down only.">
      <formula1>"Yetel,Bulsatcom,A1,Yetel&amp;A1,N/A"</formula1>
    </dataValidation>
    <dataValidation type="list" xr:uid="{7DAC2DF9-43F4-4E19-AB21-96A83A705D4E}" sqref="L23" showErrorMessage="1" errorTitle="An invalid feedback was entered" error="Please choose feedback from drop down only.">
      <formula1>"Yetel,Bulsatcom,A1,Yetel&amp;A1,N/A"</formula1>
    </dataValidation>
    <dataValidation type="list" xr:uid="{108D0E3D-F2C0-4C8F-AF34-8C76E50B4478}" sqref="M23" showErrorMessage="1" errorTitle="An invalid feedback was entered" error="Please choose feedback from drop down only.">
      <formula1>"Yetel,Bulsatcom,A1,Yetel&amp;A1,N/A"</formula1>
    </dataValidation>
    <dataValidation type="list" xr:uid="{34585874-8C34-472C-BA3A-D396BD681108}" sqref="N23" showErrorMessage="1" errorTitle="An invalid feedback was entered" error="Please choose feedback from drop down only.">
      <formula1>"Yetel,Bulsatcom,A1,Yetel&amp;A1,N/A"</formula1>
    </dataValidation>
    <dataValidation type="list" xr:uid="{4B661DB7-B232-4E69-81EF-5349BD2DF276}" sqref="O23" showErrorMessage="1" errorTitle="An invalid feedback was entered" error="Please choose feedback from drop down only.">
      <formula1>"Yetel,Bulsatcom,A1,Yetel&amp;A1,N/A"</formula1>
    </dataValidation>
    <dataValidation type="list" xr:uid="{500E6BD4-FB82-4C09-98A1-18464B28027A}" sqref="P23" showErrorMessage="1" errorTitle="An invalid feedback was entered" error="Please choose feedback from drop down only.">
      <formula1>"Yetel,Bulsatcom,A1,Yetel&amp;A1,N/A"</formula1>
    </dataValidation>
    <dataValidation type="list" xr:uid="{4C811DAB-3804-42E1-A016-EA78F81A37C7}" sqref="Q23" showErrorMessage="1" errorTitle="An invalid feedback was entered" error="Please choose feedback from drop down only.">
      <formula1>"Yetel,Bulsatcom,A1,Yetel&amp;A1,N/A"</formula1>
    </dataValidation>
    <dataValidation type="list" xr:uid="{43BBB688-D28A-41B5-A83D-BD5F9525EC33}" sqref="C31" showErrorMessage="1" errorTitle="An invalid feedback was entered" error="Please choose feedback from drop down only.">
      <formula1>"1/2,5/4,7/8,RRU TOP JUMPER,N/A"</formula1>
    </dataValidation>
    <dataValidation type="list" xr:uid="{BB2C1C7F-4FE1-4979-88F8-4521113C8398}" sqref="D31" showErrorMessage="1" errorTitle="An invalid feedback was entered" error="Please choose feedback from drop down only.">
      <formula1>"1/2,5/4,7/8,RRU TOP JUMPER,N/A"</formula1>
    </dataValidation>
    <dataValidation type="list" xr:uid="{448A3863-36F7-47CF-BCC9-59280EF9B476}" sqref="E31" showErrorMessage="1" errorTitle="An invalid feedback was entered" error="Please choose feedback from drop down only.">
      <formula1>"1/2,5/4,7/8,RRU TOP JUMPER,N/A"</formula1>
    </dataValidation>
    <dataValidation type="list" xr:uid="{E0EAD002-35D9-47B5-8075-F23D61BFBC27}" sqref="F31" showErrorMessage="1" errorTitle="An invalid feedback was entered" error="Please choose feedback from drop down only.">
      <formula1>"1/2,5/4,7/8,RRU TOP JUMPER,N/A"</formula1>
    </dataValidation>
    <dataValidation type="list" xr:uid="{C831BEB4-8913-4053-8C2F-6B7E290E8F59}" sqref="G31" showErrorMessage="1" errorTitle="An invalid feedback was entered" error="Please choose feedback from drop down only.">
      <formula1>"1/2,5/4,7/8,RRU TOP JUMPER,N/A"</formula1>
    </dataValidation>
    <dataValidation type="list" xr:uid="{253DEED9-82F5-4161-ABD4-5F179508DE26}" sqref="H31" showErrorMessage="1" errorTitle="An invalid feedback was entered" error="Please choose feedback from drop down only.">
      <formula1>"1/2,5/4,7/8,RRU TOP JUMPER,N/A"</formula1>
    </dataValidation>
    <dataValidation type="list" xr:uid="{1774EE80-3D08-4F04-B820-74035FB3C7A0}" sqref="I31" showErrorMessage="1" errorTitle="An invalid feedback was entered" error="Please choose feedback from drop down only.">
      <formula1>"1/2,5/4,7/8,RRU TOP JUMPER,N/A"</formula1>
    </dataValidation>
    <dataValidation type="list" xr:uid="{A52BEA55-123B-421F-A711-41807C26E2CA}" sqref="J31" showErrorMessage="1" errorTitle="An invalid feedback was entered" error="Please choose feedback from drop down only.">
      <formula1>"1/2,5/4,7/8,RRU TOP JUMPER,N/A"</formula1>
    </dataValidation>
    <dataValidation type="list" xr:uid="{8E3FB27D-8FB4-4E2F-9023-0E96853243AF}" sqref="K31" showErrorMessage="1" errorTitle="An invalid feedback was entered" error="Please choose feedback from drop down only.">
      <formula1>"1/2,5/4,7/8,RRU TOP JUMPER,N/A"</formula1>
    </dataValidation>
    <dataValidation type="list" xr:uid="{F0E3D1C2-084E-4801-B41E-515B8F5D3A51}" sqref="L31" showErrorMessage="1" errorTitle="An invalid feedback was entered" error="Please choose feedback from drop down only.">
      <formula1>"1/2,5/4,7/8,RRU TOP JUMPER,N/A"</formula1>
    </dataValidation>
    <dataValidation type="list" xr:uid="{9D567738-BD93-4401-A286-43CFB3F5B709}" sqref="M31" showErrorMessage="1" errorTitle="An invalid feedback was entered" error="Please choose feedback from drop down only.">
      <formula1>"1/2,5/4,7/8,RRU TOP JUMPER,N/A"</formula1>
    </dataValidation>
    <dataValidation type="list" xr:uid="{55BABB8B-F44C-4893-B775-B31C1A7C439E}" sqref="N31" showErrorMessage="1" errorTitle="An invalid feedback was entered" error="Please choose feedback from drop down only.">
      <formula1>"1/2,5/4,7/8,RRU TOP JUMPER,N/A"</formula1>
    </dataValidation>
    <dataValidation type="list" xr:uid="{4E20BFBB-8D80-4BC5-8D72-42F6621C999A}" sqref="O31" showErrorMessage="1" errorTitle="An invalid feedback was entered" error="Please choose feedback from drop down only.">
      <formula1>"1/2,5/4,7/8,RRU TOP JUMPER,N/A"</formula1>
    </dataValidation>
    <dataValidation type="list" xr:uid="{03CE4F14-893B-4B63-8D9D-F019DC802CD0}" sqref="P31" showErrorMessage="1" errorTitle="An invalid feedback was entered" error="Please choose feedback from drop down only.">
      <formula1>"1/2,5/4,7/8,RRU TOP JUMPER,N/A"</formula1>
    </dataValidation>
    <dataValidation type="list" xr:uid="{62C464D6-58B2-4869-B9A7-F1EC4569E4FD}" sqref="Q31" showErrorMessage="1" errorTitle="An invalid feedback was entered" error="Please choose feedback from drop down only.">
      <formula1>"1/2,5/4,7/8,RRU TOP JUMPER,N/A"</formula1>
    </dataValidation>
    <dataValidation type="list" xr:uid="{D05ACF7F-36DC-41DE-8F04-43DA15AB0117}" sqref="C4" showErrorMessage="1" errorTitle="An invalid feedback was entered" error="Please choose feedback from drop down only.">
      <formula1>"1,2,3,4,5,6,N/A"</formula1>
    </dataValidation>
    <dataValidation type="list" xr:uid="{3896628F-98FA-4108-BA3D-DA4B02F2041E}" sqref="D4" showErrorMessage="1" errorTitle="An invalid feedback was entered" error="Please choose feedback from drop down only.">
      <formula1>"1,2,3,4,5,6,N/A"</formula1>
    </dataValidation>
    <dataValidation type="list" xr:uid="{64A0F4CD-FCEA-4266-8980-40AE715EA72A}" sqref="E4" showErrorMessage="1" errorTitle="An invalid feedback was entered" error="Please choose feedback from drop down only.">
      <formula1>"1,2,3,4,5,6,N/A"</formula1>
    </dataValidation>
    <dataValidation type="list" xr:uid="{3C187FAD-2206-439D-BF2D-0D6EBA974C54}" sqref="F4" showErrorMessage="1" errorTitle="An invalid feedback was entered" error="Please choose feedback from drop down only.">
      <formula1>"1,2,3,4,5,6,N/A"</formula1>
    </dataValidation>
    <dataValidation type="list" xr:uid="{50A46DB7-6D7F-4A36-9A47-1DEB2DBDA02B}" sqref="G4" showErrorMessage="1" errorTitle="An invalid feedback was entered" error="Please choose feedback from drop down only.">
      <formula1>"1,2,3,4,5,6,N/A"</formula1>
    </dataValidation>
    <dataValidation type="list" xr:uid="{3163497C-893F-4925-833B-B3781D8E5359}" sqref="H4" showErrorMessage="1" errorTitle="An invalid feedback was entered" error="Please choose feedback from drop down only.">
      <formula1>"1,2,3,4,5,6,N/A"</formula1>
    </dataValidation>
    <dataValidation type="list" xr:uid="{995B9BC9-0B9F-429D-A6A8-9A85CEACF97E}" sqref="I4" showErrorMessage="1" errorTitle="An invalid feedback was entered" error="Please choose feedback from drop down only.">
      <formula1>"1,2,3,4,5,6,N/A"</formula1>
    </dataValidation>
    <dataValidation type="list" xr:uid="{4E78A002-080B-439D-A060-A0779232F560}" sqref="J4" showErrorMessage="1" errorTitle="An invalid feedback was entered" error="Please choose feedback from drop down only.">
      <formula1>"1,2,3,4,5,6,N/A"</formula1>
    </dataValidation>
    <dataValidation type="list" xr:uid="{94A003CD-E34D-4D25-BDEA-3E9B24DBC398}" sqref="K4" showErrorMessage="1" errorTitle="An invalid feedback was entered" error="Please choose feedback from drop down only.">
      <formula1>"1,2,3,4,5,6,N/A"</formula1>
    </dataValidation>
    <dataValidation type="list" xr:uid="{72412F49-4045-4D01-8FB0-2E826AAA82AC}" sqref="L4" showErrorMessage="1" errorTitle="An invalid feedback was entered" error="Please choose feedback from drop down only.">
      <formula1>"1,2,3,4,5,6,N/A"</formula1>
    </dataValidation>
    <dataValidation type="list" xr:uid="{28E0A5BB-FB04-409F-8E8B-45C5EE0BE9D4}" sqref="M4" showErrorMessage="1" errorTitle="An invalid feedback was entered" error="Please choose feedback from drop down only.">
      <formula1>"1,2,3,4,5,6,N/A"</formula1>
    </dataValidation>
    <dataValidation type="list" xr:uid="{FA3C8616-0977-49F1-B110-4D98320E2220}" sqref="N4" showErrorMessage="1" errorTitle="An invalid feedback was entered" error="Please choose feedback from drop down only.">
      <formula1>"1,2,3,4,5,6,N/A"</formula1>
    </dataValidation>
    <dataValidation type="list" xr:uid="{52C45E3F-1CE7-40DF-A39A-97FF3C2694E1}" sqref="O4" showErrorMessage="1" errorTitle="An invalid feedback was entered" error="Please choose feedback from drop down only.">
      <formula1>"1,2,3,4,5,6,N/A"</formula1>
    </dataValidation>
    <dataValidation type="list" xr:uid="{80B7E48E-25C7-435E-8305-F4C6D5161423}" sqref="P4" showErrorMessage="1" errorTitle="An invalid feedback was entered" error="Please choose feedback from drop down only.">
      <formula1>"1,2,3,4,5,6,N/A"</formula1>
    </dataValidation>
    <dataValidation type="list" xr:uid="{F53402D0-3916-41BB-99CA-419083AAF94A}" sqref="Q4" showErrorMessage="1" errorTitle="An invalid feedback was entered" error="Please choose feedback from drop down only.">
      <formula1>"1,2,3,4,5,6,N/A"</formula1>
    </dataValidation>
    <dataValidation type="list" xr:uid="{CA4D1B78-3E15-4C1D-966C-1D05C6B5F9C5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51D10D2-2A7F-41E1-AF78-CC9E7BEEF3BC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105C588-336B-477A-9054-90EBC3C23CDC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11DEC28-DDFE-42FE-8352-8F81C5D97764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08F08A1-2D2F-48AA-97B3-5ED3A2D047E0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4F80675-1B38-489E-A5B4-F598DA00B70E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ABC77F8-BBEB-492F-8C42-3CEBE8C5AEC6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C6FC4A9-ED22-46D0-A341-AEB4967C27B3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D4C970C-CBCB-4BB0-B9CE-9F7133C7F65A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EC38AB6-2F6F-48D3-B726-3EF9752F541B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E98B928-C176-4D19-A3DC-F14F7A97D364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DFEEE35-5192-42B9-84E6-830F87D63479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DAA9CA7-7A62-4F30-AF3F-B47637C06BF9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7E95D3E-D260-439C-85F4-D60C0DC1BFFD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E28B236-010E-420B-A1C5-225A1F7A4356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EB95C26-9546-4D8E-937E-F68FF33EA18B}" sqref="C28" showErrorMessage="1" errorTitle="An invalid feedback was entered" error="Please choose feedback from drop down only.">
      <formula1>"Yes,No,FlexRET"</formula1>
    </dataValidation>
    <dataValidation type="list" xr:uid="{B6961572-3EEC-4391-B7CE-D93925264EED}" sqref="D28" showErrorMessage="1" errorTitle="An invalid feedback was entered" error="Please choose feedback from drop down only.">
      <formula1>"Yes,No,FlexRET"</formula1>
    </dataValidation>
    <dataValidation type="list" xr:uid="{8D71774C-895B-49F7-A6D8-7D459F0187B8}" sqref="E28" showErrorMessage="1" errorTitle="An invalid feedback was entered" error="Please choose feedback from drop down only.">
      <formula1>"Yes,No,FlexRET"</formula1>
    </dataValidation>
    <dataValidation type="list" xr:uid="{987DB10E-C46A-42AE-BF64-DD6EBF627069}" sqref="F28" showErrorMessage="1" errorTitle="An invalid feedback was entered" error="Please choose feedback from drop down only.">
      <formula1>"Yes,No,FlexRET"</formula1>
    </dataValidation>
    <dataValidation type="list" xr:uid="{14DA913F-0922-4114-B8E4-4D1F75282030}" sqref="G28" showErrorMessage="1" errorTitle="An invalid feedback was entered" error="Please choose feedback from drop down only.">
      <formula1>"Yes,No,FlexRET"</formula1>
    </dataValidation>
    <dataValidation type="list" xr:uid="{472BB538-7E8D-4B85-ABE2-FA86111F7B73}" sqref="H28" showErrorMessage="1" errorTitle="An invalid feedback was entered" error="Please choose feedback from drop down only.">
      <formula1>"Yes,No,FlexRET"</formula1>
    </dataValidation>
    <dataValidation type="list" xr:uid="{112BE148-333A-4AA5-9DD4-95A6177AE860}" sqref="I28" showErrorMessage="1" errorTitle="An invalid feedback was entered" error="Please choose feedback from drop down only.">
      <formula1>"Yes,No,FlexRET"</formula1>
    </dataValidation>
    <dataValidation type="list" xr:uid="{BF74D312-197A-40DF-8B9D-4241436BD46A}" sqref="J28" showErrorMessage="1" errorTitle="An invalid feedback was entered" error="Please choose feedback from drop down only.">
      <formula1>"Yes,No,FlexRET"</formula1>
    </dataValidation>
    <dataValidation type="list" xr:uid="{A29923BD-505A-4F43-8E11-A6223AE09D41}" sqref="K28" showErrorMessage="1" errorTitle="An invalid feedback was entered" error="Please choose feedback from drop down only.">
      <formula1>"Yes,No,FlexRET"</formula1>
    </dataValidation>
    <dataValidation type="list" xr:uid="{E7AB149B-2F1F-4FFA-8E86-F653700E3982}" sqref="L28" showErrorMessage="1" errorTitle="An invalid feedback was entered" error="Please choose feedback from drop down only.">
      <formula1>"Yes,No,FlexRET"</formula1>
    </dataValidation>
    <dataValidation type="list" xr:uid="{BD1303CE-C0B4-4FC9-AC5B-686378AA1CA7}" sqref="M28" showErrorMessage="1" errorTitle="An invalid feedback was entered" error="Please choose feedback from drop down only.">
      <formula1>"Yes,No,FlexRET"</formula1>
    </dataValidation>
    <dataValidation type="list" xr:uid="{AEDA07B8-4BE4-4FC7-8CDC-81FFBCB2DA19}" sqref="N28" showErrorMessage="1" errorTitle="An invalid feedback was entered" error="Please choose feedback from drop down only.">
      <formula1>"Yes,No,FlexRET"</formula1>
    </dataValidation>
    <dataValidation type="list" xr:uid="{4E9CC78A-8E06-4940-9D2E-6F255DEDBB91}" sqref="O28" showErrorMessage="1" errorTitle="An invalid feedback was entered" error="Please choose feedback from drop down only.">
      <formula1>"Yes,No,FlexRET"</formula1>
    </dataValidation>
    <dataValidation type="list" xr:uid="{FD8F45AC-4232-4DC8-B2C8-6B2CA7A39CB7}" sqref="P28" showErrorMessage="1" errorTitle="An invalid feedback was entered" error="Please choose feedback from drop down only.">
      <formula1>"Yes,No,FlexRET"</formula1>
    </dataValidation>
    <dataValidation type="list" xr:uid="{70A01906-12E1-4145-9563-6875C255DFED}" sqref="Q28" showErrorMessage="1" errorTitle="An invalid feedback was entered" error="Please choose feedback from drop down only.">
      <formula1>"Yes,No,FlexRET"</formula1>
    </dataValidation>
    <dataValidation type="list" xr:uid="{D4C09DAC-E919-486C-B45F-32441C214043}" sqref="C29" showErrorMessage="1" errorTitle="An invalid feedback was entered" error="Please choose feedback from drop down only.">
      <formula1>"Yes,No,FlexRET"</formula1>
    </dataValidation>
    <dataValidation type="list" xr:uid="{5DE97115-AB72-41FB-82C1-098394D203D1}" sqref="D29" showErrorMessage="1" errorTitle="An invalid feedback was entered" error="Please choose feedback from drop down only.">
      <formula1>"Yes,No,FlexRET"</formula1>
    </dataValidation>
    <dataValidation type="list" xr:uid="{89F59111-4603-4FB5-B42C-63F67E9E294B}" sqref="E29" showErrorMessage="1" errorTitle="An invalid feedback was entered" error="Please choose feedback from drop down only.">
      <formula1>"Yes,No,FlexRET"</formula1>
    </dataValidation>
    <dataValidation type="list" xr:uid="{6B20557E-2A70-4224-B3AB-16CF5D8C2032}" sqref="F29" showErrorMessage="1" errorTitle="An invalid feedback was entered" error="Please choose feedback from drop down only.">
      <formula1>"Yes,No,FlexRET"</formula1>
    </dataValidation>
    <dataValidation type="list" xr:uid="{2EC1DCC4-E556-421A-B583-52B22B88F049}" sqref="G29" showErrorMessage="1" errorTitle="An invalid feedback was entered" error="Please choose feedback from drop down only.">
      <formula1>"Yes,No,FlexRET"</formula1>
    </dataValidation>
    <dataValidation type="list" xr:uid="{01AE7B38-8B6A-4214-BD86-B4BA9193B4F2}" sqref="H29" showErrorMessage="1" errorTitle="An invalid feedback was entered" error="Please choose feedback from drop down only.">
      <formula1>"Yes,No,FlexRET"</formula1>
    </dataValidation>
    <dataValidation type="list" xr:uid="{DC7C8077-BC9E-4A4E-B915-F67889603F8C}" sqref="I29" showErrorMessage="1" errorTitle="An invalid feedback was entered" error="Please choose feedback from drop down only.">
      <formula1>"Yes,No,FlexRET"</formula1>
    </dataValidation>
    <dataValidation type="list" xr:uid="{E2A61D81-B254-49F8-9C7F-0A26FDBCA6D6}" sqref="J29" showErrorMessage="1" errorTitle="An invalid feedback was entered" error="Please choose feedback from drop down only.">
      <formula1>"Yes,No,FlexRET"</formula1>
    </dataValidation>
    <dataValidation type="list" xr:uid="{F73A4F86-5203-4E07-9485-BB540F4ECB67}" sqref="K29" showErrorMessage="1" errorTitle="An invalid feedback was entered" error="Please choose feedback from drop down only.">
      <formula1>"Yes,No,FlexRET"</formula1>
    </dataValidation>
    <dataValidation type="list" xr:uid="{60964904-7D91-4A9C-A17E-9C44ADC9A56D}" sqref="L29" showErrorMessage="1" errorTitle="An invalid feedback was entered" error="Please choose feedback from drop down only.">
      <formula1>"Yes,No,FlexRET"</formula1>
    </dataValidation>
    <dataValidation type="list" xr:uid="{F44DB115-260B-4AE3-946C-9C2C6AFFFB20}" sqref="M29" showErrorMessage="1" errorTitle="An invalid feedback was entered" error="Please choose feedback from drop down only.">
      <formula1>"Yes,No,FlexRET"</formula1>
    </dataValidation>
    <dataValidation type="list" xr:uid="{DA6B886C-CCC8-4B14-96CA-9B9EB3F2DCC2}" sqref="N29" showErrorMessage="1" errorTitle="An invalid feedback was entered" error="Please choose feedback from drop down only.">
      <formula1>"Yes,No,FlexRET"</formula1>
    </dataValidation>
    <dataValidation type="list" xr:uid="{0D6088C8-D8C9-49D3-9F44-E0A3D23DF022}" sqref="O29" showErrorMessage="1" errorTitle="An invalid feedback was entered" error="Please choose feedback from drop down only.">
      <formula1>"Yes,No,FlexRET"</formula1>
    </dataValidation>
    <dataValidation type="list" xr:uid="{EC27BFB8-41D6-4D79-8ACD-4153E0696A6B}" sqref="P29" showErrorMessage="1" errorTitle="An invalid feedback was entered" error="Please choose feedback from drop down only.">
      <formula1>"Yes,No,FlexRET"</formula1>
    </dataValidation>
    <dataValidation type="list" xr:uid="{07A346E2-0C43-4507-966C-1F1A14CEF596}" sqref="Q29" showErrorMessage="1" errorTitle="An invalid feedback was entered" error="Please choose feedback from drop down only.">
      <formula1>"Yes,No,FlexRET"</formula1>
    </dataValidation>
    <dataValidation type="list" xr:uid="{61FFF780-74EA-4368-8DB3-BDE03F2465B6}" sqref="C25" showErrorMessage="1" errorTitle="An invalid feedback was entered" error="Please choose feedback from drop down only.">
      <formula1>"G,U,L,NR,GU,UL,GL,GUL,LNR,ULNR,None"</formula1>
    </dataValidation>
    <dataValidation type="list" xr:uid="{DD2ECA82-CEA4-4FD1-ADAF-F8D0BC2CBD23}" sqref="D25" showErrorMessage="1" errorTitle="An invalid feedback was entered" error="Please choose feedback from drop down only.">
      <formula1>"G,U,L,NR,GU,UL,GL,GUL,LNR,ULNR,None"</formula1>
    </dataValidation>
    <dataValidation type="list" xr:uid="{4E465306-F22E-4D13-B0F3-164CA7F71DAE}" sqref="E25" showErrorMessage="1" errorTitle="An invalid feedback was entered" error="Please choose feedback from drop down only.">
      <formula1>"G,U,L,NR,GU,UL,GL,GUL,LNR,ULNR,None"</formula1>
    </dataValidation>
    <dataValidation type="list" xr:uid="{C6170564-5524-4B52-B7F8-3355FA432A18}" sqref="F25" showErrorMessage="1" errorTitle="An invalid feedback was entered" error="Please choose feedback from drop down only.">
      <formula1>"G,U,L,NR,GU,UL,GL,GUL,LNR,ULNR,None"</formula1>
    </dataValidation>
    <dataValidation type="list" xr:uid="{63A02941-8921-4080-8147-61A456C8D05F}" sqref="G25" showErrorMessage="1" errorTitle="An invalid feedback was entered" error="Please choose feedback from drop down only.">
      <formula1>"G,U,L,NR,GU,UL,GL,GUL,LNR,ULNR,None"</formula1>
    </dataValidation>
    <dataValidation type="list" xr:uid="{9200D049-0167-41E6-8B52-B8FADEA97EF6}" sqref="H25" showErrorMessage="1" errorTitle="An invalid feedback was entered" error="Please choose feedback from drop down only.">
      <formula1>"G,U,L,NR,GU,UL,GL,GUL,LNR,ULNR,None"</formula1>
    </dataValidation>
    <dataValidation type="list" xr:uid="{ADFA7D27-A308-4486-97FE-65367CB52377}" sqref="I25" showErrorMessage="1" errorTitle="An invalid feedback was entered" error="Please choose feedback from drop down only.">
      <formula1>"G,U,L,NR,GU,UL,GL,GUL,LNR,ULNR,None"</formula1>
    </dataValidation>
    <dataValidation type="list" xr:uid="{B87744CC-9DCF-418C-9571-3010AC87D778}" sqref="J25" showErrorMessage="1" errorTitle="An invalid feedback was entered" error="Please choose feedback from drop down only.">
      <formula1>"G,U,L,NR,GU,UL,GL,GUL,LNR,ULNR,None"</formula1>
    </dataValidation>
    <dataValidation type="list" xr:uid="{1C730E98-F885-437D-981E-90B4AFE93650}" sqref="K25" showErrorMessage="1" errorTitle="An invalid feedback was entered" error="Please choose feedback from drop down only.">
      <formula1>"G,U,L,NR,GU,UL,GL,GUL,LNR,ULNR,None"</formula1>
    </dataValidation>
    <dataValidation type="list" xr:uid="{53946DA9-4580-4FF9-B253-11C4354FAC35}" sqref="L25" showErrorMessage="1" errorTitle="An invalid feedback was entered" error="Please choose feedback from drop down only.">
      <formula1>"G,U,L,NR,GU,UL,GL,GUL,LNR,ULNR,None"</formula1>
    </dataValidation>
    <dataValidation type="list" xr:uid="{47444B61-744A-4379-AD46-17A30A663463}" sqref="M25" showErrorMessage="1" errorTitle="An invalid feedback was entered" error="Please choose feedback from drop down only.">
      <formula1>"G,U,L,NR,GU,UL,GL,GUL,LNR,ULNR,None"</formula1>
    </dataValidation>
    <dataValidation type="list" xr:uid="{A4C17831-1E11-4CD1-93DE-DD9D0B9EFFB5}" sqref="N25" showErrorMessage="1" errorTitle="An invalid feedback was entered" error="Please choose feedback from drop down only.">
      <formula1>"G,U,L,NR,GU,UL,GL,GUL,LNR,ULNR,None"</formula1>
    </dataValidation>
    <dataValidation type="list" xr:uid="{7AE3A7EC-F160-4051-963F-8EB56177D55F}" sqref="O25" showErrorMessage="1" errorTitle="An invalid feedback was entered" error="Please choose feedback from drop down only.">
      <formula1>"G,U,L,NR,GU,UL,GL,GUL,LNR,ULNR,None"</formula1>
    </dataValidation>
    <dataValidation type="list" xr:uid="{3DAC9EF6-887D-4D70-9BEB-97ADE1E99A08}" sqref="P25" showErrorMessage="1" errorTitle="An invalid feedback was entered" error="Please choose feedback from drop down only.">
      <formula1>"G,U,L,NR,GU,UL,GL,GUL,LNR,ULNR,None"</formula1>
    </dataValidation>
    <dataValidation type="list" xr:uid="{61E69E3E-39D8-43C6-9DF3-9C4AB0A98C65}" sqref="Q25" showErrorMessage="1" errorTitle="An invalid feedback was entered" error="Please choose feedback from drop down only.">
      <formula1>"G,U,L,NR,GU,UL,GL,GUL,LNR,ULNR,None"</formula1>
    </dataValidation>
    <dataValidation type="list" xr:uid="{85A542DA-57E0-49E6-A851-46D49AE2289B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A7D18BE-2F8F-442C-BFE6-BEF0FD56F557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60C20F0-0B99-4733-871B-E55C87FFDDD0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EF35CE1-76E3-4BE9-959E-15E48521B219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18225A7-330C-431D-8BAC-17E753BC1ABB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BD779CB-EE88-4A3C-9A84-2970B5511AD4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DA817EB-B17F-4960-AAEB-E6A7A1A0C01F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DCBD9FD-108C-4675-BB52-49CF1AAD54E1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A9B1619-EA2F-4409-AF12-9FA613901D01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A16A243-A2F7-452A-B4CF-0C3CA076BE9E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80D77FE-9BA0-40B6-A985-D6DA2208A520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E055BFD-9648-4A67-833B-BB30BF62CAF3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658ACE0-0288-43D8-BB1F-23F36E1B8AAB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39506C0-8749-4528-BAAF-33453ABE21F0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8D855D7-2FEA-43B4-B35F-2ECD0B47C539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7" right="0.7" top="0.75" bottom="0.75" header="0.3" footer="0.3"/>
  <pageSetup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5E82FCC4-AB1A-4FF8-83E7-CD86BD847502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E7DDFC3D-6D9B-40F8-A109-7FF9765900F4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F7D614E1-568B-4028-8857-E6A5967D45D2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71AC1E74-9989-485F-B28D-857405AC0A0F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82DAC817-B907-413C-9A97-81CCC98B6E03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F9815C29-34FF-4906-8275-48808EEA1476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6A6644BA-36BA-4487-8CFB-4B1A372023B0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A07B0062-67D4-43DB-B87E-9D81F4E5C19D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9B898A0B-46B6-4221-B87F-AAD4D6A6C4AD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796AA8D5-0D69-4E64-945B-D2CF425C61AE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3890F599-1EBF-4D60-B7B4-2B66F37C98E9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6A11EC61-E6A9-4EB5-9618-89FE71B10710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4C40DA9A-42DE-4F43-8A09-F0FDD8DD7903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2C1A7EDE-0A9C-44BA-8100-69A58F5A9705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D6FAA925-BF48-4F5A-9A2F-F74C26D4FE43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1EAA4C37-5623-4B97-BFC9-D7E1D2AEDB31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1AC5902B-E946-437D-B612-F2D468469AA2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FC0FA5EE-14EF-4C3C-807A-616AEA64F49E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E6B80816-D57B-4836-9F9B-6D90A61D24BE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8934CBBE-15D5-476A-843D-304B91C26973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8F5E91B0-A37F-4605-9C8C-89CA473814FE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8A0C6CE8-F183-4409-9F26-9E9FE21EF6E7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E3B7065A-2386-4B04-A426-14BA99D22835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D04705F3-2EA0-4493-B741-955C3618F2F6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DF0E9371-D377-4CEC-8DAD-B3F190FC6846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C55BAEE1-CAC6-48D1-9700-D63912C254AB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109C4CB7-29BA-4452-9736-533ABE32395F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66D244C9-5A66-464D-8CA6-FBCC8677304F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14180980-8104-4C94-898F-D16E561916F5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576D5CB5-5E49-479B-A6B9-AB0E4AA82984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5048678D-EA13-4CCF-9562-5B48401FEAAC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99BE98A6-97D5-4454-8877-9AB5D785DA38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AA84096C-A1F7-491A-916B-602E59D4D1E5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DA936505-E31B-4BCA-9037-0AA4F3AECEEB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9D335468-1FC5-42D8-94B0-6F454A011894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F3C13D1C-600B-4925-8797-DC11C155FAC3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2194BD1D-E60B-4137-A299-6168D0FA8F08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EEFF5730-924D-4FC0-8CF8-A1426A1667B8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C320909B-78AB-4DCF-B539-5CC7F4D7F55A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729E2599-A412-4311-BC18-2FF856EDFDDE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E22976E8-3B6A-4824-B4F3-92B626359B0A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F5564067-75DB-47CB-8073-FF395D51B53F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14D714E8-FEA6-4D9F-8AAE-EEB723104336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9F3E6712-3CDC-4A6D-B772-44F4FDD5BE56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D2B7EB0A-6E76-4E3F-8774-E7B5FAC03D7D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DD61BFB5-E35F-4311-B312-0A3B1F7CBF23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8C524029-BE2E-48D0-A76B-E9D908C6ECF0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F8288760-A758-4AD1-B291-9D7B7E5A8B02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F27BB9A9-3107-4ED0-AD78-C98DEEB9ACBF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D1EB80BF-A1AA-472E-9838-A2236403FE45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542C721E-97CE-43A0-A13F-2D47A0D1DF6F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F3C258F5-F7A5-46D1-9D94-CD39F54D54BF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8C217233-59AB-4957-B697-D042153441FB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1FBC5740-9B9C-49BF-A1B3-220205DABEA5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BCBC7174-DBE8-443A-ADB2-2520D82B76BE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31A34982-2937-40CD-9000-61F0086DE307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D92651C8-B4AC-490A-A9BC-7BCBF25A7783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50365EE4-9E35-43FD-8AF8-E5D67B1087FF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BABE55D9-C8DB-46FB-91BA-9FCD0FE60300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84743A67-0D8D-4694-83D0-46EEE4618F2F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10"/>
  <dimension ref="A1:U45"/>
  <sheetViews>
    <sheetView zoomScale="90" zoomScaleNormal="90" workbookViewId="0">
      <selection activeCell="C8" sqref="C8:H8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/>
      <c r="B1" s="198"/>
      <c r="C1" s="258" t="s">
        <v>117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8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11"/>
      <c r="D3" s="212"/>
      <c r="E3" s="212"/>
      <c r="F3" s="212"/>
      <c r="G3" s="212"/>
      <c r="H3" s="212"/>
      <c r="I3" s="212"/>
      <c r="J3" s="212"/>
      <c r="K3" s="212"/>
      <c r="L3" s="212"/>
      <c r="M3" s="212"/>
      <c r="N3" s="212"/>
      <c r="O3" s="212"/>
      <c r="P3" s="213"/>
    </row>
    <row r="4" ht="25.15" s="22" customFormat="1">
      <c r="A4" s="241"/>
      <c r="B4" s="9" t="s">
        <v>3</v>
      </c>
      <c r="C4" s="270"/>
      <c r="D4" s="271"/>
      <c r="E4" s="271"/>
      <c r="F4" s="271"/>
      <c r="G4" s="271"/>
      <c r="H4" s="271"/>
      <c r="I4" s="271"/>
      <c r="J4" s="271"/>
      <c r="K4" s="271"/>
      <c r="L4" s="271"/>
      <c r="M4" s="271"/>
      <c r="N4" s="271"/>
      <c r="O4" s="271"/>
      <c r="P4" s="272"/>
    </row>
    <row r="5" ht="24.75">
      <c r="A5" s="241"/>
      <c r="B5" s="13" t="s">
        <v>4</v>
      </c>
      <c r="C5" s="245"/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4"/>
    </row>
    <row r="8" ht="17.65" s="22" customFormat="1">
      <c r="A8" s="241"/>
      <c r="B8" s="9" t="s">
        <v>8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95"/>
    </row>
    <row r="9" ht="17.25">
      <c r="A9" s="241"/>
      <c r="B9" s="8" t="s">
        <v>9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94"/>
    </row>
    <row r="10" ht="17.65" s="22" customFormat="1">
      <c r="A10" s="241"/>
      <c r="B10" s="10" t="s">
        <v>11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95"/>
    </row>
    <row r="11" ht="17.25">
      <c r="A11" s="241"/>
      <c r="B11" s="8" t="s">
        <v>12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94"/>
    </row>
    <row r="12" ht="17.65" s="22" customFormat="1">
      <c r="A12" s="241"/>
      <c r="B12" s="10" t="s">
        <v>13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95"/>
    </row>
    <row r="13" ht="17.25">
      <c r="A13" s="241"/>
      <c r="B13" s="8" t="s">
        <v>14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94"/>
    </row>
    <row r="14" ht="17.65" s="22" customFormat="1">
      <c r="A14" s="241"/>
      <c r="B14" s="10" t="s">
        <v>15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96"/>
    </row>
    <row r="15" ht="17.25">
      <c r="A15" s="241"/>
      <c r="B15" s="8" t="s">
        <v>16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97"/>
    </row>
    <row r="16" ht="17.25" s="22" customFormat="1">
      <c r="A16" s="241"/>
      <c r="B16" s="68" t="s">
        <v>17</v>
      </c>
      <c r="C16" s="199"/>
      <c r="D16" s="273"/>
      <c r="E16" s="273"/>
      <c r="F16" s="273"/>
      <c r="G16" s="273"/>
      <c r="H16" s="274"/>
      <c r="I16" s="205"/>
      <c r="J16" s="206"/>
      <c r="K16" s="206"/>
      <c r="L16" s="207"/>
      <c r="M16" s="205"/>
      <c r="N16" s="206"/>
      <c r="O16" s="207"/>
      <c r="P16" s="98"/>
    </row>
    <row r="17" ht="17.25">
      <c r="A17" s="256"/>
      <c r="B17" s="70" t="s">
        <v>18</v>
      </c>
      <c r="C17" s="63" t="s">
        <v>19</v>
      </c>
      <c r="D17" s="64" t="s">
        <v>20</v>
      </c>
      <c r="E17" s="64" t="s">
        <v>21</v>
      </c>
      <c r="F17" s="64" t="s">
        <v>22</v>
      </c>
      <c r="G17" s="64" t="s">
        <v>23</v>
      </c>
      <c r="H17" s="65" t="s">
        <v>24</v>
      </c>
      <c r="I17" s="63" t="s">
        <v>19</v>
      </c>
      <c r="J17" s="64" t="s">
        <v>20</v>
      </c>
      <c r="K17" s="64" t="s">
        <v>21</v>
      </c>
      <c r="L17" s="65" t="s">
        <v>22</v>
      </c>
      <c r="M17" s="63" t="s">
        <v>19</v>
      </c>
      <c r="N17" s="64" t="s">
        <v>20</v>
      </c>
      <c r="O17" s="65" t="s">
        <v>21</v>
      </c>
      <c r="P17" s="76" t="s">
        <v>19</v>
      </c>
    </row>
    <row r="18" ht="17.25">
      <c r="A18" s="256"/>
      <c r="B18" s="70" t="s">
        <v>25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30</v>
      </c>
      <c r="C19" s="105">
        <f>VLOOKUP(C8,AntennasPortName!A:H,2,FALSE)</f>
      </c>
      <c r="D19" s="105">
        <f>VLOOKUP(C8,AntennasPortName!A:H,3,FALSE)</f>
      </c>
      <c r="E19" s="105">
        <f>VLOOKUP(C8,AntennasPortName!A:H,4,FALSE)</f>
      </c>
      <c r="F19" s="105">
        <f>VLOOKUP(C8,AntennasPortName!A:H,5,FALSE)</f>
      </c>
      <c r="G19" s="105">
        <f>VLOOKUP(C8,AntennasPortName!A:H,6,FALSE)</f>
      </c>
      <c r="H19" s="105">
        <f>VLOOKUP(C8,AntennasPortName!A:H,7,FALSE)</f>
      </c>
      <c r="I19" s="105">
        <f>VLOOKUP(I8,AntennasPortName!A:H,2,FALSE)</f>
      </c>
      <c r="J19" s="105">
        <f>VLOOKUP(I8,AntennasPortName!A:H,3,FALSE)</f>
      </c>
      <c r="K19" s="105">
        <f>VLOOKUP(I8,AntennasPortName!A:H,4,FALSE)</f>
      </c>
      <c r="L19" s="105">
        <f>VLOOKUP(I8,AntennasPortName!A:H,5,FALSE)</f>
      </c>
      <c r="M19" s="105">
        <f>VLOOKUP(M8,AntennasPortName!A:H,2,FALSE)</f>
      </c>
      <c r="N19" s="105">
        <f>VLOOKUP(M8,AntennasPortName!A:H,3,FALSE)</f>
      </c>
      <c r="O19" s="105">
        <f>VLOOKUP(M8,AntennasPortName!A:H,4,FALSE)</f>
      </c>
      <c r="P19" s="105">
        <f>VLOOKUP(P8,AntennasPortName!A:H,2,FALSE)</f>
      </c>
      <c r="Q19" s="106"/>
    </row>
    <row r="20" ht="17.25">
      <c r="A20" s="241"/>
      <c r="B20" s="69" t="s">
        <v>31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34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35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36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37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41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42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43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44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45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46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48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49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50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51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55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56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58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59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61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62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63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64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C3:P3"/>
    <mergeCell ref="C4:P4"/>
    <mergeCell ref="C5:P5"/>
    <mergeCell ref="C6:P6"/>
    <mergeCell ref="B42:P45"/>
    <mergeCell ref="M15:O15"/>
    <mergeCell ref="M16:O16"/>
    <mergeCell ref="M13:O13"/>
    <mergeCell ref="M14:O14"/>
    <mergeCell ref="M11:O11"/>
    <mergeCell ref="M12:O12"/>
    <mergeCell ref="C9:H9"/>
    <mergeCell ref="I9:L9"/>
    <mergeCell ref="M9:O9"/>
    <mergeCell ref="C10:H10"/>
    <mergeCell ref="I10:L10"/>
    <mergeCell ref="A34:A35"/>
    <mergeCell ref="A36:A41"/>
    <mergeCell ref="A42:A45"/>
    <mergeCell ref="C15:H15"/>
    <mergeCell ref="I15:L15"/>
    <mergeCell ref="C16:H16"/>
    <mergeCell ref="I16:L16"/>
    <mergeCell ref="A3:A33"/>
    <mergeCell ref="C13:H13"/>
    <mergeCell ref="I13:L13"/>
    <mergeCell ref="C14:H14"/>
    <mergeCell ref="I14:L14"/>
    <mergeCell ref="C11:H11"/>
    <mergeCell ref="I11:L11"/>
    <mergeCell ref="C12:H12"/>
    <mergeCell ref="I12:L12"/>
    <mergeCell ref="M10:O10"/>
    <mergeCell ref="C7:H7"/>
    <mergeCell ref="I7:L7"/>
    <mergeCell ref="M7:O7"/>
    <mergeCell ref="C8:H8"/>
    <mergeCell ref="I8:L8"/>
    <mergeCell ref="M8:O8"/>
    <mergeCell ref="A1:B1"/>
    <mergeCell ref="C2:H2"/>
    <mergeCell ref="I2:L2"/>
    <mergeCell ref="M2:O2"/>
    <mergeCell ref="C1:P1"/>
  </mergeCells>
  <conditionalFormatting sqref="C22:E22 C4 H22:O22">
    <cfRule type="cellIs" dxfId="0" priority="49" operator="greaterThan">
      <formula>0</formula>
    </cfRule>
  </conditionalFormatting>
  <conditionalFormatting sqref="C21:E21 H21:O21">
    <cfRule type="expression" dxfId="1" priority="48">
      <formula>ISERROR(C21)</formula>
    </cfRule>
  </conditionalFormatting>
  <conditionalFormatting sqref="C21:E21 H21:O21">
    <cfRule type="cellIs" dxfId="1" priority="47" operator="equal">
      <formula>0</formula>
    </cfRule>
  </conditionalFormatting>
  <conditionalFormatting sqref="C21:E21 H21:O21">
    <cfRule type="cellIs" dxfId="3" priority="46" operator="greaterThan">
      <formula>0</formula>
    </cfRule>
  </conditionalFormatting>
  <conditionalFormatting sqref="C27:O27 D29:O29 D33:O33">
    <cfRule type="cellIs" dxfId="0" priority="45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41">
      <formula>ISBLANK(C8)</formula>
    </cfRule>
  </conditionalFormatting>
  <conditionalFormatting sqref="C29">
    <cfRule type="cellIs" dxfId="0" priority="43" operator="notEqual">
      <formula>VALUE(C28)</formula>
    </cfRule>
  </conditionalFormatting>
  <conditionalFormatting sqref="C29">
    <cfRule type="expression" dxfId="10" priority="42">
      <formula>ISBLANK(C29)</formula>
    </cfRule>
  </conditionalFormatting>
  <conditionalFormatting sqref="C8:O8 C10:O10 C12:O12 C14:O14 C16:O16 C31:O31 D35:O35 D37:O37 D25:O25 D39:O39 D41:O41">
    <cfRule type="cellIs" dxfId="0" priority="44" operator="notEqual">
      <formula>C7</formula>
    </cfRule>
  </conditionalFormatting>
  <conditionalFormatting sqref="C31">
    <cfRule type="expression" dxfId="10" priority="40">
      <formula>ISBLANK(C31)</formula>
    </cfRule>
  </conditionalFormatting>
  <conditionalFormatting sqref="C33">
    <cfRule type="cellIs" dxfId="0" priority="39" operator="notEqual">
      <formula>VALUE(C32)</formula>
    </cfRule>
  </conditionalFormatting>
  <conditionalFormatting sqref="C33">
    <cfRule type="expression" dxfId="10" priority="38">
      <formula>ISBLANK(C33)</formula>
    </cfRule>
  </conditionalFormatting>
  <conditionalFormatting sqref="C35">
    <cfRule type="cellIs" dxfId="0" priority="37" operator="notEqual">
      <formula>C34</formula>
    </cfRule>
  </conditionalFormatting>
  <conditionalFormatting sqref="C35">
    <cfRule type="expression" dxfId="10" priority="36">
      <formula>ISBLANK(C35)</formula>
    </cfRule>
  </conditionalFormatting>
  <conditionalFormatting sqref="C37">
    <cfRule type="cellIs" dxfId="0" priority="35" operator="notEqual">
      <formula>C36</formula>
    </cfRule>
  </conditionalFormatting>
  <conditionalFormatting sqref="C37">
    <cfRule type="expression" dxfId="10" priority="34">
      <formula>ISBLANK(C37)</formula>
    </cfRule>
  </conditionalFormatting>
  <conditionalFormatting sqref="C6">
    <cfRule type="expression" dxfId="10" priority="32">
      <formula>ISBLANK(C6)</formula>
    </cfRule>
    <cfRule type="cellIs" dxfId="0" priority="33" operator="notEqual">
      <formula>C5</formula>
    </cfRule>
  </conditionalFormatting>
  <conditionalFormatting sqref="C25">
    <cfRule type="cellIs" dxfId="0" priority="31" operator="notEqual">
      <formula>C24</formula>
    </cfRule>
  </conditionalFormatting>
  <conditionalFormatting sqref="C25">
    <cfRule type="expression" dxfId="10" priority="30">
      <formula>ISBLANK(C25)</formula>
    </cfRule>
  </conditionalFormatting>
  <conditionalFormatting sqref="C39">
    <cfRule type="cellIs" dxfId="0" priority="29" operator="notEqual">
      <formula>C38</formula>
    </cfRule>
  </conditionalFormatting>
  <conditionalFormatting sqref="C39">
    <cfRule type="expression" dxfId="10" priority="28">
      <formula>ISBLANK(C39)</formula>
    </cfRule>
  </conditionalFormatting>
  <conditionalFormatting sqref="C41">
    <cfRule type="cellIs" dxfId="0" priority="27" operator="notEqual">
      <formula>C40</formula>
    </cfRule>
  </conditionalFormatting>
  <conditionalFormatting sqref="C41">
    <cfRule type="expression" dxfId="10" priority="26">
      <formula>ISBLANK(C41)</formula>
    </cfRule>
  </conditionalFormatting>
  <conditionalFormatting sqref="C24:O41">
    <cfRule type="expression" dxfId="1" priority="25" stopIfTrue="1">
      <formula>OR(C$22="Free",C$22="Telenor",C$22="Mtel",C$22="Telenor&amp;Mtel")</formula>
    </cfRule>
  </conditionalFormatting>
  <conditionalFormatting sqref="F22:G22">
    <cfRule type="cellIs" dxfId="0" priority="24" operator="greaterThan">
      <formula>0</formula>
    </cfRule>
  </conditionalFormatting>
  <conditionalFormatting sqref="F21:G21">
    <cfRule type="expression" dxfId="1" priority="23">
      <formula>ISERROR(F21)</formula>
    </cfRule>
  </conditionalFormatting>
  <conditionalFormatting sqref="F21:G21">
    <cfRule type="cellIs" dxfId="1" priority="22" operator="equal">
      <formula>0</formula>
    </cfRule>
  </conditionalFormatting>
  <conditionalFormatting sqref="F21:G21">
    <cfRule type="cellIs" dxfId="3" priority="21" operator="greaterThan">
      <formula>0</formula>
    </cfRule>
  </conditionalFormatting>
  <conditionalFormatting sqref="P22">
    <cfRule type="cellIs" dxfId="0" priority="20" operator="greaterThan">
      <formula>0</formula>
    </cfRule>
  </conditionalFormatting>
  <conditionalFormatting sqref="P27 P29 P33">
    <cfRule type="cellIs" dxfId="0" priority="16" operator="notEqual">
      <formula>VALUE(P26)</formula>
    </cfRule>
  </conditionalFormatting>
  <conditionalFormatting sqref="P8 P10 P12 P14 P16 P27 P29 P31 P33 P35 P37 P25 P39 P41">
    <cfRule type="expression" dxfId="10" priority="14">
      <formula>ISBLANK(P8)</formula>
    </cfRule>
  </conditionalFormatting>
  <conditionalFormatting sqref="P8 P10 P12 P14 P16 P31 P35 P37 P25 P39 P41">
    <cfRule type="cellIs" dxfId="0" priority="15" operator="notEqual">
      <formula>P7</formula>
    </cfRule>
  </conditionalFormatting>
  <conditionalFormatting sqref="P24:P41">
    <cfRule type="expression" dxfId="1" priority="13" stopIfTrue="1">
      <formula>OR(P$22="Free",P$22="Telenor",P$22="Mtel",P$22="Telenor&amp;Mtel")</formula>
    </cfRule>
  </conditionalFormatting>
  <conditionalFormatting sqref="C19">
    <cfRule type="expression" dxfId="1" priority="9">
      <formula>ISERROR(C19)</formula>
    </cfRule>
    <cfRule type="cellIs" dxfId="1" priority="10" operator="equal">
      <formula>0</formula>
    </cfRule>
  </conditionalFormatting>
  <conditionalFormatting sqref="P21">
    <cfRule type="expression" dxfId="1" priority="6">
      <formula>ISERROR(P21)</formula>
    </cfRule>
  </conditionalFormatting>
  <conditionalFormatting sqref="P21">
    <cfRule type="cellIs" dxfId="1" priority="5" operator="equal">
      <formula>0</formula>
    </cfRule>
  </conditionalFormatting>
  <conditionalFormatting sqref="P21">
    <cfRule type="cellIs" dxfId="3" priority="4" operator="greaterThan">
      <formula>0</formula>
    </cfRule>
  </conditionalFormatting>
  <conditionalFormatting sqref="D19:P19">
    <cfRule type="expression" dxfId="1" priority="2">
      <formula>ISERROR(D19)</formula>
    </cfRule>
    <cfRule type="cellIs" dxfId="1" priority="3" operator="equal">
      <formula>0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217605EC-4EAD-4D69-B34B-6302432B3A1B}" sqref="C2" showErrorMessage="1" errorTitle="An invalid feedback was entered" error="Please choose feedback from drop down only.">
      <formula1>"1,2,3"</formula1>
    </dataValidation>
    <dataValidation type="list" xr:uid="{47645CBE-0AE3-47F6-87F2-0A5E3D014CA4}" sqref="D2" showErrorMessage="1" errorTitle="An invalid feedback was entered" error="Please choose feedback from drop down only.">
      <formula1>"1,2,3"</formula1>
    </dataValidation>
    <dataValidation type="list" xr:uid="{959BB652-6029-4E80-A0F8-3DE5B0E51461}" sqref="E2" showErrorMessage="1" errorTitle="An invalid feedback was entered" error="Please choose feedback from drop down only.">
      <formula1>"1,2,3"</formula1>
    </dataValidation>
    <dataValidation type="list" xr:uid="{22EF9AE3-3332-402D-A95F-25BA302AFBE2}" sqref="F2" showErrorMessage="1" errorTitle="An invalid feedback was entered" error="Please choose feedback from drop down only.">
      <formula1>"1,2,3"</formula1>
    </dataValidation>
    <dataValidation type="list" xr:uid="{77C968A8-CA53-4152-AF78-C9DB96B81C4D}" sqref="G2" showErrorMessage="1" errorTitle="An invalid feedback was entered" error="Please choose feedback from drop down only.">
      <formula1>"1,2,3"</formula1>
    </dataValidation>
    <dataValidation type="list" xr:uid="{8926359A-5007-4364-9988-8F0181D5236E}" sqref="H2" showErrorMessage="1" errorTitle="An invalid feedback was entered" error="Please choose feedback from drop down only.">
      <formula1>"1,2,3"</formula1>
    </dataValidation>
    <dataValidation type="list" xr:uid="{E5B3D5CC-A226-4A3E-80C6-5A28D8F3E135}" sqref="I2" showErrorMessage="1" errorTitle="An invalid feedback was entered" error="Please choose feedback from drop down only.">
      <formula1>"1,2,3"</formula1>
    </dataValidation>
    <dataValidation type="list" xr:uid="{302B2EBC-77AB-4503-AA29-972BEE671922}" sqref="J2" showErrorMessage="1" errorTitle="An invalid feedback was entered" error="Please choose feedback from drop down only.">
      <formula1>"1,2,3"</formula1>
    </dataValidation>
    <dataValidation type="list" xr:uid="{C0366D95-4F5E-4D88-A56E-66A13F1B888C}" sqref="K2" showErrorMessage="1" errorTitle="An invalid feedback was entered" error="Please choose feedback from drop down only.">
      <formula1>"1,2,3"</formula1>
    </dataValidation>
    <dataValidation type="list" xr:uid="{6FBF2851-3D73-4BC0-BD2D-FA43FF5E3ED7}" sqref="L2" showErrorMessage="1" errorTitle="An invalid feedback was entered" error="Please choose feedback from drop down only.">
      <formula1>"1,2,3"</formula1>
    </dataValidation>
    <dataValidation type="list" xr:uid="{A5151C73-6C9B-4B1C-BE62-A00228C3F915}" sqref="M2" showErrorMessage="1" errorTitle="An invalid feedback was entered" error="Please choose feedback from drop down only.">
      <formula1>"1,2,3"</formula1>
    </dataValidation>
    <dataValidation type="list" xr:uid="{3606DA31-589E-4D05-9E54-AFA1934E838F}" sqref="N2" showErrorMessage="1" errorTitle="An invalid feedback was entered" error="Please choose feedback from drop down only.">
      <formula1>"1,2,3"</formula1>
    </dataValidation>
    <dataValidation type="list" xr:uid="{1260F652-A556-4C87-87AA-7CCFA0C2E11C}" sqref="O2" showErrorMessage="1" errorTitle="An invalid feedback was entered" error="Please choose feedback from drop down only.">
      <formula1>"1,2,3"</formula1>
    </dataValidation>
    <dataValidation type="list" xr:uid="{BC810169-F344-4C8F-8B93-00398ED467AE}" sqref="P2" showErrorMessage="1" errorTitle="An invalid feedback was entered" error="Please choose feedback from drop down only.">
      <formula1>"1,2,3"</formula1>
    </dataValidation>
    <dataValidation type="list" xr:uid="{72D07745-CCA2-402B-A2C5-ECC4A88256C0}" sqref="Q2" showErrorMessage="1" errorTitle="An invalid feedback was entered" error="Please choose feedback from drop down only.">
      <formula1>"1,2,3"</formula1>
    </dataValidation>
    <dataValidation type="list" xr:uid="{73EC6250-C7E0-4556-89F7-74D8A2BFB9C1}" sqref="C17" showErrorMessage="1" errorTitle="An invalid feedback was entered" error="Please choose feedback from drop down only.">
      <formula1>"1-2,3-4,5-6,7-8,9-10,N/A"</formula1>
    </dataValidation>
    <dataValidation type="list" xr:uid="{015D4583-1B33-4457-844B-811CB3002F14}" sqref="D17" showErrorMessage="1" errorTitle="An invalid feedback was entered" error="Please choose feedback from drop down only.">
      <formula1>"1-2,3-4,5-6,7-8,9-10,N/A"</formula1>
    </dataValidation>
    <dataValidation type="list" xr:uid="{9916CA7F-78ED-4436-96F8-E27C75AD0D98}" sqref="E17" showErrorMessage="1" errorTitle="An invalid feedback was entered" error="Please choose feedback from drop down only.">
      <formula1>"1-2,3-4,5-6,7-8,9-10,N/A"</formula1>
    </dataValidation>
    <dataValidation type="list" xr:uid="{F2D8FBB6-8018-4092-8081-0EB7DF2A5374}" sqref="F17" showErrorMessage="1" errorTitle="An invalid feedback was entered" error="Please choose feedback from drop down only.">
      <formula1>"1-2,3-4,5-6,7-8,9-10,N/A"</formula1>
    </dataValidation>
    <dataValidation type="list" xr:uid="{C3CF6947-2C4B-4621-9B3D-B54808CA621F}" sqref="G17" showErrorMessage="1" errorTitle="An invalid feedback was entered" error="Please choose feedback from drop down only.">
      <formula1>"1-2,3-4,5-6,7-8,9-10,N/A"</formula1>
    </dataValidation>
    <dataValidation type="list" xr:uid="{437DEAF8-600E-4F23-9EE9-9912B10E195A}" sqref="H17" showErrorMessage="1" errorTitle="An invalid feedback was entered" error="Please choose feedback from drop down only.">
      <formula1>"1-2,3-4,5-6,7-8,9-10,N/A"</formula1>
    </dataValidation>
    <dataValidation type="list" xr:uid="{900BE736-0DB2-4AF8-A275-24B3F30FD979}" sqref="I17" showErrorMessage="1" errorTitle="An invalid feedback was entered" error="Please choose feedback from drop down only.">
      <formula1>"1-2,3-4,5-6,7-8,9-10,N/A"</formula1>
    </dataValidation>
    <dataValidation type="list" xr:uid="{6426D05A-5D41-4F26-9D48-B981DFE51AEF}" sqref="J17" showErrorMessage="1" errorTitle="An invalid feedback was entered" error="Please choose feedback from drop down only.">
      <formula1>"1-2,3-4,5-6,7-8,9-10,N/A"</formula1>
    </dataValidation>
    <dataValidation type="list" xr:uid="{97F41E6E-62EB-4F07-95B6-7AD51D212D2D}" sqref="K17" showErrorMessage="1" errorTitle="An invalid feedback was entered" error="Please choose feedback from drop down only.">
      <formula1>"1-2,3-4,5-6,7-8,9-10,N/A"</formula1>
    </dataValidation>
    <dataValidation type="list" xr:uid="{DD0E1FA0-B4BC-4DB0-81E5-02414B378181}" sqref="L17" showErrorMessage="1" errorTitle="An invalid feedback was entered" error="Please choose feedback from drop down only.">
      <formula1>"1-2,3-4,5-6,7-8,9-10,N/A"</formula1>
    </dataValidation>
    <dataValidation type="list" xr:uid="{3E5448AC-5377-4C55-9A48-5BCB79F1BB08}" sqref="M17" showErrorMessage="1" errorTitle="An invalid feedback was entered" error="Please choose feedback from drop down only.">
      <formula1>"1-2,3-4,5-6,7-8,9-10,N/A"</formula1>
    </dataValidation>
    <dataValidation type="list" xr:uid="{E48A513C-A242-4090-B36A-BF577679D287}" sqref="N17" showErrorMessage="1" errorTitle="An invalid feedback was entered" error="Please choose feedback from drop down only.">
      <formula1>"1-2,3-4,5-6,7-8,9-10,N/A"</formula1>
    </dataValidation>
    <dataValidation type="list" xr:uid="{F25D1117-F5FF-473A-9636-7E0491D05A67}" sqref="O17" showErrorMessage="1" errorTitle="An invalid feedback was entered" error="Please choose feedback from drop down only.">
      <formula1>"1-2,3-4,5-6,7-8,9-10,N/A"</formula1>
    </dataValidation>
    <dataValidation type="list" xr:uid="{43D19C5E-1D67-4060-AF39-B3E7311308D6}" sqref="P17" showErrorMessage="1" errorTitle="An invalid feedback was entered" error="Please choose feedback from drop down only.">
      <formula1>"1-2,3-4,5-6,7-8,9-10,N/A"</formula1>
    </dataValidation>
    <dataValidation type="list" xr:uid="{86C0C6DA-8F39-43AF-AB91-379A95F4CE54}" sqref="Q17" showErrorMessage="1" errorTitle="An invalid feedback was entered" error="Please choose feedback from drop down only.">
      <formula1>"1-2,3-4,5-6,7-8,9-10,N/A"</formula1>
    </dataValidation>
    <dataValidation type="list" xr:uid="{CC070263-8495-4A07-B85C-E94209759C3A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9EC0E6F5-A4B3-4050-820C-6FF69C23A600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7B7C8DC9-BF42-479D-B1CD-453133FB29EF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19231110-0DAB-4FD1-A588-C19A2244F825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93A7C896-6D27-4346-ACC3-EC72AE67BE4B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11BC7D78-AB50-4020-84C4-D6679E25A8C0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DFCB481B-4BE4-44E8-B285-FB7D7787DD0E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6B2382EF-5430-4A63-93E6-540B2A0F4610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0476BBC1-6C3C-4AD5-8894-D71904B2960E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97351670-5C25-4426-84AF-394731BD16A1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F3C74DFF-C988-4372-997A-B3354D686EAB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CEB55856-7722-479B-A43B-335CDD443679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1DAD3FEB-168E-4096-ACC2-64DF1A74D81D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26406501-46C6-4050-B6B5-9412E03A265F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D477D01A-9089-46B7-BCF0-B282F3E70C97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E6B473E9-8A4F-4DFF-B059-077A5847202D}" sqref="C23" showErrorMessage="1" errorTitle="An invalid feedback was entered" error="Please choose feedback from drop down only.">
      <formula1>"Yetel,Bulsatcom,A1,Yetel&amp;A1,N/A"</formula1>
    </dataValidation>
    <dataValidation type="list" xr:uid="{ACFD038A-C156-4EB6-96EB-C310DC456828}" sqref="D23" showErrorMessage="1" errorTitle="An invalid feedback was entered" error="Please choose feedback from drop down only.">
      <formula1>"Yetel,Bulsatcom,A1,Yetel&amp;A1,N/A"</formula1>
    </dataValidation>
    <dataValidation type="list" xr:uid="{B9708F55-13C7-449C-8C14-626765820B61}" sqref="E23" showErrorMessage="1" errorTitle="An invalid feedback was entered" error="Please choose feedback from drop down only.">
      <formula1>"Yetel,Bulsatcom,A1,Yetel&amp;A1,N/A"</formula1>
    </dataValidation>
    <dataValidation type="list" xr:uid="{3F744BAA-596D-4178-B122-E6562A202E2B}" sqref="F23" showErrorMessage="1" errorTitle="An invalid feedback was entered" error="Please choose feedback from drop down only.">
      <formula1>"Yetel,Bulsatcom,A1,Yetel&amp;A1,N/A"</formula1>
    </dataValidation>
    <dataValidation type="list" xr:uid="{44656323-8308-45CD-928F-D6A7D714F367}" sqref="G23" showErrorMessage="1" errorTitle="An invalid feedback was entered" error="Please choose feedback from drop down only.">
      <formula1>"Yetel,Bulsatcom,A1,Yetel&amp;A1,N/A"</formula1>
    </dataValidation>
    <dataValidation type="list" xr:uid="{5C6E7029-8C50-4D44-90F1-32FAC8AC88FE}" sqref="H23" showErrorMessage="1" errorTitle="An invalid feedback was entered" error="Please choose feedback from drop down only.">
      <formula1>"Yetel,Bulsatcom,A1,Yetel&amp;A1,N/A"</formula1>
    </dataValidation>
    <dataValidation type="list" xr:uid="{59F279D7-C84F-4513-8517-D10AC35D49C3}" sqref="I23" showErrorMessage="1" errorTitle="An invalid feedback was entered" error="Please choose feedback from drop down only.">
      <formula1>"Yetel,Bulsatcom,A1,Yetel&amp;A1,N/A"</formula1>
    </dataValidation>
    <dataValidation type="list" xr:uid="{6ADB2E84-7C62-4A7E-97A8-23ADCF391FF7}" sqref="J23" showErrorMessage="1" errorTitle="An invalid feedback was entered" error="Please choose feedback from drop down only.">
      <formula1>"Yetel,Bulsatcom,A1,Yetel&amp;A1,N/A"</formula1>
    </dataValidation>
    <dataValidation type="list" xr:uid="{0C529F82-42BB-4A49-BEAA-DD3498963694}" sqref="K23" showErrorMessage="1" errorTitle="An invalid feedback was entered" error="Please choose feedback from drop down only.">
      <formula1>"Yetel,Bulsatcom,A1,Yetel&amp;A1,N/A"</formula1>
    </dataValidation>
    <dataValidation type="list" xr:uid="{E89BC5C6-C9F7-454F-B7C9-96739885EB0D}" sqref="L23" showErrorMessage="1" errorTitle="An invalid feedback was entered" error="Please choose feedback from drop down only.">
      <formula1>"Yetel,Bulsatcom,A1,Yetel&amp;A1,N/A"</formula1>
    </dataValidation>
    <dataValidation type="list" xr:uid="{E5A1AAA8-D10E-4310-B552-0DD7C7EEA753}" sqref="M23" showErrorMessage="1" errorTitle="An invalid feedback was entered" error="Please choose feedback from drop down only.">
      <formula1>"Yetel,Bulsatcom,A1,Yetel&amp;A1,N/A"</formula1>
    </dataValidation>
    <dataValidation type="list" xr:uid="{440048AF-BCCF-44F5-B7E2-5EE64DB50809}" sqref="N23" showErrorMessage="1" errorTitle="An invalid feedback was entered" error="Please choose feedback from drop down only.">
      <formula1>"Yetel,Bulsatcom,A1,Yetel&amp;A1,N/A"</formula1>
    </dataValidation>
    <dataValidation type="list" xr:uid="{54A20C7D-40C9-4137-9386-0D351A718222}" sqref="O23" showErrorMessage="1" errorTitle="An invalid feedback was entered" error="Please choose feedback from drop down only.">
      <formula1>"Yetel,Bulsatcom,A1,Yetel&amp;A1,N/A"</formula1>
    </dataValidation>
    <dataValidation type="list" xr:uid="{4256A42C-925A-4633-A4C9-D26DADC70A5C}" sqref="P23" showErrorMessage="1" errorTitle="An invalid feedback was entered" error="Please choose feedback from drop down only.">
      <formula1>"Yetel,Bulsatcom,A1,Yetel&amp;A1,N/A"</formula1>
    </dataValidation>
    <dataValidation type="list" xr:uid="{58C4922E-E11A-4DEC-BDD6-753DCC2A67AD}" sqref="Q23" showErrorMessage="1" errorTitle="An invalid feedback was entered" error="Please choose feedback from drop down only.">
      <formula1>"Yetel,Bulsatcom,A1,Yetel&amp;A1,N/A"</formula1>
    </dataValidation>
    <dataValidation type="list" xr:uid="{96F2D24E-A7C9-4096-ABA9-AD518DC9AFC2}" sqref="C31" showErrorMessage="1" errorTitle="An invalid feedback was entered" error="Please choose feedback from drop down only.">
      <formula1>"1/2,5/4,7/8,RRU TOP JUMPER,N/A"</formula1>
    </dataValidation>
    <dataValidation type="list" xr:uid="{8ECED205-A79B-48EA-A8C9-9B70DA398860}" sqref="D31" showErrorMessage="1" errorTitle="An invalid feedback was entered" error="Please choose feedback from drop down only.">
      <formula1>"1/2,5/4,7/8,RRU TOP JUMPER,N/A"</formula1>
    </dataValidation>
    <dataValidation type="list" xr:uid="{9B956973-58A6-4F6C-A30E-00204655B335}" sqref="E31" showErrorMessage="1" errorTitle="An invalid feedback was entered" error="Please choose feedback from drop down only.">
      <formula1>"1/2,5/4,7/8,RRU TOP JUMPER,N/A"</formula1>
    </dataValidation>
    <dataValidation type="list" xr:uid="{4353F8E6-9313-4A6D-B7F0-6AE8CFE09E04}" sqref="F31" showErrorMessage="1" errorTitle="An invalid feedback was entered" error="Please choose feedback from drop down only.">
      <formula1>"1/2,5/4,7/8,RRU TOP JUMPER,N/A"</formula1>
    </dataValidation>
    <dataValidation type="list" xr:uid="{87659706-73B5-47EE-8C8D-481764C6939B}" sqref="G31" showErrorMessage="1" errorTitle="An invalid feedback was entered" error="Please choose feedback from drop down only.">
      <formula1>"1/2,5/4,7/8,RRU TOP JUMPER,N/A"</formula1>
    </dataValidation>
    <dataValidation type="list" xr:uid="{6F1F8C98-E231-44B8-802E-C99678BAE687}" sqref="H31" showErrorMessage="1" errorTitle="An invalid feedback was entered" error="Please choose feedback from drop down only.">
      <formula1>"1/2,5/4,7/8,RRU TOP JUMPER,N/A"</formula1>
    </dataValidation>
    <dataValidation type="list" xr:uid="{DAC2A191-6CCB-4AD4-829E-0BFCECDAFD6D}" sqref="I31" showErrorMessage="1" errorTitle="An invalid feedback was entered" error="Please choose feedback from drop down only.">
      <formula1>"1/2,5/4,7/8,RRU TOP JUMPER,N/A"</formula1>
    </dataValidation>
    <dataValidation type="list" xr:uid="{4E159C58-C0B7-406F-B378-25A9996C0F92}" sqref="J31" showErrorMessage="1" errorTitle="An invalid feedback was entered" error="Please choose feedback from drop down only.">
      <formula1>"1/2,5/4,7/8,RRU TOP JUMPER,N/A"</formula1>
    </dataValidation>
    <dataValidation type="list" xr:uid="{1E4769C0-3A58-43B4-91F5-C9DA84EB9ABA}" sqref="K31" showErrorMessage="1" errorTitle="An invalid feedback was entered" error="Please choose feedback from drop down only.">
      <formula1>"1/2,5/4,7/8,RRU TOP JUMPER,N/A"</formula1>
    </dataValidation>
    <dataValidation type="list" xr:uid="{CBE7DFD2-DC70-4178-BBA7-19CE21AA2860}" sqref="L31" showErrorMessage="1" errorTitle="An invalid feedback was entered" error="Please choose feedback from drop down only.">
      <formula1>"1/2,5/4,7/8,RRU TOP JUMPER,N/A"</formula1>
    </dataValidation>
    <dataValidation type="list" xr:uid="{C0134806-9063-4960-B81F-19AC7A7489C2}" sqref="M31" showErrorMessage="1" errorTitle="An invalid feedback was entered" error="Please choose feedback from drop down only.">
      <formula1>"1/2,5/4,7/8,RRU TOP JUMPER,N/A"</formula1>
    </dataValidation>
    <dataValidation type="list" xr:uid="{C5D49379-29A1-4383-AA6C-AE944D3F18E7}" sqref="N31" showErrorMessage="1" errorTitle="An invalid feedback was entered" error="Please choose feedback from drop down only.">
      <formula1>"1/2,5/4,7/8,RRU TOP JUMPER,N/A"</formula1>
    </dataValidation>
    <dataValidation type="list" xr:uid="{B41EB1C4-5063-4E23-94BE-F0A6FB8D4D2C}" sqref="O31" showErrorMessage="1" errorTitle="An invalid feedback was entered" error="Please choose feedback from drop down only.">
      <formula1>"1/2,5/4,7/8,RRU TOP JUMPER,N/A"</formula1>
    </dataValidation>
    <dataValidation type="list" xr:uid="{814E4E1F-CE2D-4A27-88E8-9AF044838521}" sqref="P31" showErrorMessage="1" errorTitle="An invalid feedback was entered" error="Please choose feedback from drop down only.">
      <formula1>"1/2,5/4,7/8,RRU TOP JUMPER,N/A"</formula1>
    </dataValidation>
    <dataValidation type="list" xr:uid="{A68702AF-A642-431A-A8DD-DE928A645B88}" sqref="Q31" showErrorMessage="1" errorTitle="An invalid feedback was entered" error="Please choose feedback from drop down only.">
      <formula1>"1/2,5/4,7/8,RRU TOP JUMPER,N/A"</formula1>
    </dataValidation>
    <dataValidation type="list" xr:uid="{A8E0C3D0-EC1B-413B-BD85-5416E649C61B}" sqref="C4" showErrorMessage="1" errorTitle="An invalid feedback was entered" error="Please choose feedback from drop down only.">
      <formula1>"1,2,3,4,5,6,N/A"</formula1>
    </dataValidation>
    <dataValidation type="list" xr:uid="{FCB25228-C2BE-49B6-A377-CE9834D82DA1}" sqref="D4" showErrorMessage="1" errorTitle="An invalid feedback was entered" error="Please choose feedback from drop down only.">
      <formula1>"1,2,3,4,5,6,N/A"</formula1>
    </dataValidation>
    <dataValidation type="list" xr:uid="{A1C14F1F-7165-435D-8A47-9DE8D4582F07}" sqref="E4" showErrorMessage="1" errorTitle="An invalid feedback was entered" error="Please choose feedback from drop down only.">
      <formula1>"1,2,3,4,5,6,N/A"</formula1>
    </dataValidation>
    <dataValidation type="list" xr:uid="{E3BABDC2-B3EF-4919-A827-03DDD53CC65F}" sqref="F4" showErrorMessage="1" errorTitle="An invalid feedback was entered" error="Please choose feedback from drop down only.">
      <formula1>"1,2,3,4,5,6,N/A"</formula1>
    </dataValidation>
    <dataValidation type="list" xr:uid="{AA0F2A5A-DA76-4134-8E1F-EF7395A4BEC7}" sqref="G4" showErrorMessage="1" errorTitle="An invalid feedback was entered" error="Please choose feedback from drop down only.">
      <formula1>"1,2,3,4,5,6,N/A"</formula1>
    </dataValidation>
    <dataValidation type="list" xr:uid="{9A7C8A26-4570-447C-9430-A52C5864A06B}" sqref="H4" showErrorMessage="1" errorTitle="An invalid feedback was entered" error="Please choose feedback from drop down only.">
      <formula1>"1,2,3,4,5,6,N/A"</formula1>
    </dataValidation>
    <dataValidation type="list" xr:uid="{7FB0EA8E-09B2-4BCB-8B02-2F4829C784C0}" sqref="I4" showErrorMessage="1" errorTitle="An invalid feedback was entered" error="Please choose feedback from drop down only.">
      <formula1>"1,2,3,4,5,6,N/A"</formula1>
    </dataValidation>
    <dataValidation type="list" xr:uid="{3DA08677-DAB5-4C41-B511-3FA8315F638F}" sqref="J4" showErrorMessage="1" errorTitle="An invalid feedback was entered" error="Please choose feedback from drop down only.">
      <formula1>"1,2,3,4,5,6,N/A"</formula1>
    </dataValidation>
    <dataValidation type="list" xr:uid="{C2DACB7A-1BA1-4134-BEAE-F86801CFD66A}" sqref="K4" showErrorMessage="1" errorTitle="An invalid feedback was entered" error="Please choose feedback from drop down only.">
      <formula1>"1,2,3,4,5,6,N/A"</formula1>
    </dataValidation>
    <dataValidation type="list" xr:uid="{3BB751C6-E865-4EB2-AA9F-874921FA1762}" sqref="L4" showErrorMessage="1" errorTitle="An invalid feedback was entered" error="Please choose feedback from drop down only.">
      <formula1>"1,2,3,4,5,6,N/A"</formula1>
    </dataValidation>
    <dataValidation type="list" xr:uid="{301D1DF4-4E96-477F-A2D1-A9845BC732FA}" sqref="M4" showErrorMessage="1" errorTitle="An invalid feedback was entered" error="Please choose feedback from drop down only.">
      <formula1>"1,2,3,4,5,6,N/A"</formula1>
    </dataValidation>
    <dataValidation type="list" xr:uid="{1E5220A7-2913-42B2-B096-C33379DCDE33}" sqref="N4" showErrorMessage="1" errorTitle="An invalid feedback was entered" error="Please choose feedback from drop down only.">
      <formula1>"1,2,3,4,5,6,N/A"</formula1>
    </dataValidation>
    <dataValidation type="list" xr:uid="{9BB06576-AD0C-49F7-8906-7241C595DDCD}" sqref="O4" showErrorMessage="1" errorTitle="An invalid feedback was entered" error="Please choose feedback from drop down only.">
      <formula1>"1,2,3,4,5,6,N/A"</formula1>
    </dataValidation>
    <dataValidation type="list" xr:uid="{8009D105-02A7-45BA-9D23-5A870F7463C1}" sqref="P4" showErrorMessage="1" errorTitle="An invalid feedback was entered" error="Please choose feedback from drop down only.">
      <formula1>"1,2,3,4,5,6,N/A"</formula1>
    </dataValidation>
    <dataValidation type="list" xr:uid="{48088841-D8A6-475E-8F38-D74A208A2F3D}" sqref="Q4" showErrorMessage="1" errorTitle="An invalid feedback was entered" error="Please choose feedback from drop down only.">
      <formula1>"1,2,3,4,5,6,N/A"</formula1>
    </dataValidation>
    <dataValidation type="list" xr:uid="{BBCF237B-CEC6-4723-9BD4-D884FC840092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C7439D0-A265-494D-9E79-B71749DB54E9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6DED6C3-1E6E-4467-9192-89BAEDFBADD0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D29F30A-70B6-4312-A11F-D2B4246A1A71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A537C09-AF12-42AB-B33D-919CF0D76EA1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CA03538-92A3-4DD8-843A-0BA49F5EF8AB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43FBA3E-799F-4466-B83E-81581102B863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DFB42AB-9BC4-4A3D-AFD0-4F4A6AAFE236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AD2277B-8C34-4699-8B2E-409CA52C0FBB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42CC53D-7E16-418E-9A09-CF5C8AB32BB0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A4A0517-D4D5-4A40-8FF6-811F896B2169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6B789D9-ED09-4141-B465-54732F6D0705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3147E04-57EC-4B0F-8149-F7D734C3FA1F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62368FD-BF8A-4A44-817E-647479C5871E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0977A64-1BB4-4C26-B299-78C926C70752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7CD3F13-72BE-4A4A-B3C8-88C8D6E35824}" sqref="C28" showErrorMessage="1" errorTitle="An invalid feedback was entered" error="Please choose feedback from drop down only.">
      <formula1>"Yes,No,FlexRET"</formula1>
    </dataValidation>
    <dataValidation type="list" xr:uid="{D5CAF231-D5AE-4A0C-9FC8-6B6AEC97542B}" sqref="D28" showErrorMessage="1" errorTitle="An invalid feedback was entered" error="Please choose feedback from drop down only.">
      <formula1>"Yes,No,FlexRET"</formula1>
    </dataValidation>
    <dataValidation type="list" xr:uid="{F0B202F3-BE83-4FCE-9BB9-19750AD330E6}" sqref="E28" showErrorMessage="1" errorTitle="An invalid feedback was entered" error="Please choose feedback from drop down only.">
      <formula1>"Yes,No,FlexRET"</formula1>
    </dataValidation>
    <dataValidation type="list" xr:uid="{8C6A4E8F-8EB4-4286-B50A-FDD131FA33C2}" sqref="F28" showErrorMessage="1" errorTitle="An invalid feedback was entered" error="Please choose feedback from drop down only.">
      <formula1>"Yes,No,FlexRET"</formula1>
    </dataValidation>
    <dataValidation type="list" xr:uid="{1F94774A-23A9-4326-A578-08F36F2AF147}" sqref="G28" showErrorMessage="1" errorTitle="An invalid feedback was entered" error="Please choose feedback from drop down only.">
      <formula1>"Yes,No,FlexRET"</formula1>
    </dataValidation>
    <dataValidation type="list" xr:uid="{53980A26-B4F3-4A45-B4BC-C06F6A358E73}" sqref="H28" showErrorMessage="1" errorTitle="An invalid feedback was entered" error="Please choose feedback from drop down only.">
      <formula1>"Yes,No,FlexRET"</formula1>
    </dataValidation>
    <dataValidation type="list" xr:uid="{B4A205F2-49D5-48FD-B9FB-AB4B6C3A9BB7}" sqref="I28" showErrorMessage="1" errorTitle="An invalid feedback was entered" error="Please choose feedback from drop down only.">
      <formula1>"Yes,No,FlexRET"</formula1>
    </dataValidation>
    <dataValidation type="list" xr:uid="{546DA5E5-67D3-4466-816A-55EF04F2E950}" sqref="J28" showErrorMessage="1" errorTitle="An invalid feedback was entered" error="Please choose feedback from drop down only.">
      <formula1>"Yes,No,FlexRET"</formula1>
    </dataValidation>
    <dataValidation type="list" xr:uid="{B3B05077-6719-4A03-9DAC-D6C235BCA4EF}" sqref="K28" showErrorMessage="1" errorTitle="An invalid feedback was entered" error="Please choose feedback from drop down only.">
      <formula1>"Yes,No,FlexRET"</formula1>
    </dataValidation>
    <dataValidation type="list" xr:uid="{D7F9B27A-FA1B-499F-945A-27948E79CB3B}" sqref="L28" showErrorMessage="1" errorTitle="An invalid feedback was entered" error="Please choose feedback from drop down only.">
      <formula1>"Yes,No,FlexRET"</formula1>
    </dataValidation>
    <dataValidation type="list" xr:uid="{B62BF45B-5815-4F11-9369-7779FC944636}" sqref="M28" showErrorMessage="1" errorTitle="An invalid feedback was entered" error="Please choose feedback from drop down only.">
      <formula1>"Yes,No,FlexRET"</formula1>
    </dataValidation>
    <dataValidation type="list" xr:uid="{223E708F-FF6B-4C01-936D-A1F96FA550E6}" sqref="N28" showErrorMessage="1" errorTitle="An invalid feedback was entered" error="Please choose feedback from drop down only.">
      <formula1>"Yes,No,FlexRET"</formula1>
    </dataValidation>
    <dataValidation type="list" xr:uid="{C0D2BC3C-53F2-4190-8A49-39B951C84ED5}" sqref="O28" showErrorMessage="1" errorTitle="An invalid feedback was entered" error="Please choose feedback from drop down only.">
      <formula1>"Yes,No,FlexRET"</formula1>
    </dataValidation>
    <dataValidation type="list" xr:uid="{DEAEEF49-EE08-4046-8620-524853EBF041}" sqref="P28" showErrorMessage="1" errorTitle="An invalid feedback was entered" error="Please choose feedback from drop down only.">
      <formula1>"Yes,No,FlexRET"</formula1>
    </dataValidation>
    <dataValidation type="list" xr:uid="{364851D0-6C27-4737-9E9B-BCC7148CEF80}" sqref="Q28" showErrorMessage="1" errorTitle="An invalid feedback was entered" error="Please choose feedback from drop down only.">
      <formula1>"Yes,No,FlexRET"</formula1>
    </dataValidation>
    <dataValidation type="list" xr:uid="{CEAE2474-1FC3-40D8-AFFA-8BDEDD786284}" sqref="C29" showErrorMessage="1" errorTitle="An invalid feedback was entered" error="Please choose feedback from drop down only.">
      <formula1>"Yes,No,FlexRET"</formula1>
    </dataValidation>
    <dataValidation type="list" xr:uid="{8268BB6E-4B1C-4ABA-80F3-ED24BE09C1A2}" sqref="D29" showErrorMessage="1" errorTitle="An invalid feedback was entered" error="Please choose feedback from drop down only.">
      <formula1>"Yes,No,FlexRET"</formula1>
    </dataValidation>
    <dataValidation type="list" xr:uid="{A5E43D85-597E-444E-B229-C17DF89D97A7}" sqref="E29" showErrorMessage="1" errorTitle="An invalid feedback was entered" error="Please choose feedback from drop down only.">
      <formula1>"Yes,No,FlexRET"</formula1>
    </dataValidation>
    <dataValidation type="list" xr:uid="{2B35EF51-E153-481A-B9A5-A3DC16CB94BD}" sqref="F29" showErrorMessage="1" errorTitle="An invalid feedback was entered" error="Please choose feedback from drop down only.">
      <formula1>"Yes,No,FlexRET"</formula1>
    </dataValidation>
    <dataValidation type="list" xr:uid="{F8CA1282-121F-4DD6-A209-4710678723BC}" sqref="G29" showErrorMessage="1" errorTitle="An invalid feedback was entered" error="Please choose feedback from drop down only.">
      <formula1>"Yes,No,FlexRET"</formula1>
    </dataValidation>
    <dataValidation type="list" xr:uid="{28EBEDD2-4E99-4575-99F5-4F1D1A08E8F8}" sqref="H29" showErrorMessage="1" errorTitle="An invalid feedback was entered" error="Please choose feedback from drop down only.">
      <formula1>"Yes,No,FlexRET"</formula1>
    </dataValidation>
    <dataValidation type="list" xr:uid="{39986AD9-D584-478B-A16C-5C0F37A0B488}" sqref="I29" showErrorMessage="1" errorTitle="An invalid feedback was entered" error="Please choose feedback from drop down only.">
      <formula1>"Yes,No,FlexRET"</formula1>
    </dataValidation>
    <dataValidation type="list" xr:uid="{3754E8AB-A5E2-452C-910F-663C38260637}" sqref="J29" showErrorMessage="1" errorTitle="An invalid feedback was entered" error="Please choose feedback from drop down only.">
      <formula1>"Yes,No,FlexRET"</formula1>
    </dataValidation>
    <dataValidation type="list" xr:uid="{F13C7064-2C78-49F1-B807-E7D42078055D}" sqref="K29" showErrorMessage="1" errorTitle="An invalid feedback was entered" error="Please choose feedback from drop down only.">
      <formula1>"Yes,No,FlexRET"</formula1>
    </dataValidation>
    <dataValidation type="list" xr:uid="{22CF9DA7-6120-48C0-96A8-F2FFFAE0969E}" sqref="L29" showErrorMessage="1" errorTitle="An invalid feedback was entered" error="Please choose feedback from drop down only.">
      <formula1>"Yes,No,FlexRET"</formula1>
    </dataValidation>
    <dataValidation type="list" xr:uid="{F0BF4EAE-171F-4551-AFAA-B4D89810DCF6}" sqref="M29" showErrorMessage="1" errorTitle="An invalid feedback was entered" error="Please choose feedback from drop down only.">
      <formula1>"Yes,No,FlexRET"</formula1>
    </dataValidation>
    <dataValidation type="list" xr:uid="{28CDC26A-2A38-4099-8029-1CD9BCC6C3D9}" sqref="N29" showErrorMessage="1" errorTitle="An invalid feedback was entered" error="Please choose feedback from drop down only.">
      <formula1>"Yes,No,FlexRET"</formula1>
    </dataValidation>
    <dataValidation type="list" xr:uid="{0A9654A7-D3C6-4707-9D1F-F271C3F1B9F6}" sqref="O29" showErrorMessage="1" errorTitle="An invalid feedback was entered" error="Please choose feedback from drop down only.">
      <formula1>"Yes,No,FlexRET"</formula1>
    </dataValidation>
    <dataValidation type="list" xr:uid="{9838EE67-AB85-46E4-BCAD-DD3528280DD1}" sqref="P29" showErrorMessage="1" errorTitle="An invalid feedback was entered" error="Please choose feedback from drop down only.">
      <formula1>"Yes,No,FlexRET"</formula1>
    </dataValidation>
    <dataValidation type="list" xr:uid="{85A40162-5E75-486F-B400-0FF09EA24ABC}" sqref="Q29" showErrorMessage="1" errorTitle="An invalid feedback was entered" error="Please choose feedback from drop down only.">
      <formula1>"Yes,No,FlexRET"</formula1>
    </dataValidation>
    <dataValidation type="list" xr:uid="{3C216C34-6541-4D6C-ADF2-926E61AAEC75}" sqref="C25" showErrorMessage="1" errorTitle="An invalid feedback was entered" error="Please choose feedback from drop down only.">
      <formula1>"G,U,L,NR,GU,UL,GL,GUL,LNR,ULNR,None"</formula1>
    </dataValidation>
    <dataValidation type="list" xr:uid="{EDF2F994-56DB-4931-BED6-0973EA115439}" sqref="D25" showErrorMessage="1" errorTitle="An invalid feedback was entered" error="Please choose feedback from drop down only.">
      <formula1>"G,U,L,NR,GU,UL,GL,GUL,LNR,ULNR,None"</formula1>
    </dataValidation>
    <dataValidation type="list" xr:uid="{2C2A66A2-8278-4F4B-8D3E-5246FA633F1F}" sqref="E25" showErrorMessage="1" errorTitle="An invalid feedback was entered" error="Please choose feedback from drop down only.">
      <formula1>"G,U,L,NR,GU,UL,GL,GUL,LNR,ULNR,None"</formula1>
    </dataValidation>
    <dataValidation type="list" xr:uid="{02AD320C-986C-47F2-8C0C-FAD116EF1E7E}" sqref="F25" showErrorMessage="1" errorTitle="An invalid feedback was entered" error="Please choose feedback from drop down only.">
      <formula1>"G,U,L,NR,GU,UL,GL,GUL,LNR,ULNR,None"</formula1>
    </dataValidation>
    <dataValidation type="list" xr:uid="{62EDE5E7-F1D3-44F0-97D6-CCB9692CF208}" sqref="G25" showErrorMessage="1" errorTitle="An invalid feedback was entered" error="Please choose feedback from drop down only.">
      <formula1>"G,U,L,NR,GU,UL,GL,GUL,LNR,ULNR,None"</formula1>
    </dataValidation>
    <dataValidation type="list" xr:uid="{D8B79C74-8E35-4BAA-A9FB-704070833BDA}" sqref="H25" showErrorMessage="1" errorTitle="An invalid feedback was entered" error="Please choose feedback from drop down only.">
      <formula1>"G,U,L,NR,GU,UL,GL,GUL,LNR,ULNR,None"</formula1>
    </dataValidation>
    <dataValidation type="list" xr:uid="{32622A7E-E8A6-4EC1-BF0A-7C2597CEE2BD}" sqref="I25" showErrorMessage="1" errorTitle="An invalid feedback was entered" error="Please choose feedback from drop down only.">
      <formula1>"G,U,L,NR,GU,UL,GL,GUL,LNR,ULNR,None"</formula1>
    </dataValidation>
    <dataValidation type="list" xr:uid="{AB4964DE-FF9D-40D5-AFAC-377343E44F74}" sqref="J25" showErrorMessage="1" errorTitle="An invalid feedback was entered" error="Please choose feedback from drop down only.">
      <formula1>"G,U,L,NR,GU,UL,GL,GUL,LNR,ULNR,None"</formula1>
    </dataValidation>
    <dataValidation type="list" xr:uid="{3D7FEE18-701C-4C1A-BC64-7630FB4D2602}" sqref="K25" showErrorMessage="1" errorTitle="An invalid feedback was entered" error="Please choose feedback from drop down only.">
      <formula1>"G,U,L,NR,GU,UL,GL,GUL,LNR,ULNR,None"</formula1>
    </dataValidation>
    <dataValidation type="list" xr:uid="{3E2D39A3-30F0-481E-B48D-7988CB7950DF}" sqref="L25" showErrorMessage="1" errorTitle="An invalid feedback was entered" error="Please choose feedback from drop down only.">
      <formula1>"G,U,L,NR,GU,UL,GL,GUL,LNR,ULNR,None"</formula1>
    </dataValidation>
    <dataValidation type="list" xr:uid="{6B82B955-8577-4D62-B89D-3EC18B89174A}" sqref="M25" showErrorMessage="1" errorTitle="An invalid feedback was entered" error="Please choose feedback from drop down only.">
      <formula1>"G,U,L,NR,GU,UL,GL,GUL,LNR,ULNR,None"</formula1>
    </dataValidation>
    <dataValidation type="list" xr:uid="{8FA2434B-E04F-4EB2-A664-68A2417BBBBE}" sqref="N25" showErrorMessage="1" errorTitle="An invalid feedback was entered" error="Please choose feedback from drop down only.">
      <formula1>"G,U,L,NR,GU,UL,GL,GUL,LNR,ULNR,None"</formula1>
    </dataValidation>
    <dataValidation type="list" xr:uid="{C6324AB4-C7EC-4608-BEE8-BF183CB2E3CC}" sqref="O25" showErrorMessage="1" errorTitle="An invalid feedback was entered" error="Please choose feedback from drop down only.">
      <formula1>"G,U,L,NR,GU,UL,GL,GUL,LNR,ULNR,None"</formula1>
    </dataValidation>
    <dataValidation type="list" xr:uid="{5FB0F4C5-F314-4F68-A5E1-9773A7C86F1B}" sqref="P25" showErrorMessage="1" errorTitle="An invalid feedback was entered" error="Please choose feedback from drop down only.">
      <formula1>"G,U,L,NR,GU,UL,GL,GUL,LNR,ULNR,None"</formula1>
    </dataValidation>
    <dataValidation type="list" xr:uid="{D62B6553-91F1-4E65-BE85-A0021D4E1A87}" sqref="Q25" showErrorMessage="1" errorTitle="An invalid feedback was entered" error="Please choose feedback from drop down only.">
      <formula1>"G,U,L,NR,GU,UL,GL,GUL,LNR,ULNR,None"</formula1>
    </dataValidation>
    <dataValidation type="list" xr:uid="{AF924FB9-A132-45E4-A7E9-892D4CB92091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1C1A40B-204C-47FD-8ADC-27D4F582460B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45973ED-1B83-4A78-B00F-871BFE465EC2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37D09A0-A59E-48DA-93D6-C04FEF59C0AA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9A934C5-54FD-49C0-8724-B0784719EC7D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F140278-F839-478B-AD53-697F7AB4707F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0C2665A-028D-421F-AA14-AB360F9F7810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BB48DE8-F7A5-4B09-84F4-7948277B2F84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AE25572-F0F4-4E95-81D1-F796C445F4EF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F77B7FC-699B-4DD9-B9E6-1FC848E088BD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6844BF5-5E4B-4451-9E7B-6D86BDE28796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2F55C59-5F66-44EE-BF7A-4F419EA209E7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99FF467-ABEA-4C14-8D1F-BA666797155D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A741164-8613-475D-AB73-4B9AD6E3F894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B7C784B-5271-4875-925B-89A696DFF47A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7" right="0.7" top="0.75" bottom="0.75" header="0.3" footer="0.3"/>
  <pageSetup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05E68EE5-AE7A-4CFC-B485-E26C584B0850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F7397A6D-B670-4162-9B00-797B1AEB1415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80436449-97C1-4D23-98DD-3C9CC3D970C5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C0CFAB8C-971D-4076-BABE-C110D38F1704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4B2AF27A-CBC0-403F-B445-1D10AE0C486B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73214BD9-A151-419C-A808-9A6591331C31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C071AF80-6B50-43BB-BB88-85BC1478B1EC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CCC2EEB2-EDF8-4E56-8FA4-17A40841419F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A4D06CE0-CAD6-47F4-A188-5489CC0B34C1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8CC020AC-4A75-4095-A830-A21509F6B167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FD0548CF-876C-4B22-A851-9CA74E4EF0D1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0A468C74-5B7B-46BD-A0A2-565BC80FCBC3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A4802122-FD6A-4AD2-8CDC-BE1F9A4C638F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708201A6-C5CE-49A5-B9E4-0705A6264048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3469169A-340E-46AB-B8C9-FD7B74B06D2B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D643ABE2-5820-41F5-B00D-196CEA85BF33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C93B801C-92C4-44DF-815C-ED8ADD7297E7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30A857C7-C1F6-48F8-A42B-3D7DDA07D253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17CD66F3-07D7-4433-A040-568215124C16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534B756E-2979-4CF9-BBFF-2CE072026D2E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1D806645-3A3C-4E43-871D-0CAE0F5511D4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9ABD850F-412A-40DA-A1CD-CB9602410269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444F36DE-FDC5-4BBF-BF31-A3BF0892CB84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C0E72155-0687-48B4-80C4-C4D241B1E666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5CFD4EBA-832B-469B-8CA6-F301F342F1EC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D3ADDD4D-645E-4C46-AF93-D15F439C1826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E748BBB6-90B1-4C3F-BB48-C3298BDBD0D7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B7543472-748C-4DEE-A7FD-349F787011E9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5AFAEEB0-15D5-44EB-BCE5-A9E534752EF3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74B25E0C-17A4-4D69-BF9C-B82C8648FAB3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EE143177-D607-47DA-93D3-29A26C7E0F75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624C2190-41F4-4AE8-84B4-A59D73A7CC08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CE1A543D-6528-45DF-8EF3-582B5C6F5BA8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57BDC42A-91C2-4216-AD05-9580408632CA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0EEEB9EB-49FA-45B7-95AE-042D1756236E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ABCA534B-F9F7-43AA-A7A8-0FAD2BC2B545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62CAE726-5176-493E-A137-3456D51A843E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748FA030-D62B-437C-81A4-B2471DFF9FCB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946B8FB0-5549-4440-A554-17A07908F4CF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091820AF-5C5A-44B1-8006-784B2CE727DB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343FD619-1845-4AA0-91D7-0986F2FDDF63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68FF39EC-CFA3-4546-B9A2-BCEEBEFD87B9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CDBF23C6-7B94-4ABD-BD2D-F57D66C5F204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981C7FFB-5F86-48E2-8BC4-3018FF82E428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79EC1A7D-4F73-4F80-A9B9-FDE55F9ED0BC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D0DF2926-C020-4FBA-B66B-40BAC6A8ABF9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048F0C69-695C-4891-9691-133C6BA249D0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EA8737B0-E2B0-4795-AC84-B201DE35B3A4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714FBDEE-F974-4408-A648-C7376BF38CDF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46E10267-5CB8-43CD-891A-8B6002651CCA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CF0F76F7-2CE4-4B79-BBE5-8B10877FFB60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9DF44256-98DD-48CE-AF60-2352F4035CEC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3B05728A-8D3A-4660-8440-CDA42DBA6756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6ACF69D8-9CF0-4518-BA1E-86CD2EBCE24A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BB0DCF52-53B4-4435-8A20-BDA2750A64FC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BD529C0F-1091-41F9-9596-88C6610E3EFB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F07E2183-C78E-46C3-845D-E1E646A05302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000709F3-EC3C-4DF2-A377-5430A54EF7A9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A0C663C4-F85A-42CC-8EC3-51BBE79DBF72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78B38CC5-03D3-48E5-9164-1594105DAAD2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11"/>
  <dimension ref="A1:H240"/>
  <sheetViews>
    <sheetView tabSelected="1" topLeftCell="A139" workbookViewId="0">
      <selection activeCell="C157" sqref="C157"/>
    </sheetView>
  </sheetViews>
  <sheetFormatPr defaultColWidth="8.86328125" defaultRowHeight="12.75"/>
  <cols>
    <col min="1" max="1" bestFit="1" width="44.1328125" customWidth="1" style="21"/>
    <col min="2" max="2" bestFit="1" width="8.19921875" customWidth="1" style="21"/>
    <col min="3" max="3" bestFit="1" width="63.3984375" customWidth="1" style="21"/>
    <col min="4" max="4" bestFit="1" width="8.796875" customWidth="1" style="21"/>
    <col min="5" max="16384" width="8.86328125" customWidth="1" style="21"/>
  </cols>
  <sheetData>
    <row r="1" ht="14.65">
      <c r="A1" s="144"/>
      <c r="B1" s="145" t="s">
        <v>576</v>
      </c>
      <c r="C1" s="146" t="s">
        <v>577</v>
      </c>
      <c r="D1" s="147" t="s">
        <v>578</v>
      </c>
    </row>
    <row r="2" ht="14.25">
      <c r="A2" s="148" t="s">
        <v>579</v>
      </c>
      <c r="B2" s="149">
        <v>10026893</v>
      </c>
      <c r="C2" s="150" t="s">
        <v>580</v>
      </c>
      <c r="D2" s="151"/>
    </row>
    <row r="3" ht="14.25">
      <c r="A3" s="152" t="s">
        <v>579</v>
      </c>
      <c r="B3" s="153">
        <v>10027419</v>
      </c>
      <c r="C3" s="154" t="s">
        <v>581</v>
      </c>
      <c r="D3" s="155"/>
    </row>
    <row r="4" ht="14.25">
      <c r="A4" s="152" t="s">
        <v>579</v>
      </c>
      <c r="B4" s="153">
        <v>10026032</v>
      </c>
      <c r="C4" s="154" t="s">
        <v>582</v>
      </c>
      <c r="D4" s="155"/>
    </row>
    <row r="5" ht="14.25">
      <c r="A5" s="152" t="s">
        <v>579</v>
      </c>
      <c r="B5" s="153">
        <v>10026035</v>
      </c>
      <c r="C5" s="154" t="s">
        <v>583</v>
      </c>
      <c r="D5" s="155"/>
    </row>
    <row r="6" ht="14.65">
      <c r="A6" s="156" t="s">
        <v>579</v>
      </c>
      <c r="B6" s="157">
        <v>10027363</v>
      </c>
      <c r="C6" s="158" t="s">
        <v>584</v>
      </c>
      <c r="D6" s="159"/>
    </row>
    <row r="7" ht="14.25">
      <c r="A7" s="148" t="s">
        <v>585</v>
      </c>
      <c r="B7" s="149">
        <v>10027278</v>
      </c>
      <c r="C7" s="150" t="s">
        <v>586</v>
      </c>
      <c r="D7" s="151"/>
    </row>
    <row r="8" ht="14.25">
      <c r="A8" s="152" t="s">
        <v>587</v>
      </c>
      <c r="B8" s="153">
        <v>10027361</v>
      </c>
      <c r="C8" s="154" t="s">
        <v>588</v>
      </c>
      <c r="D8" s="155"/>
    </row>
    <row r="9" ht="14.65">
      <c r="A9" s="156" t="s">
        <v>589</v>
      </c>
      <c r="B9" s="157">
        <v>10027360</v>
      </c>
      <c r="C9" s="158" t="s">
        <v>590</v>
      </c>
      <c r="D9" s="159"/>
    </row>
    <row r="10" ht="14.25">
      <c r="A10" s="148" t="s">
        <v>591</v>
      </c>
      <c r="B10" s="149">
        <v>10027352</v>
      </c>
      <c r="C10" s="150" t="s">
        <v>592</v>
      </c>
      <c r="D10" s="151"/>
    </row>
    <row r="11" ht="14.25">
      <c r="A11" s="152" t="s">
        <v>591</v>
      </c>
      <c r="B11" s="153">
        <v>10027510</v>
      </c>
      <c r="C11" s="154" t="s">
        <v>593</v>
      </c>
      <c r="D11" s="155"/>
    </row>
    <row r="12" ht="14.25">
      <c r="A12" s="152" t="s">
        <v>591</v>
      </c>
      <c r="B12" s="153">
        <v>10027508</v>
      </c>
      <c r="C12" s="154" t="s">
        <v>594</v>
      </c>
      <c r="D12" s="155"/>
    </row>
    <row r="13" ht="14.25">
      <c r="A13" s="152" t="s">
        <v>595</v>
      </c>
      <c r="B13" s="153">
        <v>10027269</v>
      </c>
      <c r="C13" s="154" t="s">
        <v>198</v>
      </c>
      <c r="D13" s="155"/>
    </row>
    <row r="14" ht="14.25">
      <c r="A14" s="152" t="s">
        <v>596</v>
      </c>
      <c r="B14" s="153">
        <v>10029116</v>
      </c>
      <c r="C14" s="154" t="s">
        <v>240</v>
      </c>
      <c r="D14" s="155"/>
    </row>
    <row r="15" ht="14.25">
      <c r="A15" s="152" t="s">
        <v>206</v>
      </c>
      <c r="B15" s="153">
        <v>10031384</v>
      </c>
      <c r="C15" s="154" t="s">
        <v>206</v>
      </c>
      <c r="D15" s="155"/>
    </row>
    <row r="16" ht="14.25">
      <c r="A16" s="152" t="s">
        <v>197</v>
      </c>
      <c r="B16" s="153">
        <v>10031147</v>
      </c>
      <c r="C16" s="154" t="s">
        <v>597</v>
      </c>
      <c r="D16" s="155"/>
    </row>
    <row r="17" ht="14.25">
      <c r="A17" s="152" t="s">
        <v>197</v>
      </c>
      <c r="B17" s="153">
        <v>10031386</v>
      </c>
      <c r="C17" s="154" t="s">
        <v>598</v>
      </c>
      <c r="D17" s="155"/>
    </row>
    <row r="18" ht="14.25">
      <c r="A18" s="152" t="s">
        <v>197</v>
      </c>
      <c r="B18" s="153">
        <v>10022756</v>
      </c>
      <c r="C18" s="154" t="s">
        <v>599</v>
      </c>
      <c r="D18" s="155"/>
    </row>
    <row r="19" ht="14.25">
      <c r="A19" s="152" t="s">
        <v>197</v>
      </c>
      <c r="B19" s="153">
        <v>10022753</v>
      </c>
      <c r="C19" s="154" t="s">
        <v>600</v>
      </c>
      <c r="D19" s="155"/>
    </row>
    <row r="20" ht="14.25">
      <c r="A20" s="152" t="s">
        <v>197</v>
      </c>
      <c r="B20" s="153">
        <v>10022754</v>
      </c>
      <c r="C20" s="154" t="s">
        <v>601</v>
      </c>
      <c r="D20" s="155"/>
    </row>
    <row r="21" ht="14.25">
      <c r="A21" s="152" t="s">
        <v>197</v>
      </c>
      <c r="B21" s="153">
        <v>10022757</v>
      </c>
      <c r="C21" s="154" t="s">
        <v>602</v>
      </c>
      <c r="D21" s="155"/>
    </row>
    <row r="22" ht="14.25">
      <c r="A22" s="152" t="s">
        <v>197</v>
      </c>
      <c r="B22" s="153">
        <v>10026413</v>
      </c>
      <c r="C22" s="154" t="s">
        <v>218</v>
      </c>
      <c r="D22" s="155"/>
    </row>
    <row r="23" ht="14.25">
      <c r="A23" s="152" t="s">
        <v>197</v>
      </c>
      <c r="B23" s="153">
        <v>10027273</v>
      </c>
      <c r="C23" s="154" t="s">
        <v>212</v>
      </c>
      <c r="D23" s="155"/>
    </row>
    <row r="24" ht="14.25">
      <c r="A24" s="152" t="s">
        <v>603</v>
      </c>
      <c r="B24" s="153">
        <v>10025643</v>
      </c>
      <c r="C24" s="154" t="s">
        <v>604</v>
      </c>
      <c r="D24" s="155"/>
    </row>
    <row r="25" ht="14.25">
      <c r="A25" s="152" t="s">
        <v>605</v>
      </c>
      <c r="B25" s="153">
        <v>10028663</v>
      </c>
      <c r="C25" s="154" t="s">
        <v>230</v>
      </c>
      <c r="D25" s="155"/>
    </row>
    <row r="26" ht="14.25">
      <c r="A26" s="152" t="s">
        <v>606</v>
      </c>
      <c r="B26" s="153">
        <v>10031088</v>
      </c>
      <c r="C26" s="154" t="s">
        <v>182</v>
      </c>
      <c r="D26" s="155"/>
    </row>
    <row r="27" ht="14.25">
      <c r="A27" s="152" t="s">
        <v>606</v>
      </c>
      <c r="B27" s="153">
        <v>10031387</v>
      </c>
      <c r="C27" s="154" t="s">
        <v>607</v>
      </c>
      <c r="D27" s="155"/>
    </row>
    <row r="28" ht="14.25">
      <c r="A28" s="152" t="s">
        <v>608</v>
      </c>
      <c r="B28" s="153">
        <v>10027270</v>
      </c>
      <c r="C28" s="154" t="s">
        <v>609</v>
      </c>
      <c r="D28" s="155"/>
    </row>
    <row r="29" ht="14.25">
      <c r="A29" s="152" t="s">
        <v>608</v>
      </c>
      <c r="B29" s="153">
        <v>10022130</v>
      </c>
      <c r="C29" s="154" t="s">
        <v>235</v>
      </c>
      <c r="D29" s="155"/>
    </row>
    <row r="30" ht="14.25">
      <c r="A30" s="152" t="s">
        <v>608</v>
      </c>
      <c r="B30" s="153">
        <v>10024385</v>
      </c>
      <c r="C30" s="154" t="s">
        <v>238</v>
      </c>
      <c r="D30" s="155"/>
    </row>
    <row r="31" ht="14.25">
      <c r="A31" s="152" t="s">
        <v>608</v>
      </c>
      <c r="B31" s="153">
        <v>10027340</v>
      </c>
      <c r="C31" s="154" t="s">
        <v>185</v>
      </c>
      <c r="D31" s="155"/>
    </row>
    <row r="32" ht="14.25">
      <c r="A32" s="152" t="s">
        <v>608</v>
      </c>
      <c r="B32" s="153">
        <v>10027271</v>
      </c>
      <c r="C32" s="154" t="s">
        <v>188</v>
      </c>
      <c r="D32" s="155"/>
    </row>
    <row r="33" ht="14.25">
      <c r="A33" s="160" t="s">
        <v>608</v>
      </c>
      <c r="B33" s="153">
        <v>10026709</v>
      </c>
      <c r="C33" s="154" t="s">
        <v>191</v>
      </c>
      <c r="D33" s="155"/>
    </row>
    <row r="34" ht="14.25">
      <c r="A34" s="160" t="s">
        <v>608</v>
      </c>
      <c r="B34" s="153">
        <v>10031393</v>
      </c>
      <c r="C34" s="154" t="s">
        <v>610</v>
      </c>
      <c r="D34" s="155"/>
    </row>
    <row r="35" ht="14.25">
      <c r="A35" s="160" t="s">
        <v>608</v>
      </c>
      <c r="B35" s="153">
        <v>10031089</v>
      </c>
      <c r="C35" s="154" t="s">
        <v>611</v>
      </c>
      <c r="D35" s="155"/>
    </row>
    <row r="36" ht="14.65">
      <c r="A36" s="161" t="s">
        <v>608</v>
      </c>
      <c r="B36" s="162">
        <v>10031385</v>
      </c>
      <c r="C36" s="163" t="s">
        <v>194</v>
      </c>
      <c r="D36" s="164"/>
    </row>
    <row r="37" ht="14.65">
      <c r="A37" s="165" t="s">
        <v>612</v>
      </c>
      <c r="B37" s="166">
        <v>10027656</v>
      </c>
      <c r="C37" s="167" t="s">
        <v>613</v>
      </c>
      <c r="D37" s="168"/>
    </row>
    <row r="38" ht="14.25">
      <c r="A38" s="148" t="s">
        <v>614</v>
      </c>
      <c r="B38" s="149">
        <v>10026879</v>
      </c>
      <c r="C38" s="150" t="s">
        <v>615</v>
      </c>
      <c r="D38" s="151"/>
    </row>
    <row r="39" ht="14.25">
      <c r="A39" s="169" t="s">
        <v>614</v>
      </c>
      <c r="B39" s="170"/>
      <c r="C39" s="171" t="s">
        <v>616</v>
      </c>
      <c r="D39" s="172"/>
    </row>
    <row r="40" ht="14.25">
      <c r="A40" s="169" t="s">
        <v>614</v>
      </c>
      <c r="B40" s="170"/>
      <c r="C40" s="171" t="s">
        <v>276</v>
      </c>
      <c r="D40" s="172"/>
    </row>
    <row r="41" ht="14.25">
      <c r="A41" s="169" t="s">
        <v>614</v>
      </c>
      <c r="B41" s="170"/>
      <c r="C41" s="171" t="s">
        <v>277</v>
      </c>
      <c r="D41" s="172"/>
    </row>
    <row r="42" ht="14.25">
      <c r="A42" s="152" t="s">
        <v>614</v>
      </c>
      <c r="B42" s="153">
        <v>10026880</v>
      </c>
      <c r="C42" s="154" t="s">
        <v>617</v>
      </c>
      <c r="D42" s="155"/>
    </row>
    <row r="43" ht="14.25">
      <c r="A43" s="152" t="s">
        <v>614</v>
      </c>
      <c r="B43" s="153">
        <v>10026881</v>
      </c>
      <c r="C43" s="154" t="s">
        <v>618</v>
      </c>
      <c r="D43" s="155"/>
    </row>
    <row r="44" ht="14.25">
      <c r="A44" s="152" t="s">
        <v>614</v>
      </c>
      <c r="B44" s="153">
        <v>10026882</v>
      </c>
      <c r="C44" s="154" t="s">
        <v>619</v>
      </c>
      <c r="D44" s="155"/>
    </row>
    <row r="45" ht="14.25">
      <c r="A45" s="152" t="s">
        <v>614</v>
      </c>
      <c r="B45" s="153">
        <v>10026883</v>
      </c>
      <c r="C45" s="154" t="s">
        <v>620</v>
      </c>
      <c r="D45" s="155"/>
    </row>
    <row r="46" ht="14.65">
      <c r="A46" s="156" t="s">
        <v>614</v>
      </c>
      <c r="B46" s="157">
        <v>10026884</v>
      </c>
      <c r="C46" s="158" t="s">
        <v>621</v>
      </c>
      <c r="D46" s="159"/>
    </row>
    <row r="47" ht="14.25">
      <c r="A47" s="152" t="s">
        <v>622</v>
      </c>
      <c r="B47" s="153">
        <v>10031395</v>
      </c>
      <c r="C47" s="154" t="s">
        <v>623</v>
      </c>
      <c r="D47" s="155"/>
    </row>
    <row r="48" ht="14.25">
      <c r="A48" s="152" t="s">
        <v>622</v>
      </c>
      <c r="B48" s="153">
        <v>10031394</v>
      </c>
      <c r="C48" s="154" t="s">
        <v>624</v>
      </c>
      <c r="D48" s="155"/>
    </row>
    <row r="49" ht="14.25">
      <c r="A49" s="152" t="s">
        <v>622</v>
      </c>
      <c r="B49" s="153">
        <v>10023733</v>
      </c>
      <c r="C49" s="154" t="s">
        <v>625</v>
      </c>
      <c r="D49" s="155"/>
    </row>
    <row r="50" ht="14.25">
      <c r="A50" s="152" t="s">
        <v>622</v>
      </c>
      <c r="B50" s="153">
        <v>10024251</v>
      </c>
      <c r="C50" s="154" t="s">
        <v>626</v>
      </c>
      <c r="D50" s="155"/>
    </row>
    <row r="51" ht="14.25">
      <c r="A51" s="152" t="s">
        <v>622</v>
      </c>
      <c r="B51" s="153">
        <v>10027275</v>
      </c>
      <c r="C51" s="154" t="s">
        <v>627</v>
      </c>
      <c r="D51" s="155"/>
    </row>
    <row r="52" ht="14.25">
      <c r="A52" s="152" t="s">
        <v>622</v>
      </c>
      <c r="B52" s="153">
        <v>10030661</v>
      </c>
      <c r="C52" s="154" t="s">
        <v>628</v>
      </c>
      <c r="D52" s="155"/>
    </row>
    <row r="53" ht="14.25">
      <c r="A53" s="152" t="s">
        <v>622</v>
      </c>
      <c r="B53" s="153">
        <v>10027274</v>
      </c>
      <c r="C53" s="154" t="s">
        <v>629</v>
      </c>
      <c r="D53" s="155"/>
    </row>
    <row r="54" ht="14.25">
      <c r="A54" s="152" t="s">
        <v>622</v>
      </c>
      <c r="B54" s="153">
        <v>10027276</v>
      </c>
      <c r="C54" s="154" t="s">
        <v>630</v>
      </c>
      <c r="D54" s="155"/>
    </row>
    <row r="55" ht="14.25">
      <c r="A55" s="152" t="s">
        <v>622</v>
      </c>
      <c r="B55" s="153">
        <v>10030662</v>
      </c>
      <c r="C55" s="154" t="s">
        <v>631</v>
      </c>
      <c r="D55" s="155"/>
    </row>
    <row r="56" ht="14.25">
      <c r="A56" s="152" t="s">
        <v>622</v>
      </c>
      <c r="B56" s="153">
        <v>10031146</v>
      </c>
      <c r="C56" s="154" t="s">
        <v>632</v>
      </c>
      <c r="D56" s="155"/>
    </row>
    <row r="57" ht="14.25">
      <c r="A57" s="152" t="s">
        <v>622</v>
      </c>
      <c r="B57" s="153">
        <v>10031396</v>
      </c>
      <c r="C57" s="154" t="s">
        <v>633</v>
      </c>
      <c r="D57" s="155"/>
    </row>
    <row r="58" ht="14.25">
      <c r="A58" s="152" t="s">
        <v>622</v>
      </c>
      <c r="B58" s="153">
        <v>10023703</v>
      </c>
      <c r="C58" s="154" t="s">
        <v>221</v>
      </c>
      <c r="D58" s="155"/>
    </row>
    <row r="59" ht="14.25">
      <c r="A59" s="152" t="s">
        <v>634</v>
      </c>
      <c r="B59" s="153">
        <v>10027420</v>
      </c>
      <c r="C59" s="154" t="s">
        <v>635</v>
      </c>
      <c r="D59" s="155"/>
    </row>
    <row r="60" ht="14.25">
      <c r="A60" s="152" t="s">
        <v>636</v>
      </c>
      <c r="B60" s="153">
        <v>10023494</v>
      </c>
      <c r="C60" s="154" t="s">
        <v>637</v>
      </c>
      <c r="D60" s="155"/>
    </row>
    <row r="61" ht="14.25">
      <c r="A61" s="152" t="s">
        <v>622</v>
      </c>
      <c r="B61" s="153">
        <v>10029705</v>
      </c>
      <c r="C61" s="154" t="s">
        <v>638</v>
      </c>
      <c r="D61" s="155"/>
    </row>
    <row r="62" ht="14.25">
      <c r="A62" s="152" t="s">
        <v>622</v>
      </c>
      <c r="B62" s="153">
        <v>10030914</v>
      </c>
      <c r="C62" s="154" t="s">
        <v>639</v>
      </c>
      <c r="D62" s="155"/>
    </row>
    <row r="63" ht="14.25">
      <c r="A63" s="152" t="s">
        <v>622</v>
      </c>
      <c r="B63" s="153"/>
      <c r="C63" s="154" t="s">
        <v>640</v>
      </c>
      <c r="D63" s="155"/>
    </row>
    <row r="64" ht="14.25">
      <c r="A64" s="152" t="s">
        <v>622</v>
      </c>
      <c r="B64" s="153">
        <v>10030566</v>
      </c>
      <c r="C64" s="154" t="s">
        <v>641</v>
      </c>
      <c r="D64" s="155"/>
    </row>
    <row r="65" ht="14.25">
      <c r="A65" s="152" t="s">
        <v>622</v>
      </c>
      <c r="B65" s="188">
        <v>10032823</v>
      </c>
      <c r="C65" s="154" t="s">
        <v>642</v>
      </c>
      <c r="D65" s="155"/>
      <c r="E65" s="143"/>
      <c r="F65" s="143"/>
      <c r="G65" s="143"/>
      <c r="H65" s="143"/>
    </row>
    <row r="66" ht="14.25">
      <c r="A66" s="152" t="s">
        <v>643</v>
      </c>
      <c r="B66" s="153">
        <v>10023684</v>
      </c>
      <c r="C66" s="154" t="s">
        <v>644</v>
      </c>
      <c r="D66" s="155"/>
      <c r="E66" s="143"/>
      <c r="F66" s="143"/>
      <c r="G66" s="143"/>
      <c r="H66" s="143"/>
    </row>
    <row r="67" ht="14.25">
      <c r="A67" s="152" t="s">
        <v>645</v>
      </c>
      <c r="B67" s="153">
        <v>10027546</v>
      </c>
      <c r="C67" s="154" t="s">
        <v>646</v>
      </c>
      <c r="D67" s="155"/>
      <c r="E67" s="143"/>
      <c r="F67" s="173"/>
      <c r="G67" s="143"/>
      <c r="H67" s="173"/>
    </row>
    <row r="68" ht="14.25">
      <c r="A68" s="152" t="s">
        <v>647</v>
      </c>
      <c r="B68" s="153">
        <v>10028353</v>
      </c>
      <c r="C68" s="154" t="s">
        <v>648</v>
      </c>
      <c r="D68" s="155"/>
      <c r="E68" s="143"/>
      <c r="F68" s="173"/>
      <c r="G68" s="143"/>
      <c r="H68" s="173"/>
    </row>
    <row r="69" ht="14.25">
      <c r="A69" s="152" t="s">
        <v>647</v>
      </c>
      <c r="B69" s="153">
        <v>10026455</v>
      </c>
      <c r="C69" s="154" t="s">
        <v>649</v>
      </c>
      <c r="D69" s="155"/>
      <c r="E69" s="143"/>
      <c r="F69" s="173"/>
      <c r="G69" s="143"/>
      <c r="H69" s="173"/>
    </row>
    <row r="70" ht="14.25">
      <c r="A70" s="152" t="s">
        <v>650</v>
      </c>
      <c r="B70" s="153">
        <v>10026454</v>
      </c>
      <c r="C70" s="154" t="s">
        <v>651</v>
      </c>
      <c r="D70" s="155"/>
      <c r="E70" s="143"/>
      <c r="F70" s="173"/>
      <c r="G70" s="143"/>
      <c r="H70" s="173"/>
    </row>
    <row r="71" ht="14.25">
      <c r="A71" s="152" t="s">
        <v>622</v>
      </c>
      <c r="B71" s="153"/>
      <c r="C71" s="154" t="s">
        <v>652</v>
      </c>
      <c r="D71" s="155"/>
      <c r="E71" s="143"/>
      <c r="F71" s="173"/>
      <c r="G71" s="143"/>
      <c r="H71" s="173"/>
    </row>
    <row r="72" ht="14.25">
      <c r="A72" s="152" t="s">
        <v>622</v>
      </c>
      <c r="B72" s="153"/>
      <c r="C72" s="154" t="s">
        <v>653</v>
      </c>
      <c r="D72" s="155"/>
      <c r="E72" s="143"/>
      <c r="F72" s="173"/>
      <c r="G72" s="143"/>
      <c r="H72" s="173"/>
    </row>
    <row r="73" ht="14.25">
      <c r="A73" s="152" t="s">
        <v>622</v>
      </c>
      <c r="B73" s="153">
        <v>10027511</v>
      </c>
      <c r="C73" s="154" t="s">
        <v>654</v>
      </c>
      <c r="D73" s="155"/>
      <c r="E73" s="143"/>
      <c r="F73" s="173"/>
      <c r="G73" s="143"/>
      <c r="H73" s="173"/>
    </row>
    <row r="74" ht="14.25">
      <c r="A74" s="152" t="s">
        <v>622</v>
      </c>
      <c r="B74" s="153"/>
      <c r="C74" s="154" t="s">
        <v>655</v>
      </c>
      <c r="D74" s="155"/>
      <c r="E74" s="143"/>
      <c r="F74" s="173"/>
      <c r="G74" s="143"/>
      <c r="H74" s="173"/>
    </row>
    <row r="75" ht="14.25">
      <c r="A75" s="152" t="s">
        <v>622</v>
      </c>
      <c r="B75" s="153"/>
      <c r="C75" s="154" t="s">
        <v>656</v>
      </c>
      <c r="D75" s="155"/>
      <c r="E75" s="143"/>
      <c r="F75" s="173"/>
      <c r="G75" s="143"/>
      <c r="H75" s="173"/>
    </row>
    <row r="76" ht="14.25">
      <c r="A76" s="152" t="s">
        <v>622</v>
      </c>
      <c r="B76" s="153"/>
      <c r="C76" s="154" t="s">
        <v>657</v>
      </c>
      <c r="D76" s="155"/>
      <c r="E76" s="143"/>
      <c r="F76" s="173"/>
      <c r="G76" s="143"/>
      <c r="H76" s="173"/>
    </row>
    <row r="77" ht="14.65">
      <c r="A77" s="152" t="s">
        <v>658</v>
      </c>
      <c r="B77" s="153"/>
      <c r="C77" s="154" t="s">
        <v>659</v>
      </c>
      <c r="D77" s="155"/>
      <c r="E77" s="143"/>
      <c r="F77" s="173"/>
      <c r="G77" s="143"/>
      <c r="H77" s="173"/>
    </row>
    <row r="78" ht="14.25">
      <c r="A78" s="148" t="s">
        <v>660</v>
      </c>
      <c r="B78" s="149"/>
      <c r="C78" s="150" t="s">
        <v>661</v>
      </c>
      <c r="D78" s="151"/>
      <c r="E78" s="143"/>
      <c r="F78" s="173"/>
      <c r="G78" s="143"/>
      <c r="H78" s="173"/>
    </row>
    <row r="79" ht="14.25">
      <c r="A79" s="160" t="s">
        <v>662</v>
      </c>
      <c r="B79" s="153"/>
      <c r="C79" s="154" t="s">
        <v>663</v>
      </c>
      <c r="D79" s="155"/>
      <c r="E79" s="143"/>
      <c r="F79" s="143"/>
      <c r="G79" s="143"/>
      <c r="H79" s="143"/>
    </row>
    <row r="80" ht="14.25">
      <c r="A80" s="160" t="s">
        <v>664</v>
      </c>
      <c r="B80" s="153"/>
      <c r="C80" s="154" t="s">
        <v>665</v>
      </c>
      <c r="D80" s="155"/>
      <c r="E80" s="143"/>
      <c r="F80" s="143"/>
      <c r="G80" s="143"/>
      <c r="H80" s="143"/>
    </row>
    <row r="81" ht="14.65">
      <c r="A81" s="174" t="s">
        <v>666</v>
      </c>
      <c r="B81" s="175"/>
      <c r="C81" s="176" t="s">
        <v>667</v>
      </c>
      <c r="D81" s="177"/>
    </row>
    <row r="82" ht="14.25">
      <c r="A82" s="148" t="s">
        <v>668</v>
      </c>
      <c r="B82" s="149">
        <v>10027470</v>
      </c>
      <c r="C82" s="150" t="s">
        <v>669</v>
      </c>
      <c r="D82" s="151"/>
    </row>
    <row r="83" ht="14.25">
      <c r="A83" s="152" t="s">
        <v>668</v>
      </c>
      <c r="B83" s="153">
        <v>10027473</v>
      </c>
      <c r="C83" s="154" t="s">
        <v>670</v>
      </c>
      <c r="D83" s="155"/>
    </row>
    <row r="84" ht="14.25">
      <c r="A84" s="152" t="s">
        <v>668</v>
      </c>
      <c r="B84" s="153">
        <v>10027472</v>
      </c>
      <c r="C84" s="154" t="s">
        <v>671</v>
      </c>
      <c r="D84" s="155"/>
    </row>
    <row r="85" ht="14.65">
      <c r="A85" s="156" t="s">
        <v>672</v>
      </c>
      <c r="B85" s="157">
        <v>10028664</v>
      </c>
      <c r="C85" s="158" t="s">
        <v>673</v>
      </c>
      <c r="D85" s="159"/>
    </row>
    <row r="86" ht="14.25">
      <c r="A86" s="148" t="s">
        <v>674</v>
      </c>
      <c r="B86" s="149">
        <v>10027451</v>
      </c>
      <c r="C86" s="150" t="s">
        <v>675</v>
      </c>
      <c r="D86" s="151"/>
    </row>
    <row r="87" ht="14.25">
      <c r="A87" s="152" t="s">
        <v>674</v>
      </c>
      <c r="B87" s="153">
        <v>10027453</v>
      </c>
      <c r="C87" s="154" t="s">
        <v>676</v>
      </c>
      <c r="D87" s="155"/>
    </row>
    <row r="88" ht="14.25">
      <c r="A88" s="152" t="s">
        <v>674</v>
      </c>
      <c r="B88" s="153">
        <v>10027455</v>
      </c>
      <c r="C88" s="154" t="s">
        <v>601</v>
      </c>
      <c r="D88" s="155"/>
    </row>
    <row r="89" ht="14.25">
      <c r="A89" s="152" t="s">
        <v>674</v>
      </c>
      <c r="B89" s="153">
        <v>10028708</v>
      </c>
      <c r="C89" s="154" t="s">
        <v>677</v>
      </c>
      <c r="D89" s="155"/>
    </row>
    <row r="90" ht="14.25">
      <c r="A90" s="152" t="s">
        <v>678</v>
      </c>
      <c r="B90" s="153"/>
      <c r="C90" s="154" t="s">
        <v>679</v>
      </c>
      <c r="D90" s="155"/>
    </row>
    <row r="91" ht="14.65">
      <c r="A91" s="156" t="s">
        <v>680</v>
      </c>
      <c r="B91" s="157">
        <v>10028665</v>
      </c>
      <c r="C91" s="158" t="s">
        <v>681</v>
      </c>
      <c r="D91" s="159"/>
    </row>
    <row r="92" ht="14.25">
      <c r="A92" s="152" t="s">
        <v>682</v>
      </c>
      <c r="B92" s="153">
        <v>10023117</v>
      </c>
      <c r="C92" s="154" t="s">
        <v>683</v>
      </c>
      <c r="D92" s="155"/>
    </row>
    <row r="93" ht="14.25">
      <c r="A93" s="178" t="s">
        <v>684</v>
      </c>
      <c r="B93" s="162">
        <v>10022081</v>
      </c>
      <c r="C93" s="163" t="s">
        <v>685</v>
      </c>
      <c r="D93" s="164"/>
    </row>
    <row r="94" ht="14.25">
      <c r="A94" s="178" t="s">
        <v>686</v>
      </c>
      <c r="B94" s="162">
        <v>10029943</v>
      </c>
      <c r="C94" s="163" t="s">
        <v>687</v>
      </c>
      <c r="D94" s="164"/>
    </row>
    <row r="95" ht="14.25">
      <c r="A95" s="178" t="s">
        <v>688</v>
      </c>
      <c r="B95" s="162">
        <v>10031510</v>
      </c>
      <c r="C95" s="163" t="s">
        <v>689</v>
      </c>
      <c r="D95" s="164"/>
    </row>
    <row r="96" ht="14.25">
      <c r="A96" s="178" t="s">
        <v>690</v>
      </c>
      <c r="B96" s="162">
        <v>10030034</v>
      </c>
      <c r="C96" s="163" t="s">
        <v>691</v>
      </c>
      <c r="D96" s="164"/>
    </row>
    <row r="97" ht="14.25">
      <c r="A97" s="178" t="s">
        <v>692</v>
      </c>
      <c r="B97" s="162">
        <v>10033081</v>
      </c>
      <c r="C97" s="163" t="s">
        <v>693</v>
      </c>
      <c r="D97" s="164"/>
    </row>
    <row r="98" ht="14.25">
      <c r="A98" s="178" t="s">
        <v>694</v>
      </c>
      <c r="B98" s="162">
        <v>10030949</v>
      </c>
      <c r="C98" s="163" t="s">
        <v>695</v>
      </c>
      <c r="D98" s="164"/>
    </row>
    <row r="99" ht="14.25">
      <c r="A99" s="178" t="s">
        <v>696</v>
      </c>
      <c r="B99" s="162">
        <v>10021933</v>
      </c>
      <c r="C99" s="163" t="s">
        <v>697</v>
      </c>
      <c r="D99" s="164"/>
    </row>
    <row r="100" ht="14.25">
      <c r="A100" s="178" t="s">
        <v>698</v>
      </c>
      <c r="B100" s="162">
        <v>10026568</v>
      </c>
      <c r="C100" s="163" t="s">
        <v>699</v>
      </c>
      <c r="D100" s="164"/>
    </row>
    <row r="101" ht="14.25">
      <c r="A101" s="178" t="s">
        <v>700</v>
      </c>
      <c r="B101" s="162">
        <v>10029831</v>
      </c>
      <c r="C101" s="163" t="s">
        <v>701</v>
      </c>
      <c r="D101" s="164"/>
    </row>
    <row r="102" ht="14.25">
      <c r="A102" s="178" t="s">
        <v>702</v>
      </c>
      <c r="B102" s="162">
        <v>10027558</v>
      </c>
      <c r="C102" s="163" t="s">
        <v>703</v>
      </c>
      <c r="D102" s="164"/>
    </row>
    <row r="103" ht="14.25">
      <c r="A103" s="178" t="s">
        <v>704</v>
      </c>
      <c r="B103" s="162">
        <v>10029642</v>
      </c>
      <c r="C103" s="163" t="s">
        <v>705</v>
      </c>
      <c r="D103" s="164"/>
    </row>
    <row r="104" ht="14.25">
      <c r="A104" s="178" t="s">
        <v>706</v>
      </c>
      <c r="B104" s="162">
        <v>10030100</v>
      </c>
      <c r="C104" s="163" t="s">
        <v>707</v>
      </c>
      <c r="D104" s="164"/>
    </row>
    <row r="105" ht="14.25">
      <c r="A105" s="178" t="s">
        <v>708</v>
      </c>
      <c r="B105" s="162">
        <v>10021347</v>
      </c>
      <c r="C105" s="163" t="s">
        <v>709</v>
      </c>
      <c r="D105" s="164"/>
    </row>
    <row r="106" ht="14.25">
      <c r="A106" s="178" t="s">
        <v>710</v>
      </c>
      <c r="B106" s="162">
        <v>10031030</v>
      </c>
      <c r="C106" s="163" t="s">
        <v>711</v>
      </c>
      <c r="D106" s="164"/>
    </row>
    <row r="107" ht="14.25">
      <c r="A107" s="178" t="s">
        <v>712</v>
      </c>
      <c r="B107" s="162">
        <v>10031031</v>
      </c>
      <c r="C107" s="163" t="s">
        <v>713</v>
      </c>
      <c r="D107" s="164"/>
    </row>
    <row r="108" ht="14.25">
      <c r="A108" s="178" t="s">
        <v>714</v>
      </c>
      <c r="B108" s="162">
        <v>10032530</v>
      </c>
      <c r="C108" s="163" t="s">
        <v>715</v>
      </c>
      <c r="D108" s="164"/>
    </row>
    <row r="109" ht="14.25">
      <c r="A109" s="178" t="s">
        <v>716</v>
      </c>
      <c r="B109" s="162">
        <v>10013256</v>
      </c>
      <c r="C109" s="163" t="s">
        <v>717</v>
      </c>
      <c r="D109" s="164"/>
    </row>
    <row r="110" ht="14.25">
      <c r="A110" s="178" t="s">
        <v>718</v>
      </c>
      <c r="B110" s="162">
        <v>10023086</v>
      </c>
      <c r="C110" s="163" t="s">
        <v>719</v>
      </c>
      <c r="D110" s="164"/>
    </row>
    <row r="111" ht="14.25">
      <c r="A111" s="178" t="s">
        <v>720</v>
      </c>
      <c r="B111" s="162">
        <v>10022092</v>
      </c>
      <c r="C111" s="163" t="s">
        <v>721</v>
      </c>
      <c r="D111" s="164"/>
    </row>
    <row r="112" ht="14.25">
      <c r="A112" s="178" t="s">
        <v>722</v>
      </c>
      <c r="B112" s="162">
        <v>10022093</v>
      </c>
      <c r="C112" s="163" t="s">
        <v>723</v>
      </c>
      <c r="D112" s="164"/>
    </row>
    <row r="113" ht="14.25">
      <c r="A113" s="178" t="s">
        <v>724</v>
      </c>
      <c r="B113" s="162">
        <v>10029911</v>
      </c>
      <c r="C113" s="163" t="s">
        <v>725</v>
      </c>
      <c r="D113" s="164"/>
    </row>
    <row r="114" ht="14.25">
      <c r="A114" s="178" t="s">
        <v>726</v>
      </c>
      <c r="B114" s="162">
        <v>10030405</v>
      </c>
      <c r="C114" s="163" t="s">
        <v>727</v>
      </c>
      <c r="D114" s="164"/>
    </row>
    <row r="115" ht="14.25">
      <c r="A115" s="178" t="s">
        <v>728</v>
      </c>
      <c r="B115" s="162">
        <v>10030986</v>
      </c>
      <c r="C115" s="163" t="s">
        <v>729</v>
      </c>
      <c r="D115" s="164"/>
    </row>
    <row r="116" ht="14.25">
      <c r="A116" s="178" t="s">
        <v>730</v>
      </c>
      <c r="B116" s="162">
        <v>10030809</v>
      </c>
      <c r="C116" s="163" t="s">
        <v>731</v>
      </c>
      <c r="D116" s="164"/>
    </row>
    <row r="117" ht="14.25">
      <c r="A117" s="178" t="s">
        <v>732</v>
      </c>
      <c r="B117" s="162">
        <v>10031596</v>
      </c>
      <c r="C117" s="163" t="s">
        <v>733</v>
      </c>
      <c r="D117" s="164"/>
    </row>
    <row r="118" ht="14.25">
      <c r="A118" s="178" t="s">
        <v>734</v>
      </c>
      <c r="B118" s="162">
        <v>10032286</v>
      </c>
      <c r="C118" s="163" t="s">
        <v>735</v>
      </c>
      <c r="D118" s="164"/>
    </row>
    <row r="119" ht="14.25">
      <c r="A119" s="178" t="s">
        <v>736</v>
      </c>
      <c r="B119" s="162">
        <v>10032287</v>
      </c>
      <c r="C119" s="163" t="s">
        <v>737</v>
      </c>
      <c r="D119" s="164"/>
    </row>
    <row r="120" ht="14.25">
      <c r="A120" s="178" t="s">
        <v>738</v>
      </c>
      <c r="B120" s="162">
        <v>10031597</v>
      </c>
      <c r="C120" s="163" t="s">
        <v>739</v>
      </c>
      <c r="D120" s="164"/>
    </row>
    <row r="121" ht="14.25">
      <c r="A121" s="178" t="s">
        <v>740</v>
      </c>
      <c r="B121" s="162">
        <v>10027557</v>
      </c>
      <c r="C121" s="163" t="s">
        <v>741</v>
      </c>
      <c r="D121" s="164"/>
    </row>
    <row r="122" ht="14.25">
      <c r="A122" s="178" t="s">
        <v>742</v>
      </c>
      <c r="B122" s="162">
        <v>10021306</v>
      </c>
      <c r="C122" s="163" t="s">
        <v>743</v>
      </c>
      <c r="D122" s="164"/>
    </row>
    <row r="123" ht="14.25">
      <c r="A123" s="178" t="s">
        <v>744</v>
      </c>
      <c r="B123" s="162">
        <v>10030821</v>
      </c>
      <c r="C123" s="163" t="s">
        <v>745</v>
      </c>
      <c r="D123" s="164"/>
    </row>
    <row r="124" ht="14.25">
      <c r="A124" s="178" t="s">
        <v>746</v>
      </c>
      <c r="B124" s="162">
        <v>10027555</v>
      </c>
      <c r="C124" s="163" t="s">
        <v>747</v>
      </c>
      <c r="D124" s="164"/>
    </row>
    <row r="125" ht="14.65">
      <c r="A125" s="178" t="s">
        <v>748</v>
      </c>
      <c r="B125" s="162">
        <v>10027556</v>
      </c>
      <c r="C125" s="163" t="s">
        <v>749</v>
      </c>
      <c r="D125" s="164"/>
    </row>
    <row r="126" ht="14.25">
      <c r="A126" s="179" t="s">
        <v>750</v>
      </c>
      <c r="B126" s="180">
        <v>10026565</v>
      </c>
      <c r="C126" s="181" t="s">
        <v>751</v>
      </c>
      <c r="D126" s="182"/>
    </row>
    <row r="127" ht="14.25">
      <c r="A127" s="160" t="s">
        <v>752</v>
      </c>
      <c r="B127" s="153">
        <v>10030033</v>
      </c>
      <c r="C127" s="154" t="s">
        <v>753</v>
      </c>
      <c r="D127" s="155"/>
    </row>
    <row r="128" ht="14.25">
      <c r="A128" s="160" t="s">
        <v>754</v>
      </c>
      <c r="B128" s="153">
        <v>10022107</v>
      </c>
      <c r="C128" s="154" t="s">
        <v>755</v>
      </c>
      <c r="D128" s="164"/>
    </row>
    <row r="129" ht="14.25">
      <c r="A129" s="160" t="s">
        <v>756</v>
      </c>
      <c r="B129" s="153">
        <v>10031511</v>
      </c>
      <c r="C129" s="154" t="s">
        <v>757</v>
      </c>
      <c r="D129" s="164"/>
    </row>
    <row r="130" ht="14.25">
      <c r="A130" s="160" t="s">
        <v>758</v>
      </c>
      <c r="B130" s="153">
        <v>10032941</v>
      </c>
      <c r="C130" s="154" t="s">
        <v>759</v>
      </c>
      <c r="D130" s="164"/>
    </row>
    <row r="131" ht="14.25">
      <c r="A131" s="160" t="s">
        <v>760</v>
      </c>
      <c r="B131" s="153">
        <v>10017344</v>
      </c>
      <c r="C131" s="154" t="s">
        <v>761</v>
      </c>
      <c r="D131" s="164"/>
    </row>
    <row r="132" ht="14.65">
      <c r="A132" s="183" t="s">
        <v>762</v>
      </c>
      <c r="B132" s="153">
        <v>10032809</v>
      </c>
      <c r="C132" s="184" t="s">
        <v>763</v>
      </c>
      <c r="D132" s="159"/>
    </row>
    <row r="133" ht="14.65">
      <c r="A133" s="165" t="s">
        <v>764</v>
      </c>
      <c r="B133" s="166">
        <v>10029819</v>
      </c>
      <c r="C133" s="167" t="s">
        <v>765</v>
      </c>
      <c r="D133" s="168"/>
    </row>
    <row r="134" ht="14.25">
      <c r="A134" s="169" t="s">
        <v>766</v>
      </c>
      <c r="B134" s="170">
        <v>10029408</v>
      </c>
      <c r="C134" s="171" t="s">
        <v>767</v>
      </c>
      <c r="D134" s="172"/>
    </row>
    <row r="135" ht="14.25">
      <c r="A135" s="169" t="s">
        <v>768</v>
      </c>
      <c r="B135" s="170">
        <v>10028459</v>
      </c>
      <c r="C135" s="171" t="s">
        <v>769</v>
      </c>
      <c r="D135" s="172"/>
    </row>
    <row r="136" ht="14.25">
      <c r="A136" s="169" t="s">
        <v>770</v>
      </c>
      <c r="B136" s="170">
        <v>10028489</v>
      </c>
      <c r="C136" s="171" t="s">
        <v>771</v>
      </c>
      <c r="D136" s="172"/>
    </row>
    <row r="137" ht="14.25">
      <c r="A137" s="152" t="s">
        <v>772</v>
      </c>
      <c r="B137" s="153">
        <v>10028467</v>
      </c>
      <c r="C137" s="154" t="s">
        <v>773</v>
      </c>
      <c r="D137" s="155"/>
    </row>
    <row r="138" ht="14.25">
      <c r="A138" s="152" t="s">
        <v>772</v>
      </c>
      <c r="B138" s="162">
        <v>10028468</v>
      </c>
      <c r="C138" s="163" t="s">
        <v>774</v>
      </c>
      <c r="D138" s="164"/>
    </row>
    <row r="139" ht="52.9">
      <c r="A139" s="185" t="s">
        <v>772</v>
      </c>
      <c r="B139" s="157"/>
      <c r="C139" s="158" t="s">
        <v>775</v>
      </c>
      <c r="D139" s="186" t="s">
        <v>776</v>
      </c>
    </row>
    <row r="140" ht="14.25">
      <c r="A140" s="169" t="s">
        <v>777</v>
      </c>
      <c r="B140" s="170">
        <v>10023102</v>
      </c>
      <c r="C140" s="171" t="s">
        <v>778</v>
      </c>
      <c r="D140" s="172"/>
    </row>
    <row r="141" ht="14.25">
      <c r="A141" s="169" t="s">
        <v>779</v>
      </c>
      <c r="B141" s="170">
        <v>10021514</v>
      </c>
      <c r="C141" s="171" t="s">
        <v>780</v>
      </c>
      <c r="D141" s="172"/>
    </row>
    <row r="142" ht="14.25">
      <c r="A142" s="169" t="s">
        <v>781</v>
      </c>
      <c r="B142" s="170">
        <v>10027548</v>
      </c>
      <c r="C142" s="171" t="s">
        <v>782</v>
      </c>
      <c r="D142" s="172"/>
    </row>
    <row r="143" ht="14.25">
      <c r="A143" s="152" t="s">
        <v>783</v>
      </c>
      <c r="B143" s="153">
        <v>10026564</v>
      </c>
      <c r="C143" s="154" t="s">
        <v>784</v>
      </c>
      <c r="D143" s="155"/>
    </row>
    <row r="144" ht="14.25">
      <c r="A144" s="178" t="s">
        <v>785</v>
      </c>
      <c r="B144" s="162">
        <v>10022424</v>
      </c>
      <c r="C144" s="163" t="s">
        <v>786</v>
      </c>
      <c r="D144" s="164"/>
    </row>
    <row r="145" ht="14.25">
      <c r="A145" s="152" t="s">
        <v>787</v>
      </c>
      <c r="B145" s="153">
        <v>10028420</v>
      </c>
      <c r="C145" s="154" t="s">
        <v>788</v>
      </c>
      <c r="D145" s="155"/>
    </row>
    <row r="146" ht="14.25">
      <c r="A146" s="152" t="s">
        <v>789</v>
      </c>
      <c r="B146" s="153">
        <v>10023104</v>
      </c>
      <c r="C146" s="154" t="s">
        <v>790</v>
      </c>
      <c r="D146" s="155"/>
    </row>
    <row r="147" ht="14.25">
      <c r="A147" s="152" t="s">
        <v>791</v>
      </c>
      <c r="B147" s="153">
        <v>10029818</v>
      </c>
      <c r="C147" s="154" t="s">
        <v>792</v>
      </c>
      <c r="D147" s="155"/>
    </row>
    <row r="148" ht="14.25">
      <c r="A148" s="152" t="s">
        <v>793</v>
      </c>
      <c r="B148" s="153">
        <v>10032364</v>
      </c>
      <c r="C148" s="154" t="s">
        <v>794</v>
      </c>
      <c r="D148" s="155"/>
    </row>
    <row r="149" ht="14.25">
      <c r="A149" s="152" t="s">
        <v>795</v>
      </c>
      <c r="B149" s="153">
        <v>10028458</v>
      </c>
      <c r="C149" s="154" t="s">
        <v>796</v>
      </c>
      <c r="D149" s="155"/>
    </row>
    <row r="150" ht="14.25">
      <c r="A150" s="152" t="s">
        <v>797</v>
      </c>
      <c r="B150" s="153">
        <v>10026368</v>
      </c>
      <c r="C150" s="154" t="s">
        <v>798</v>
      </c>
      <c r="D150" s="155"/>
    </row>
    <row r="151" ht="14.25">
      <c r="A151" s="152" t="s">
        <v>799</v>
      </c>
      <c r="B151" s="153">
        <v>10026366</v>
      </c>
      <c r="C151" s="154" t="s">
        <v>800</v>
      </c>
      <c r="D151" s="155"/>
    </row>
    <row r="152" ht="14.25">
      <c r="A152" s="152" t="s">
        <v>801</v>
      </c>
      <c r="B152" s="153">
        <v>10022550</v>
      </c>
      <c r="C152" s="154" t="s">
        <v>802</v>
      </c>
      <c r="D152" s="155"/>
    </row>
    <row r="153" ht="14.25">
      <c r="A153" s="152" t="s">
        <v>803</v>
      </c>
      <c r="B153" s="153">
        <v>10023609</v>
      </c>
      <c r="C153" s="154" t="s">
        <v>804</v>
      </c>
      <c r="D153" s="155"/>
    </row>
    <row r="154" ht="14.25">
      <c r="A154" s="152" t="s">
        <v>805</v>
      </c>
      <c r="B154" s="153">
        <v>10023610</v>
      </c>
      <c r="C154" s="154" t="s">
        <v>806</v>
      </c>
      <c r="D154" s="155"/>
    </row>
    <row r="155" ht="14.25">
      <c r="A155" s="152" t="s">
        <v>807</v>
      </c>
      <c r="B155" s="153">
        <v>10023902</v>
      </c>
      <c r="C155" s="154" t="s">
        <v>808</v>
      </c>
      <c r="D155" s="155"/>
    </row>
    <row r="156" ht="14.25">
      <c r="A156" s="152" t="s">
        <v>809</v>
      </c>
      <c r="B156" s="153">
        <v>10026566</v>
      </c>
      <c r="C156" s="154" t="s">
        <v>810</v>
      </c>
      <c r="D156" s="155"/>
    </row>
    <row r="157" ht="14.25">
      <c r="A157" s="169" t="s">
        <v>811</v>
      </c>
      <c r="B157" s="170">
        <v>10030356</v>
      </c>
      <c r="C157" s="171" t="s">
        <v>812</v>
      </c>
      <c r="D157" s="172"/>
    </row>
    <row r="158" ht="14.25">
      <c r="A158" s="169" t="s">
        <v>813</v>
      </c>
      <c r="B158" s="170">
        <v>10030384</v>
      </c>
      <c r="C158" s="171" t="s">
        <v>814</v>
      </c>
      <c r="D158" s="172"/>
    </row>
    <row r="159" ht="14.25">
      <c r="A159" s="152" t="s">
        <v>815</v>
      </c>
      <c r="B159" s="153">
        <v>10030278</v>
      </c>
      <c r="C159" s="154" t="s">
        <v>816</v>
      </c>
      <c r="D159" s="155"/>
    </row>
    <row r="160" ht="14.25">
      <c r="A160" s="152" t="s">
        <v>817</v>
      </c>
      <c r="B160" s="153" t="s">
        <v>818</v>
      </c>
      <c r="C160" s="154" t="s">
        <v>819</v>
      </c>
      <c r="D160" s="155"/>
    </row>
    <row r="161" ht="14.25">
      <c r="A161" s="152" t="s">
        <v>820</v>
      </c>
      <c r="B161" s="153" t="s">
        <v>821</v>
      </c>
      <c r="C161" s="154" t="s">
        <v>822</v>
      </c>
      <c r="D161" s="155"/>
    </row>
    <row r="162" ht="14.65">
      <c r="A162" s="152" t="s">
        <v>823</v>
      </c>
      <c r="B162" s="153">
        <v>10030620</v>
      </c>
      <c r="C162" s="154" t="s">
        <v>824</v>
      </c>
      <c r="D162" s="155"/>
    </row>
    <row r="163" ht="14.25">
      <c r="A163" s="148" t="s">
        <v>825</v>
      </c>
      <c r="B163" s="149">
        <v>10028421</v>
      </c>
      <c r="C163" s="150" t="s">
        <v>826</v>
      </c>
      <c r="D163" s="151"/>
    </row>
    <row r="164" ht="14.25">
      <c r="A164" s="169" t="s">
        <v>827</v>
      </c>
      <c r="B164" s="170">
        <v>10027465</v>
      </c>
      <c r="C164" s="171" t="s">
        <v>828</v>
      </c>
      <c r="D164" s="172"/>
    </row>
    <row r="165" ht="14.25">
      <c r="A165" s="152" t="s">
        <v>829</v>
      </c>
      <c r="B165" s="153">
        <v>10027549</v>
      </c>
      <c r="C165" s="154" t="s">
        <v>830</v>
      </c>
      <c r="D165" s="155"/>
    </row>
    <row r="166" ht="14.25">
      <c r="A166" s="152" t="s">
        <v>831</v>
      </c>
      <c r="B166" s="153">
        <v>10024424</v>
      </c>
      <c r="C166" s="154" t="s">
        <v>832</v>
      </c>
      <c r="D166" s="155"/>
    </row>
    <row r="167" ht="14.25">
      <c r="A167" s="152" t="s">
        <v>833</v>
      </c>
      <c r="B167" s="153">
        <v>10017992</v>
      </c>
      <c r="C167" s="154" t="s">
        <v>834</v>
      </c>
      <c r="D167" s="155"/>
    </row>
    <row r="168" ht="14.25">
      <c r="A168" s="152" t="s">
        <v>835</v>
      </c>
      <c r="B168" s="153">
        <v>10024393</v>
      </c>
      <c r="C168" s="154" t="s">
        <v>836</v>
      </c>
      <c r="D168" s="155"/>
    </row>
    <row r="169" ht="14.25">
      <c r="A169" s="152" t="s">
        <v>837</v>
      </c>
      <c r="B169" s="153">
        <v>10024394</v>
      </c>
      <c r="C169" s="154" t="s">
        <v>838</v>
      </c>
      <c r="D169" s="155"/>
    </row>
    <row r="170" ht="14.65">
      <c r="A170" s="152" t="s">
        <v>839</v>
      </c>
      <c r="B170" s="153">
        <v>10022531</v>
      </c>
      <c r="C170" s="154" t="s">
        <v>840</v>
      </c>
      <c r="D170" s="155"/>
    </row>
    <row r="171" ht="14.25">
      <c r="A171" s="148" t="s">
        <v>841</v>
      </c>
      <c r="B171" s="149">
        <v>10027554</v>
      </c>
      <c r="C171" s="150" t="s">
        <v>842</v>
      </c>
      <c r="D171" s="151"/>
    </row>
    <row r="172" ht="14.25">
      <c r="A172" s="152" t="s">
        <v>843</v>
      </c>
      <c r="B172" s="153">
        <v>10017994</v>
      </c>
      <c r="C172" s="154" t="s">
        <v>844</v>
      </c>
      <c r="D172" s="155"/>
    </row>
    <row r="173" ht="14.25">
      <c r="A173" s="152" t="s">
        <v>845</v>
      </c>
      <c r="B173" s="153">
        <v>10024391</v>
      </c>
      <c r="C173" s="154" t="s">
        <v>846</v>
      </c>
      <c r="D173" s="155"/>
    </row>
    <row r="174" ht="14.25">
      <c r="A174" s="152" t="s">
        <v>847</v>
      </c>
      <c r="B174" s="153">
        <v>10022423</v>
      </c>
      <c r="C174" s="154" t="s">
        <v>848</v>
      </c>
      <c r="D174" s="155"/>
    </row>
    <row r="175" ht="14.25">
      <c r="A175" s="152" t="s">
        <v>849</v>
      </c>
      <c r="B175" s="153">
        <v>10024392</v>
      </c>
      <c r="C175" s="154" t="s">
        <v>848</v>
      </c>
      <c r="D175" s="155"/>
    </row>
    <row r="176" ht="14.25">
      <c r="A176" s="152" t="s">
        <v>850</v>
      </c>
      <c r="B176" s="153">
        <v>10026567</v>
      </c>
      <c r="C176" s="154" t="s">
        <v>851</v>
      </c>
      <c r="D176" s="155"/>
    </row>
    <row r="177" ht="14.25">
      <c r="A177" s="152" t="s">
        <v>852</v>
      </c>
      <c r="B177" s="153">
        <v>10030404</v>
      </c>
      <c r="C177" s="154" t="s">
        <v>853</v>
      </c>
      <c r="D177" s="155"/>
    </row>
    <row r="178" ht="14.25">
      <c r="A178" s="152" t="s">
        <v>854</v>
      </c>
      <c r="B178" s="153">
        <v>10029910</v>
      </c>
      <c r="C178" s="154" t="s">
        <v>855</v>
      </c>
      <c r="D178" s="155"/>
    </row>
    <row r="179" ht="14.25">
      <c r="A179" s="152" t="s">
        <v>856</v>
      </c>
      <c r="B179" s="153">
        <v>10030228</v>
      </c>
      <c r="C179" s="154" t="s">
        <v>857</v>
      </c>
      <c r="D179" s="155"/>
    </row>
    <row r="180" ht="14.25">
      <c r="A180" s="152" t="s">
        <v>858</v>
      </c>
      <c r="B180" s="153">
        <v>10030229</v>
      </c>
      <c r="C180" s="154" t="s">
        <v>859</v>
      </c>
      <c r="D180" s="155"/>
    </row>
    <row r="181" ht="14.25">
      <c r="A181" s="152" t="s">
        <v>860</v>
      </c>
      <c r="B181" s="153">
        <v>10024252</v>
      </c>
      <c r="C181" s="154" t="s">
        <v>861</v>
      </c>
      <c r="D181" s="155"/>
    </row>
    <row r="182" ht="14.25">
      <c r="A182" s="178" t="s">
        <v>862</v>
      </c>
      <c r="B182" s="162">
        <v>10029817</v>
      </c>
      <c r="C182" s="163" t="s">
        <v>863</v>
      </c>
      <c r="D182" s="164"/>
    </row>
    <row r="183" ht="14.25">
      <c r="A183" s="178" t="s">
        <v>864</v>
      </c>
      <c r="B183" s="162">
        <v>10029938</v>
      </c>
      <c r="C183" s="163" t="s">
        <v>865</v>
      </c>
      <c r="D183" s="164"/>
    </row>
    <row r="184" ht="14.25">
      <c r="A184" s="178" t="s">
        <v>866</v>
      </c>
      <c r="B184" s="162">
        <v>10029896</v>
      </c>
      <c r="C184" s="163" t="s">
        <v>867</v>
      </c>
      <c r="D184" s="164"/>
    </row>
    <row r="185" ht="14.25">
      <c r="A185" s="178" t="s">
        <v>868</v>
      </c>
      <c r="B185" s="162">
        <v>10030319</v>
      </c>
      <c r="C185" s="163" t="s">
        <v>869</v>
      </c>
      <c r="D185" s="164"/>
    </row>
    <row r="186" ht="14.25">
      <c r="A186" s="178" t="s">
        <v>870</v>
      </c>
      <c r="B186" s="162">
        <v>10029895</v>
      </c>
      <c r="C186" s="163" t="s">
        <v>871</v>
      </c>
      <c r="D186" s="164"/>
    </row>
    <row r="187" ht="14.25">
      <c r="A187" s="178" t="s">
        <v>872</v>
      </c>
      <c r="B187" s="162">
        <v>10032529</v>
      </c>
      <c r="C187" s="163" t="s">
        <v>873</v>
      </c>
      <c r="D187" s="164"/>
    </row>
    <row r="188" ht="14.25">
      <c r="A188" s="178" t="s">
        <v>874</v>
      </c>
      <c r="B188" s="162">
        <v>10030373</v>
      </c>
      <c r="C188" s="163" t="s">
        <v>875</v>
      </c>
      <c r="D188" s="164"/>
    </row>
    <row r="189" ht="14.25">
      <c r="A189" s="178" t="s">
        <v>876</v>
      </c>
      <c r="B189" s="162">
        <v>10030374</v>
      </c>
      <c r="C189" s="163" t="s">
        <v>877</v>
      </c>
      <c r="D189" s="164"/>
    </row>
    <row r="190" ht="14.25">
      <c r="A190" s="178" t="s">
        <v>878</v>
      </c>
      <c r="B190" s="162">
        <v>10030371</v>
      </c>
      <c r="C190" s="163" t="s">
        <v>879</v>
      </c>
      <c r="D190" s="164"/>
    </row>
    <row r="191" ht="14.25">
      <c r="A191" s="178" t="s">
        <v>880</v>
      </c>
      <c r="B191" s="162">
        <v>10031484</v>
      </c>
      <c r="C191" s="163" t="s">
        <v>881</v>
      </c>
      <c r="D191" s="164"/>
    </row>
    <row r="192" ht="14.25">
      <c r="A192" s="178" t="s">
        <v>882</v>
      </c>
      <c r="B192" s="162">
        <v>10030372</v>
      </c>
      <c r="C192" s="163" t="s">
        <v>883</v>
      </c>
      <c r="D192" s="164"/>
    </row>
    <row r="193" ht="14.25">
      <c r="A193" s="178" t="s">
        <v>884</v>
      </c>
      <c r="B193" s="162">
        <v>10031595</v>
      </c>
      <c r="C193" s="163" t="s">
        <v>885</v>
      </c>
      <c r="D193" s="164"/>
    </row>
    <row r="194" ht="14.25">
      <c r="A194" s="178" t="s">
        <v>886</v>
      </c>
      <c r="B194" s="162">
        <v>10031482</v>
      </c>
      <c r="C194" s="163" t="s">
        <v>887</v>
      </c>
      <c r="D194" s="164"/>
    </row>
    <row r="195" ht="14.25">
      <c r="A195" s="178" t="s">
        <v>888</v>
      </c>
      <c r="B195" s="162">
        <v>10031512</v>
      </c>
      <c r="C195" s="163" t="s">
        <v>889</v>
      </c>
      <c r="D195" s="164"/>
    </row>
    <row r="196" ht="14.25">
      <c r="A196" s="178" t="s">
        <v>890</v>
      </c>
      <c r="B196" s="162">
        <v>10031483</v>
      </c>
      <c r="C196" s="163" t="s">
        <v>891</v>
      </c>
      <c r="D196" s="164"/>
    </row>
    <row r="197" ht="14.25">
      <c r="A197" s="178" t="s">
        <v>892</v>
      </c>
      <c r="B197" s="162">
        <v>10031485</v>
      </c>
      <c r="C197" s="163" t="s">
        <v>893</v>
      </c>
      <c r="D197" s="164"/>
    </row>
    <row r="198" ht="14.25">
      <c r="A198" s="178" t="s">
        <v>894</v>
      </c>
      <c r="B198" s="162">
        <v>10032291</v>
      </c>
      <c r="C198" s="163" t="s">
        <v>895</v>
      </c>
      <c r="D198" s="164"/>
    </row>
    <row r="199" ht="14.25">
      <c r="A199" s="178" t="s">
        <v>896</v>
      </c>
      <c r="B199" s="162">
        <v>10032290</v>
      </c>
      <c r="C199" s="163" t="s">
        <v>895</v>
      </c>
      <c r="D199" s="164"/>
    </row>
    <row r="200" ht="14.65">
      <c r="A200" s="156" t="s">
        <v>897</v>
      </c>
      <c r="B200" s="157">
        <v>10030277</v>
      </c>
      <c r="C200" s="158" t="s">
        <v>898</v>
      </c>
      <c r="D200" s="159"/>
    </row>
    <row r="201" ht="14.25">
      <c r="A201" s="152" t="s">
        <v>899</v>
      </c>
      <c r="B201" s="153">
        <v>10022362</v>
      </c>
      <c r="C201" s="154" t="s">
        <v>900</v>
      </c>
      <c r="D201" s="155"/>
    </row>
    <row r="202" ht="14.25">
      <c r="A202" s="152" t="s">
        <v>901</v>
      </c>
      <c r="B202" s="153">
        <v>10027463</v>
      </c>
      <c r="C202" s="154" t="s">
        <v>902</v>
      </c>
      <c r="D202" s="155"/>
    </row>
    <row r="203" ht="14.25">
      <c r="A203" s="152" t="s">
        <v>903</v>
      </c>
      <c r="B203" s="153">
        <v>10026563</v>
      </c>
      <c r="C203" s="154" t="s">
        <v>904</v>
      </c>
      <c r="D203" s="155"/>
    </row>
    <row r="204" ht="14.25">
      <c r="A204" s="152" t="s">
        <v>905</v>
      </c>
      <c r="B204" s="153">
        <v>10027462</v>
      </c>
      <c r="C204" s="154" t="s">
        <v>906</v>
      </c>
      <c r="D204" s="155"/>
    </row>
    <row r="205" ht="14.25">
      <c r="A205" s="152" t="s">
        <v>907</v>
      </c>
      <c r="B205" s="153">
        <v>10022513</v>
      </c>
      <c r="C205" s="154" t="s">
        <v>908</v>
      </c>
      <c r="D205" s="155"/>
    </row>
    <row r="206" ht="14.25">
      <c r="A206" s="152" t="s">
        <v>909</v>
      </c>
      <c r="B206" s="153">
        <v>10027464</v>
      </c>
      <c r="C206" s="154" t="s">
        <v>910</v>
      </c>
      <c r="D206" s="155"/>
    </row>
    <row r="207" ht="14.25">
      <c r="A207" s="152" t="s">
        <v>911</v>
      </c>
      <c r="B207" s="153">
        <v>10026371</v>
      </c>
      <c r="C207" s="154" t="s">
        <v>912</v>
      </c>
      <c r="D207" s="155"/>
    </row>
    <row r="208" ht="14.25">
      <c r="A208" s="152" t="s">
        <v>913</v>
      </c>
      <c r="B208" s="153">
        <v>10017996</v>
      </c>
      <c r="C208" s="154" t="s">
        <v>914</v>
      </c>
      <c r="D208" s="155"/>
    </row>
    <row r="209" ht="14.65">
      <c r="A209" s="174" t="s">
        <v>915</v>
      </c>
      <c r="B209" s="175">
        <v>10029397</v>
      </c>
      <c r="C209" s="176" t="s">
        <v>916</v>
      </c>
      <c r="D209" s="177"/>
    </row>
    <row r="210" ht="14.25">
      <c r="A210" s="179" t="s">
        <v>917</v>
      </c>
      <c r="B210" s="180">
        <v>10027550</v>
      </c>
      <c r="C210" s="181" t="s">
        <v>918</v>
      </c>
      <c r="D210" s="182"/>
    </row>
    <row r="211" ht="14.25">
      <c r="A211" s="178" t="s">
        <v>919</v>
      </c>
      <c r="B211" s="162">
        <v>10025645</v>
      </c>
      <c r="C211" s="163" t="s">
        <v>920</v>
      </c>
      <c r="D211" s="164"/>
    </row>
    <row r="212" ht="14.25">
      <c r="A212" s="178" t="s">
        <v>921</v>
      </c>
      <c r="B212" s="162">
        <v>10025644</v>
      </c>
      <c r="C212" s="163" t="s">
        <v>922</v>
      </c>
      <c r="D212" s="164"/>
    </row>
    <row r="213" ht="14.25">
      <c r="A213" s="178" t="s">
        <v>923</v>
      </c>
      <c r="B213" s="162">
        <v>10023904</v>
      </c>
      <c r="C213" s="163" t="s">
        <v>924</v>
      </c>
      <c r="D213" s="164"/>
    </row>
    <row r="214" ht="14.25">
      <c r="A214" s="152" t="s">
        <v>925</v>
      </c>
      <c r="B214" s="153">
        <v>10023128</v>
      </c>
      <c r="C214" s="154" t="s">
        <v>926</v>
      </c>
      <c r="D214" s="155"/>
    </row>
    <row r="215" ht="14.25">
      <c r="A215" s="152" t="s">
        <v>927</v>
      </c>
      <c r="B215" s="153">
        <v>10026369</v>
      </c>
      <c r="C215" s="154" t="s">
        <v>928</v>
      </c>
      <c r="D215" s="155"/>
    </row>
    <row r="216" ht="14.25">
      <c r="A216" s="178" t="s">
        <v>929</v>
      </c>
      <c r="B216" s="162">
        <v>10030232</v>
      </c>
      <c r="C216" s="163" t="s">
        <v>930</v>
      </c>
      <c r="D216" s="164"/>
    </row>
    <row r="217" ht="14.25">
      <c r="A217" s="178" t="s">
        <v>931</v>
      </c>
      <c r="B217" s="162">
        <v>10030233</v>
      </c>
      <c r="C217" s="163" t="s">
        <v>932</v>
      </c>
      <c r="D217" s="164"/>
    </row>
    <row r="218" ht="14.25">
      <c r="A218" s="178" t="s">
        <v>933</v>
      </c>
      <c r="B218" s="162">
        <v>10026370</v>
      </c>
      <c r="C218" s="163" t="s">
        <v>934</v>
      </c>
      <c r="D218" s="164"/>
    </row>
    <row r="219" ht="14.25">
      <c r="A219" s="178" t="s">
        <v>935</v>
      </c>
      <c r="B219" s="162">
        <v>10030231</v>
      </c>
      <c r="C219" s="163" t="s">
        <v>936</v>
      </c>
      <c r="D219" s="164"/>
    </row>
    <row r="220" ht="14.25">
      <c r="A220" s="178" t="s">
        <v>937</v>
      </c>
      <c r="B220" s="162">
        <v>10030427</v>
      </c>
      <c r="C220" s="163" t="s">
        <v>938</v>
      </c>
      <c r="D220" s="164"/>
    </row>
    <row r="221" ht="14.25">
      <c r="A221" s="178" t="s">
        <v>937</v>
      </c>
      <c r="B221" s="162">
        <v>10030385</v>
      </c>
      <c r="C221" s="163" t="s">
        <v>939</v>
      </c>
      <c r="D221" s="164"/>
    </row>
    <row r="222" ht="14.25">
      <c r="A222" s="178" t="s">
        <v>937</v>
      </c>
      <c r="B222" s="162">
        <v>10030230</v>
      </c>
      <c r="C222" s="163" t="s">
        <v>940</v>
      </c>
      <c r="D222" s="164"/>
    </row>
    <row r="223" ht="14.65">
      <c r="A223" s="178" t="s">
        <v>941</v>
      </c>
      <c r="B223" s="162">
        <v>10030386</v>
      </c>
      <c r="C223" s="163" t="s">
        <v>942</v>
      </c>
      <c r="D223" s="164"/>
    </row>
    <row r="224" ht="14.25">
      <c r="A224" s="148" t="s">
        <v>943</v>
      </c>
      <c r="B224" s="149">
        <v>10025853</v>
      </c>
      <c r="C224" s="150" t="s">
        <v>944</v>
      </c>
      <c r="D224" s="151"/>
    </row>
    <row r="225" ht="14.25">
      <c r="A225" s="152" t="s">
        <v>945</v>
      </c>
      <c r="B225" s="153">
        <v>10023103</v>
      </c>
      <c r="C225" s="154" t="s">
        <v>946</v>
      </c>
      <c r="D225" s="155"/>
    </row>
    <row r="226" ht="14.25">
      <c r="A226" s="152" t="s">
        <v>947</v>
      </c>
      <c r="B226" s="153">
        <v>10022357</v>
      </c>
      <c r="C226" s="154" t="s">
        <v>948</v>
      </c>
      <c r="D226" s="155"/>
    </row>
    <row r="227" ht="14.25">
      <c r="A227" s="152" t="s">
        <v>949</v>
      </c>
      <c r="B227" s="153">
        <v>10029406</v>
      </c>
      <c r="C227" s="154" t="s">
        <v>950</v>
      </c>
      <c r="D227" s="155"/>
    </row>
    <row r="228" ht="14.25">
      <c r="A228" s="152" t="s">
        <v>951</v>
      </c>
      <c r="B228" s="153">
        <v>10027551</v>
      </c>
      <c r="C228" s="154" t="s">
        <v>952</v>
      </c>
      <c r="D228" s="155"/>
    </row>
    <row r="229" ht="14.65">
      <c r="A229" s="152" t="s">
        <v>953</v>
      </c>
      <c r="B229" s="153">
        <v>10029407</v>
      </c>
      <c r="C229" s="154" t="s">
        <v>954</v>
      </c>
      <c r="D229" s="155"/>
    </row>
    <row r="230" ht="14.25">
      <c r="A230" s="148" t="s">
        <v>955</v>
      </c>
      <c r="B230" s="149">
        <v>10029751</v>
      </c>
      <c r="C230" s="150" t="s">
        <v>956</v>
      </c>
      <c r="D230" s="151"/>
    </row>
    <row r="231" ht="14.25">
      <c r="A231" s="169" t="s">
        <v>957</v>
      </c>
      <c r="B231" s="170">
        <v>10029752</v>
      </c>
      <c r="C231" s="171" t="s">
        <v>958</v>
      </c>
      <c r="D231" s="172"/>
    </row>
    <row r="232" ht="14.25">
      <c r="A232" s="169" t="s">
        <v>957</v>
      </c>
      <c r="B232" s="170">
        <v>10029754</v>
      </c>
      <c r="C232" s="171" t="s">
        <v>959</v>
      </c>
      <c r="D232" s="172"/>
    </row>
    <row r="233" ht="14.25">
      <c r="A233" s="169" t="s">
        <v>957</v>
      </c>
      <c r="B233" s="170">
        <v>10030383</v>
      </c>
      <c r="C233" s="171" t="s">
        <v>960</v>
      </c>
      <c r="D233" s="172"/>
    </row>
    <row r="234" ht="14.25">
      <c r="A234" s="169" t="s">
        <v>961</v>
      </c>
      <c r="B234" s="170">
        <v>10029750</v>
      </c>
      <c r="C234" s="171" t="s">
        <v>962</v>
      </c>
      <c r="D234" s="172"/>
    </row>
    <row r="235" ht="14.65">
      <c r="A235" s="156" t="s">
        <v>961</v>
      </c>
      <c r="B235" s="157">
        <v>10029864</v>
      </c>
      <c r="C235" s="158" t="s">
        <v>963</v>
      </c>
      <c r="D235" s="159"/>
    </row>
    <row r="239" ht="14.25">
      <c r="A239" s="142"/>
      <c r="B239" s="141"/>
      <c r="C239" s="141"/>
      <c r="D239" s="141"/>
    </row>
    <row r="240" ht="14.25">
      <c r="A240" s="187" t="s">
        <v>964</v>
      </c>
      <c r="B240" s="143"/>
      <c r="C240" s="143"/>
      <c r="D240" s="143"/>
    </row>
  </sheetData>
  <pageMargins left="0.7" right="0.7" top="0.75" bottom="0.75" header="0.3" footer="0.3"/>
  <pageSetup orientation="portrait"/>
  <headerFooter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12"/>
  <dimension ref="A1:L41"/>
  <sheetViews>
    <sheetView zoomScale="90" zoomScaleNormal="90" workbookViewId="0">
      <selection activeCell="N41" sqref="N41"/>
    </sheetView>
  </sheetViews>
  <sheetFormatPr defaultRowHeight="12.75"/>
  <cols>
    <col min="1" max="1" width="12.86328125" customWidth="1"/>
    <col min="2" max="2" bestFit="1" width="17.265625" customWidth="1"/>
    <col min="3" max="3" bestFit="1" width="14.3984375" customWidth="1"/>
    <col min="4" max="4" width="39.59765625" customWidth="1"/>
    <col min="5" max="5" width="15.73046875" customWidth="1"/>
    <col min="6" max="6" bestFit="1" width="59.86328125" customWidth="1"/>
    <col min="7" max="7" width="21.265625" customWidth="1"/>
    <col min="8" max="8" width="19.1328125" customWidth="1"/>
    <col min="9" max="9" width="16.73046875" customWidth="1"/>
    <col min="10" max="10" bestFit="1" width="54.1328125" customWidth="1"/>
  </cols>
  <sheetData>
    <row r="1" ht="14.25">
      <c r="A1" s="113" t="s">
        <v>135</v>
      </c>
      <c r="B1" s="117" t="s">
        <v>136</v>
      </c>
      <c r="C1" s="117" t="s">
        <v>137</v>
      </c>
      <c r="D1" s="117" t="s">
        <v>138</v>
      </c>
      <c r="E1" s="117" t="s">
        <v>139</v>
      </c>
      <c r="F1" s="117" t="s">
        <v>140</v>
      </c>
      <c r="G1" s="118" t="s">
        <v>141</v>
      </c>
      <c r="H1" s="117" t="s">
        <v>142</v>
      </c>
      <c r="I1" s="118" t="s">
        <v>143</v>
      </c>
      <c r="J1" s="130" t="s">
        <v>144</v>
      </c>
      <c r="K1" s="114"/>
      <c r="L1" s="114"/>
    </row>
    <row r="2" ht="14.25">
      <c r="A2" s="112" t="s">
        <v>145</v>
      </c>
      <c r="B2" s="119">
        <v>10027276</v>
      </c>
      <c r="C2" s="119" t="s">
        <v>146</v>
      </c>
      <c r="D2" s="119" t="s">
        <v>147</v>
      </c>
      <c r="E2" s="119" t="s">
        <v>148</v>
      </c>
      <c r="F2" s="120" t="s">
        <v>149</v>
      </c>
      <c r="G2" s="119"/>
      <c r="H2" s="119"/>
      <c r="I2" s="119"/>
      <c r="J2" s="131" t="s">
        <v>150</v>
      </c>
      <c r="K2" s="114"/>
      <c r="L2" s="114"/>
    </row>
    <row r="3" ht="14.25">
      <c r="A3" s="112" t="s">
        <v>151</v>
      </c>
      <c r="B3" s="119">
        <v>10030662</v>
      </c>
      <c r="C3" s="119" t="s">
        <v>146</v>
      </c>
      <c r="D3" s="119" t="s">
        <v>152</v>
      </c>
      <c r="E3" s="119" t="s">
        <v>148</v>
      </c>
      <c r="F3" s="120" t="s">
        <v>149</v>
      </c>
      <c r="G3" s="119"/>
      <c r="H3" s="119"/>
      <c r="I3" s="119"/>
      <c r="J3" s="131" t="s">
        <v>150</v>
      </c>
      <c r="K3" s="114"/>
      <c r="L3" s="114"/>
    </row>
    <row r="4" ht="14.25">
      <c r="A4" s="112" t="s">
        <v>153</v>
      </c>
      <c r="B4" s="119">
        <v>10027272</v>
      </c>
      <c r="C4" s="119" t="s">
        <v>146</v>
      </c>
      <c r="D4" s="119" t="s">
        <v>154</v>
      </c>
      <c r="E4" s="119" t="s">
        <v>148</v>
      </c>
      <c r="F4" s="120" t="s">
        <v>149</v>
      </c>
      <c r="G4" s="119"/>
      <c r="H4" s="119"/>
      <c r="I4" s="119"/>
      <c r="J4" s="131" t="s">
        <v>150</v>
      </c>
      <c r="K4" s="114"/>
      <c r="L4" s="114"/>
    </row>
    <row r="5" ht="14.25">
      <c r="A5" s="112" t="s">
        <v>155</v>
      </c>
      <c r="B5" s="119">
        <v>10030658</v>
      </c>
      <c r="C5" s="119" t="s">
        <v>146</v>
      </c>
      <c r="D5" s="119" t="s">
        <v>156</v>
      </c>
      <c r="E5" s="119" t="s">
        <v>148</v>
      </c>
      <c r="F5" s="120" t="s">
        <v>149</v>
      </c>
      <c r="G5" s="119"/>
      <c r="H5" s="119"/>
      <c r="I5" s="119"/>
      <c r="J5" s="131" t="s">
        <v>150</v>
      </c>
      <c r="K5" s="114"/>
      <c r="L5" s="114"/>
    </row>
    <row r="6" ht="14.25">
      <c r="A6" s="112" t="s">
        <v>157</v>
      </c>
      <c r="B6" s="119">
        <v>10029705</v>
      </c>
      <c r="C6" s="119" t="s">
        <v>158</v>
      </c>
      <c r="D6" s="119" t="s">
        <v>147</v>
      </c>
      <c r="E6" s="119" t="s">
        <v>148</v>
      </c>
      <c r="F6" s="120" t="s">
        <v>149</v>
      </c>
      <c r="G6" s="119"/>
      <c r="H6" s="119"/>
      <c r="I6" s="119"/>
      <c r="J6" s="131" t="s">
        <v>150</v>
      </c>
      <c r="K6" s="114"/>
      <c r="L6" s="114"/>
    </row>
    <row r="7" ht="14.25">
      <c r="A7" s="112" t="s">
        <v>159</v>
      </c>
      <c r="B7" s="119">
        <v>10030566</v>
      </c>
      <c r="C7" s="119" t="s">
        <v>160</v>
      </c>
      <c r="D7" s="119" t="s">
        <v>161</v>
      </c>
      <c r="E7" s="119" t="s">
        <v>148</v>
      </c>
      <c r="F7" s="120" t="s">
        <v>149</v>
      </c>
      <c r="G7" s="119"/>
      <c r="H7" s="119"/>
      <c r="I7" s="119"/>
      <c r="J7" s="131" t="s">
        <v>150</v>
      </c>
      <c r="K7" s="114"/>
      <c r="L7" s="114"/>
    </row>
    <row r="8" ht="14.25">
      <c r="A8" s="112" t="s">
        <v>162</v>
      </c>
      <c r="B8" s="119">
        <v>10029714</v>
      </c>
      <c r="C8" s="119" t="s">
        <v>160</v>
      </c>
      <c r="D8" s="119" t="s">
        <v>163</v>
      </c>
      <c r="E8" s="119" t="s">
        <v>148</v>
      </c>
      <c r="F8" s="120" t="s">
        <v>149</v>
      </c>
      <c r="G8" s="119"/>
      <c r="H8" s="119"/>
      <c r="I8" s="119"/>
      <c r="J8" s="131" t="s">
        <v>150</v>
      </c>
      <c r="K8" s="114"/>
      <c r="L8" s="114"/>
    </row>
    <row r="9" ht="14.25">
      <c r="A9" s="112" t="s">
        <v>164</v>
      </c>
      <c r="B9" s="119">
        <v>10029713</v>
      </c>
      <c r="C9" s="119" t="s">
        <v>160</v>
      </c>
      <c r="D9" s="119" t="s">
        <v>165</v>
      </c>
      <c r="E9" s="119" t="s">
        <v>148</v>
      </c>
      <c r="F9" s="120" t="s">
        <v>149</v>
      </c>
      <c r="G9" s="119"/>
      <c r="H9" s="119"/>
      <c r="I9" s="119"/>
      <c r="J9" s="131" t="s">
        <v>150</v>
      </c>
      <c r="K9" s="114"/>
      <c r="L9" s="114"/>
    </row>
    <row r="10" ht="14.25">
      <c r="A10" s="112" t="s">
        <v>166</v>
      </c>
      <c r="B10" s="119">
        <v>10031468</v>
      </c>
      <c r="C10" s="119" t="s">
        <v>167</v>
      </c>
      <c r="D10" s="119" t="s">
        <v>168</v>
      </c>
      <c r="E10" s="119" t="s">
        <v>148</v>
      </c>
      <c r="F10" s="120" t="s">
        <v>149</v>
      </c>
      <c r="G10" s="119"/>
      <c r="H10" s="119"/>
      <c r="I10" s="119"/>
      <c r="J10" s="131"/>
      <c r="K10" s="114"/>
      <c r="L10" s="114"/>
    </row>
    <row r="11" ht="14.25">
      <c r="A11" s="112" t="s">
        <v>169</v>
      </c>
      <c r="B11" s="119">
        <v>10031469</v>
      </c>
      <c r="C11" s="119" t="s">
        <v>167</v>
      </c>
      <c r="D11" s="119" t="s">
        <v>170</v>
      </c>
      <c r="E11" s="119" t="s">
        <v>148</v>
      </c>
      <c r="F11" s="120" t="s">
        <v>149</v>
      </c>
      <c r="G11" s="119"/>
      <c r="H11" s="119"/>
      <c r="I11" s="119"/>
      <c r="J11" s="131"/>
      <c r="K11" s="114"/>
      <c r="L11" s="114"/>
    </row>
    <row r="12" ht="14.25">
      <c r="A12" s="112" t="s">
        <v>171</v>
      </c>
      <c r="B12" s="119">
        <v>10027275</v>
      </c>
      <c r="C12" s="119" t="s">
        <v>172</v>
      </c>
      <c r="D12" s="119" t="s">
        <v>147</v>
      </c>
      <c r="E12" s="119" t="s">
        <v>148</v>
      </c>
      <c r="F12" s="120" t="s">
        <v>149</v>
      </c>
      <c r="G12" s="119"/>
      <c r="H12" s="119"/>
      <c r="I12" s="119"/>
      <c r="J12" s="131"/>
      <c r="K12" s="114"/>
      <c r="L12" s="114"/>
    </row>
    <row r="13" ht="14.25">
      <c r="A13" s="112" t="s">
        <v>173</v>
      </c>
      <c r="B13" s="119">
        <v>10024251</v>
      </c>
      <c r="C13" s="119" t="s">
        <v>172</v>
      </c>
      <c r="D13" s="119" t="s">
        <v>174</v>
      </c>
      <c r="E13" s="119" t="s">
        <v>148</v>
      </c>
      <c r="F13" s="120" t="s">
        <v>149</v>
      </c>
      <c r="G13" s="119"/>
      <c r="H13" s="119"/>
      <c r="I13" s="119"/>
      <c r="J13" s="131"/>
      <c r="K13" s="114"/>
      <c r="L13" s="114"/>
    </row>
    <row r="14" ht="14.25">
      <c r="A14" s="112" t="s">
        <v>175</v>
      </c>
      <c r="B14" s="119">
        <v>10030661</v>
      </c>
      <c r="C14" s="119" t="s">
        <v>172</v>
      </c>
      <c r="D14" s="119" t="s">
        <v>152</v>
      </c>
      <c r="E14" s="119" t="s">
        <v>148</v>
      </c>
      <c r="F14" s="120" t="s">
        <v>149</v>
      </c>
      <c r="G14" s="119"/>
      <c r="H14" s="119"/>
      <c r="I14" s="119"/>
      <c r="J14" s="131"/>
      <c r="K14" s="114"/>
      <c r="L14" s="114"/>
    </row>
    <row r="15" ht="14.25">
      <c r="A15" s="112" t="s">
        <v>176</v>
      </c>
      <c r="B15" s="119">
        <v>10026879</v>
      </c>
      <c r="C15" s="119" t="s">
        <v>177</v>
      </c>
      <c r="D15" s="119" t="s">
        <v>178</v>
      </c>
      <c r="E15" s="119" t="s">
        <v>148</v>
      </c>
      <c r="F15" s="120" t="s">
        <v>149</v>
      </c>
      <c r="G15" s="119"/>
      <c r="H15" s="119"/>
      <c r="I15" s="119"/>
      <c r="J15" s="131"/>
      <c r="K15" s="114"/>
      <c r="L15" s="115" t="s">
        <v>179</v>
      </c>
    </row>
    <row r="16" ht="14.25">
      <c r="A16" s="111" t="s">
        <v>180</v>
      </c>
      <c r="B16" s="121">
        <v>10031088</v>
      </c>
      <c r="C16" s="119" t="s">
        <v>181</v>
      </c>
      <c r="D16" s="119" t="s">
        <v>182</v>
      </c>
      <c r="E16" s="119" t="s">
        <v>148</v>
      </c>
      <c r="F16" s="120" t="s">
        <v>149</v>
      </c>
      <c r="G16" s="119"/>
      <c r="H16" s="119"/>
      <c r="I16" s="119"/>
      <c r="J16" s="131"/>
      <c r="K16" s="114"/>
      <c r="L16" s="115" t="s">
        <v>183</v>
      </c>
    </row>
    <row r="17" ht="28.5">
      <c r="A17" s="110" t="s">
        <v>184</v>
      </c>
      <c r="B17" s="122">
        <v>10027340</v>
      </c>
      <c r="C17" s="123" t="s">
        <v>181</v>
      </c>
      <c r="D17" s="123" t="s">
        <v>185</v>
      </c>
      <c r="E17" s="123" t="s">
        <v>148</v>
      </c>
      <c r="F17" s="124" t="s">
        <v>149</v>
      </c>
      <c r="G17" s="119"/>
      <c r="H17" s="119"/>
      <c r="I17" s="119"/>
      <c r="J17" s="131"/>
      <c r="K17" s="114"/>
      <c r="L17" s="116" t="s">
        <v>186</v>
      </c>
    </row>
    <row r="18" ht="14.25">
      <c r="A18" s="110" t="s">
        <v>187</v>
      </c>
      <c r="B18" s="122">
        <v>10027271</v>
      </c>
      <c r="C18" s="123" t="s">
        <v>181</v>
      </c>
      <c r="D18" s="123" t="s">
        <v>188</v>
      </c>
      <c r="E18" s="123" t="s">
        <v>148</v>
      </c>
      <c r="F18" s="124" t="s">
        <v>149</v>
      </c>
      <c r="G18" s="119"/>
      <c r="H18" s="119"/>
      <c r="I18" s="119"/>
      <c r="J18" s="131"/>
      <c r="K18" s="114"/>
      <c r="L18" s="115" t="s">
        <v>189</v>
      </c>
    </row>
    <row r="19" ht="14.25">
      <c r="A19" s="110" t="s">
        <v>190</v>
      </c>
      <c r="B19" s="122">
        <v>10026709</v>
      </c>
      <c r="C19" s="123" t="s">
        <v>181</v>
      </c>
      <c r="D19" s="123" t="s">
        <v>191</v>
      </c>
      <c r="E19" s="123" t="s">
        <v>148</v>
      </c>
      <c r="F19" s="124" t="s">
        <v>149</v>
      </c>
      <c r="G19" s="119"/>
      <c r="H19" s="119"/>
      <c r="I19" s="119"/>
      <c r="J19" s="131"/>
      <c r="K19" s="114"/>
      <c r="L19" s="115" t="s">
        <v>192</v>
      </c>
    </row>
    <row r="20" ht="14.25">
      <c r="A20" s="110" t="s">
        <v>193</v>
      </c>
      <c r="B20" s="122">
        <v>10031385</v>
      </c>
      <c r="C20" s="123" t="s">
        <v>181</v>
      </c>
      <c r="D20" s="123" t="s">
        <v>194</v>
      </c>
      <c r="E20" s="123" t="s">
        <v>148</v>
      </c>
      <c r="F20" s="124" t="s">
        <v>149</v>
      </c>
      <c r="G20" s="119"/>
      <c r="H20" s="119"/>
      <c r="I20" s="119"/>
      <c r="J20" s="131"/>
      <c r="K20" s="114"/>
      <c r="L20" s="115" t="s">
        <v>195</v>
      </c>
    </row>
    <row r="21" ht="14.25">
      <c r="A21" s="109" t="s">
        <v>196</v>
      </c>
      <c r="B21" s="123">
        <v>10027269</v>
      </c>
      <c r="C21" s="123" t="s">
        <v>197</v>
      </c>
      <c r="D21" s="123" t="s">
        <v>198</v>
      </c>
      <c r="E21" s="123" t="s">
        <v>148</v>
      </c>
      <c r="F21" s="124" t="s">
        <v>149</v>
      </c>
      <c r="G21" s="119"/>
      <c r="H21" s="119"/>
      <c r="I21" s="119"/>
      <c r="J21" s="131" t="s">
        <v>199</v>
      </c>
      <c r="K21" s="114"/>
      <c r="L21" s="115" t="s">
        <v>200</v>
      </c>
    </row>
    <row r="22" ht="14.25">
      <c r="A22" s="109" t="s">
        <v>196</v>
      </c>
      <c r="B22" s="123" t="s">
        <v>201</v>
      </c>
      <c r="C22" s="123" t="s">
        <v>197</v>
      </c>
      <c r="D22" s="123" t="s">
        <v>198</v>
      </c>
      <c r="E22" s="123" t="s">
        <v>148</v>
      </c>
      <c r="F22" s="124" t="s">
        <v>202</v>
      </c>
      <c r="G22" s="119"/>
      <c r="H22" s="119"/>
      <c r="I22" s="119"/>
      <c r="J22" s="131" t="s">
        <v>203</v>
      </c>
      <c r="K22" s="114"/>
      <c r="L22" s="115" t="s">
        <v>204</v>
      </c>
    </row>
    <row r="23" ht="14.25">
      <c r="A23" s="109" t="s">
        <v>205</v>
      </c>
      <c r="B23" s="123">
        <v>10031384</v>
      </c>
      <c r="C23" s="123" t="s">
        <v>197</v>
      </c>
      <c r="D23" s="123" t="s">
        <v>206</v>
      </c>
      <c r="E23" s="123" t="s">
        <v>148</v>
      </c>
      <c r="F23" s="124" t="s">
        <v>149</v>
      </c>
      <c r="G23" s="119"/>
      <c r="H23" s="119"/>
      <c r="I23" s="119"/>
      <c r="J23" s="131" t="s">
        <v>207</v>
      </c>
      <c r="K23" s="114"/>
      <c r="L23" s="115" t="s">
        <v>208</v>
      </c>
    </row>
    <row r="24" ht="14.25">
      <c r="A24" s="109" t="s">
        <v>205</v>
      </c>
      <c r="B24" s="123" t="s">
        <v>201</v>
      </c>
      <c r="C24" s="123" t="s">
        <v>197</v>
      </c>
      <c r="D24" s="123" t="s">
        <v>206</v>
      </c>
      <c r="E24" s="123" t="s">
        <v>148</v>
      </c>
      <c r="F24" s="124" t="s">
        <v>202</v>
      </c>
      <c r="G24" s="119"/>
      <c r="H24" s="119"/>
      <c r="I24" s="119"/>
      <c r="J24" s="131" t="s">
        <v>209</v>
      </c>
      <c r="K24" s="114"/>
      <c r="L24" s="115" t="s">
        <v>210</v>
      </c>
    </row>
    <row r="25" ht="14.25">
      <c r="A25" s="109" t="s">
        <v>211</v>
      </c>
      <c r="B25" s="123">
        <v>10027273</v>
      </c>
      <c r="C25" s="123"/>
      <c r="D25" s="123" t="s">
        <v>212</v>
      </c>
      <c r="E25" s="123" t="s">
        <v>148</v>
      </c>
      <c r="F25" s="124" t="s">
        <v>149</v>
      </c>
      <c r="G25" s="119"/>
      <c r="H25" s="119"/>
      <c r="I25" s="119"/>
      <c r="J25" s="131" t="s">
        <v>213</v>
      </c>
      <c r="K25" s="114"/>
      <c r="L25" s="114"/>
    </row>
    <row r="26" ht="14.25">
      <c r="A26" s="109" t="s">
        <v>214</v>
      </c>
      <c r="B26" s="123"/>
      <c r="C26" s="123" t="s">
        <v>146</v>
      </c>
      <c r="D26" s="123" t="s">
        <v>174</v>
      </c>
      <c r="E26" s="123" t="s">
        <v>148</v>
      </c>
      <c r="F26" s="124" t="s">
        <v>149</v>
      </c>
      <c r="G26" s="119"/>
      <c r="H26" s="119"/>
      <c r="I26" s="119"/>
      <c r="J26" s="131"/>
      <c r="K26" s="114"/>
      <c r="L26" s="114"/>
    </row>
    <row r="27" ht="14.25">
      <c r="A27" s="109" t="s">
        <v>215</v>
      </c>
      <c r="B27" s="123">
        <v>10027420</v>
      </c>
      <c r="C27" s="123" t="s">
        <v>158</v>
      </c>
      <c r="D27" s="123" t="s">
        <v>216</v>
      </c>
      <c r="E27" s="123" t="s">
        <v>148</v>
      </c>
      <c r="F27" s="124" t="s">
        <v>149</v>
      </c>
      <c r="G27" s="119"/>
      <c r="H27" s="119"/>
      <c r="I27" s="119"/>
      <c r="J27" s="131"/>
      <c r="K27" s="114"/>
      <c r="L27" s="114"/>
    </row>
    <row r="28" ht="14.25">
      <c r="A28" s="109" t="s">
        <v>173</v>
      </c>
      <c r="B28" s="123">
        <v>10024251</v>
      </c>
      <c r="C28" s="123" t="s">
        <v>172</v>
      </c>
      <c r="D28" s="123" t="s">
        <v>174</v>
      </c>
      <c r="E28" s="123" t="s">
        <v>148</v>
      </c>
      <c r="F28" s="124" t="s">
        <v>149</v>
      </c>
      <c r="G28" s="119"/>
      <c r="H28" s="119"/>
      <c r="I28" s="119"/>
      <c r="J28" s="131"/>
      <c r="K28" s="114"/>
      <c r="L28" s="114"/>
    </row>
    <row r="29" ht="14.25">
      <c r="A29" s="112" t="s">
        <v>217</v>
      </c>
      <c r="B29" s="119"/>
      <c r="C29" s="119"/>
      <c r="D29" s="119" t="s">
        <v>218</v>
      </c>
      <c r="E29" s="123" t="s">
        <v>148</v>
      </c>
      <c r="F29" s="124" t="s">
        <v>149</v>
      </c>
      <c r="G29" s="119"/>
      <c r="H29" s="119"/>
      <c r="I29" s="119"/>
      <c r="J29" s="131"/>
      <c r="K29" s="114"/>
      <c r="L29" s="114"/>
    </row>
    <row r="30" ht="14.25">
      <c r="A30" s="112" t="s">
        <v>219</v>
      </c>
      <c r="B30" s="119"/>
      <c r="C30" s="119" t="s">
        <v>158</v>
      </c>
      <c r="D30" s="119" t="s">
        <v>216</v>
      </c>
      <c r="E30" s="123" t="s">
        <v>148</v>
      </c>
      <c r="F30" s="124" t="s">
        <v>149</v>
      </c>
      <c r="G30" s="119"/>
      <c r="H30" s="119"/>
      <c r="I30" s="119"/>
      <c r="J30" s="131"/>
      <c r="K30" s="114"/>
      <c r="L30" s="114"/>
    </row>
    <row r="31" ht="14.25">
      <c r="A31" s="108" t="s">
        <v>220</v>
      </c>
      <c r="B31" s="125"/>
      <c r="C31" s="119" t="s">
        <v>158</v>
      </c>
      <c r="D31" s="119" t="s">
        <v>221</v>
      </c>
      <c r="E31" s="123" t="s">
        <v>148</v>
      </c>
      <c r="F31" s="124" t="s">
        <v>149</v>
      </c>
      <c r="G31" s="119"/>
      <c r="H31" s="119"/>
      <c r="I31" s="119"/>
      <c r="J31" s="131"/>
      <c r="K31" s="114"/>
      <c r="L31" s="114"/>
    </row>
    <row r="32" ht="14.25">
      <c r="A32" s="112" t="s">
        <v>222</v>
      </c>
      <c r="B32" s="119"/>
      <c r="C32" s="119" t="s">
        <v>158</v>
      </c>
      <c r="D32" s="119" t="s">
        <v>223</v>
      </c>
      <c r="E32" s="123" t="s">
        <v>148</v>
      </c>
      <c r="F32" s="124" t="s">
        <v>149</v>
      </c>
      <c r="G32" s="119"/>
      <c r="H32" s="119"/>
      <c r="I32" s="119"/>
      <c r="J32" s="131"/>
      <c r="K32" s="114"/>
      <c r="L32" s="114"/>
    </row>
    <row r="33" ht="14.25">
      <c r="A33" s="112" t="s">
        <v>224</v>
      </c>
      <c r="B33" s="119"/>
      <c r="C33" s="119" t="s">
        <v>172</v>
      </c>
      <c r="D33" s="119" t="s">
        <v>225</v>
      </c>
      <c r="E33" s="123" t="s">
        <v>148</v>
      </c>
      <c r="F33" s="124" t="s">
        <v>149</v>
      </c>
      <c r="G33" s="119"/>
      <c r="H33" s="119"/>
      <c r="I33" s="119"/>
      <c r="J33" s="131"/>
    </row>
    <row r="34" ht="14.25">
      <c r="A34" s="112" t="s">
        <v>226</v>
      </c>
      <c r="B34" s="119"/>
      <c r="C34" s="119" t="s">
        <v>227</v>
      </c>
      <c r="D34" s="119" t="s">
        <v>228</v>
      </c>
      <c r="E34" s="123" t="s">
        <v>148</v>
      </c>
      <c r="F34" s="124" t="s">
        <v>149</v>
      </c>
      <c r="G34" s="119"/>
      <c r="H34" s="119"/>
      <c r="I34" s="119"/>
      <c r="J34" s="131"/>
    </row>
    <row r="35" ht="14.25">
      <c r="A35" s="112" t="s">
        <v>229</v>
      </c>
      <c r="B35" s="119"/>
      <c r="C35" s="119" t="s">
        <v>227</v>
      </c>
      <c r="D35" s="119" t="s">
        <v>230</v>
      </c>
      <c r="E35" s="123" t="s">
        <v>148</v>
      </c>
      <c r="F35" s="124" t="s">
        <v>149</v>
      </c>
      <c r="G35" s="119"/>
      <c r="H35" s="119"/>
      <c r="I35" s="119"/>
      <c r="J35" s="131"/>
    </row>
    <row r="36" ht="14.25">
      <c r="A36" s="112" t="s">
        <v>231</v>
      </c>
      <c r="B36" s="119"/>
      <c r="C36" s="119" t="s">
        <v>232</v>
      </c>
      <c r="D36" s="119" t="s">
        <v>233</v>
      </c>
      <c r="E36" s="123" t="s">
        <v>148</v>
      </c>
      <c r="F36" s="124" t="s">
        <v>149</v>
      </c>
      <c r="G36" s="119"/>
      <c r="H36" s="119"/>
      <c r="I36" s="119"/>
      <c r="J36" s="131"/>
    </row>
    <row r="37" ht="14.25">
      <c r="A37" s="107" t="s">
        <v>234</v>
      </c>
      <c r="B37" s="126"/>
      <c r="C37" s="126" t="s">
        <v>232</v>
      </c>
      <c r="D37" s="126" t="s">
        <v>235</v>
      </c>
      <c r="E37" s="127" t="s">
        <v>148</v>
      </c>
      <c r="F37" s="128" t="s">
        <v>149</v>
      </c>
      <c r="G37" s="126"/>
      <c r="H37" s="126"/>
      <c r="I37" s="126"/>
      <c r="J37" s="132"/>
    </row>
    <row r="38" ht="14.25">
      <c r="A38" s="112" t="s">
        <v>236</v>
      </c>
      <c r="B38" s="119"/>
      <c r="C38" s="119" t="s">
        <v>232</v>
      </c>
      <c r="D38" s="119" t="s">
        <v>235</v>
      </c>
      <c r="E38" s="123" t="s">
        <v>148</v>
      </c>
      <c r="F38" s="129" t="s">
        <v>149</v>
      </c>
      <c r="G38" s="119"/>
      <c r="H38" s="119"/>
      <c r="I38" s="119"/>
      <c r="J38" s="131"/>
    </row>
    <row r="39" ht="14.25">
      <c r="A39" s="112" t="s">
        <v>237</v>
      </c>
      <c r="B39" s="119"/>
      <c r="C39" s="119" t="s">
        <v>232</v>
      </c>
      <c r="D39" s="119" t="s">
        <v>238</v>
      </c>
      <c r="E39" s="123" t="s">
        <v>148</v>
      </c>
      <c r="F39" s="129" t="s">
        <v>149</v>
      </c>
      <c r="G39" s="119"/>
      <c r="H39" s="119"/>
      <c r="I39" s="119"/>
      <c r="J39" s="131"/>
    </row>
    <row r="40" ht="14.25">
      <c r="A40" s="112" t="s">
        <v>239</v>
      </c>
      <c r="B40" s="119"/>
      <c r="C40" s="119" t="s">
        <v>197</v>
      </c>
      <c r="D40" s="119" t="s">
        <v>240</v>
      </c>
      <c r="E40" s="123" t="s">
        <v>148</v>
      </c>
      <c r="F40" s="129" t="s">
        <v>149</v>
      </c>
      <c r="G40" s="119"/>
      <c r="H40" s="119"/>
      <c r="I40" s="119"/>
      <c r="J40" s="131"/>
    </row>
    <row r="41" ht="14.25">
      <c r="A41" s="112"/>
      <c r="B41" s="119"/>
      <c r="C41" s="119" t="s">
        <v>241</v>
      </c>
      <c r="D41" s="119" t="s">
        <v>241</v>
      </c>
      <c r="E41" s="123" t="s">
        <v>148</v>
      </c>
      <c r="F41" s="129" t="s">
        <v>149</v>
      </c>
      <c r="G41" s="119"/>
      <c r="H41" s="119"/>
      <c r="I41" s="119"/>
      <c r="J41" s="131"/>
    </row>
  </sheetData>
  <pageMargins left="0.7" right="0.7" top="0.75" bottom="0.75" header="0.3" footer="0.3"/>
  <headerFooter/>
  <drawing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13"/>
  <dimension ref="A1:B188"/>
  <sheetViews>
    <sheetView workbookViewId="0">
      <selection activeCell="G54" sqref="G54"/>
    </sheetView>
  </sheetViews>
  <sheetFormatPr defaultRowHeight="12.75"/>
  <cols>
    <col min="1" max="1" bestFit="1" width="25.73046875" customWidth="1"/>
    <col min="2" max="2" bestFit="1" width="10.265625" customWidth="1"/>
  </cols>
  <sheetData>
    <row r="1" ht="14.25">
      <c r="A1" s="135" t="s">
        <v>242</v>
      </c>
      <c r="B1" s="136" t="s">
        <v>243</v>
      </c>
    </row>
    <row r="2" ht="14.25">
      <c r="A2" s="133">
        <v>736347</v>
      </c>
      <c r="B2" s="134" t="s">
        <v>244</v>
      </c>
    </row>
    <row r="3" ht="14.25">
      <c r="A3" s="133">
        <v>736349</v>
      </c>
      <c r="B3" s="134" t="s">
        <v>245</v>
      </c>
    </row>
    <row r="4" ht="14.25">
      <c r="A4" s="133">
        <v>736350</v>
      </c>
      <c r="B4" s="134" t="s">
        <v>244</v>
      </c>
    </row>
    <row r="5" ht="14.25">
      <c r="A5" s="133">
        <v>736854</v>
      </c>
      <c r="B5" s="134" t="s">
        <v>244</v>
      </c>
    </row>
    <row r="6" ht="14.25">
      <c r="A6" s="133">
        <v>737190</v>
      </c>
      <c r="B6" s="134" t="s">
        <v>245</v>
      </c>
    </row>
    <row r="7" ht="14.25">
      <c r="A7" s="133">
        <v>738187</v>
      </c>
      <c r="B7" s="134" t="s">
        <v>245</v>
      </c>
    </row>
    <row r="8" ht="14.25">
      <c r="A8" s="133">
        <v>738446</v>
      </c>
      <c r="B8" s="134" t="s">
        <v>244</v>
      </c>
    </row>
    <row r="9" ht="14.25">
      <c r="A9" s="133">
        <v>738447</v>
      </c>
      <c r="B9" s="134" t="s">
        <v>245</v>
      </c>
    </row>
    <row r="10" ht="14.25">
      <c r="A10" s="133">
        <v>738448</v>
      </c>
      <c r="B10" s="134" t="s">
        <v>245</v>
      </c>
    </row>
    <row r="11" ht="14.25">
      <c r="A11" s="133">
        <v>738449</v>
      </c>
      <c r="B11" s="134" t="s">
        <v>244</v>
      </c>
    </row>
    <row r="12" ht="14.25">
      <c r="A12" s="133">
        <v>738454</v>
      </c>
      <c r="B12" s="134" t="s">
        <v>244</v>
      </c>
    </row>
    <row r="13" ht="14.25">
      <c r="A13" s="133">
        <v>739489</v>
      </c>
      <c r="B13" s="134" t="s">
        <v>245</v>
      </c>
    </row>
    <row r="14" ht="14.25">
      <c r="A14" s="133">
        <v>739620</v>
      </c>
      <c r="B14" s="134" t="s">
        <v>244</v>
      </c>
    </row>
    <row r="15" ht="14.25">
      <c r="A15" s="133">
        <v>739622</v>
      </c>
      <c r="B15" s="134" t="s">
        <v>244</v>
      </c>
    </row>
    <row r="16" ht="14.25">
      <c r="A16" s="133">
        <v>739623</v>
      </c>
      <c r="B16" s="134" t="s">
        <v>244</v>
      </c>
    </row>
    <row r="17" ht="14.25">
      <c r="A17" s="133">
        <v>739624</v>
      </c>
      <c r="B17" s="134" t="s">
        <v>244</v>
      </c>
    </row>
    <row r="18" ht="14.25">
      <c r="A18" s="133">
        <v>739630</v>
      </c>
      <c r="B18" s="134" t="s">
        <v>244</v>
      </c>
    </row>
    <row r="19" ht="14.25">
      <c r="A19" s="133">
        <v>739636</v>
      </c>
      <c r="B19" s="134" t="s">
        <v>244</v>
      </c>
    </row>
    <row r="20" ht="14.25">
      <c r="A20" s="133">
        <v>739637</v>
      </c>
      <c r="B20" s="134" t="s">
        <v>244</v>
      </c>
    </row>
    <row r="21" ht="14.25">
      <c r="A21" s="133">
        <v>739640</v>
      </c>
      <c r="B21" s="134" t="s">
        <v>244</v>
      </c>
    </row>
    <row r="22" ht="14.25">
      <c r="A22" s="133">
        <v>739649</v>
      </c>
      <c r="B22" s="134" t="s">
        <v>244</v>
      </c>
    </row>
    <row r="23" ht="14.25">
      <c r="A23" s="133">
        <v>739650</v>
      </c>
      <c r="B23" s="134" t="s">
        <v>244</v>
      </c>
    </row>
    <row r="24" ht="14.25">
      <c r="A24" s="133">
        <v>739685</v>
      </c>
      <c r="B24" s="134" t="s">
        <v>244</v>
      </c>
    </row>
    <row r="25" ht="14.25">
      <c r="A25" s="133">
        <v>739686</v>
      </c>
      <c r="B25" s="134" t="s">
        <v>244</v>
      </c>
    </row>
    <row r="26" ht="14.25">
      <c r="A26" s="133">
        <v>741785</v>
      </c>
      <c r="B26" s="134" t="s">
        <v>245</v>
      </c>
    </row>
    <row r="27" ht="14.25">
      <c r="A27" s="133">
        <v>741794</v>
      </c>
      <c r="B27" s="134" t="s">
        <v>244</v>
      </c>
    </row>
    <row r="28" ht="14.25">
      <c r="A28" s="133">
        <v>742047</v>
      </c>
      <c r="B28" s="134" t="s">
        <v>244</v>
      </c>
    </row>
    <row r="29" ht="14.25">
      <c r="A29" s="133">
        <v>742192</v>
      </c>
      <c r="B29" s="134" t="s">
        <v>245</v>
      </c>
    </row>
    <row r="30" ht="14.25">
      <c r="A30" s="133">
        <v>742210</v>
      </c>
      <c r="B30" s="134" t="s">
        <v>244</v>
      </c>
    </row>
    <row r="31" ht="14.25">
      <c r="A31" s="133">
        <v>742211</v>
      </c>
      <c r="B31" s="134" t="s">
        <v>244</v>
      </c>
    </row>
    <row r="32" ht="14.25">
      <c r="A32" s="133">
        <v>742215</v>
      </c>
      <c r="B32" s="134" t="s">
        <v>244</v>
      </c>
    </row>
    <row r="33" ht="14.25">
      <c r="A33" s="133">
        <v>742241</v>
      </c>
      <c r="B33" s="134" t="s">
        <v>244</v>
      </c>
    </row>
    <row r="34" ht="14.25">
      <c r="A34" s="133">
        <v>742265</v>
      </c>
      <c r="B34" s="134" t="s">
        <v>244</v>
      </c>
    </row>
    <row r="35" ht="14.25">
      <c r="A35" s="133">
        <v>742266</v>
      </c>
      <c r="B35" s="134" t="s">
        <v>244</v>
      </c>
    </row>
    <row r="36" ht="14.25">
      <c r="A36" s="133">
        <v>742270</v>
      </c>
      <c r="B36" s="134" t="s">
        <v>244</v>
      </c>
    </row>
    <row r="37" ht="14.25">
      <c r="A37" s="133">
        <v>742290</v>
      </c>
      <c r="B37" s="134" t="s">
        <v>244</v>
      </c>
    </row>
    <row r="38" ht="14.25">
      <c r="A38" s="133">
        <v>5863903</v>
      </c>
      <c r="B38" s="134" t="s">
        <v>244</v>
      </c>
    </row>
    <row r="39" ht="14.25">
      <c r="A39" s="133">
        <v>5961300</v>
      </c>
      <c r="B39" s="134" t="s">
        <v>244</v>
      </c>
    </row>
    <row r="40" ht="14.25">
      <c r="A40" s="133">
        <v>80010173</v>
      </c>
      <c r="B40" s="134" t="s">
        <v>244</v>
      </c>
    </row>
    <row r="41" ht="14.25">
      <c r="A41" s="133">
        <v>80010204</v>
      </c>
      <c r="B41" s="134" t="s">
        <v>244</v>
      </c>
    </row>
    <row r="42" ht="14.25">
      <c r="A42" s="133">
        <v>80010248</v>
      </c>
      <c r="B42" s="134" t="s">
        <v>244</v>
      </c>
    </row>
    <row r="43" ht="14.25">
      <c r="A43" s="133">
        <v>80010249</v>
      </c>
      <c r="B43" s="134" t="s">
        <v>245</v>
      </c>
    </row>
    <row r="44" ht="14.25">
      <c r="A44" s="133">
        <v>80010274</v>
      </c>
      <c r="B44" s="134" t="s">
        <v>245</v>
      </c>
    </row>
    <row r="45" ht="14.25">
      <c r="A45" s="133">
        <v>80010292</v>
      </c>
      <c r="B45" s="134" t="s">
        <v>244</v>
      </c>
    </row>
    <row r="46" ht="14.25">
      <c r="A46" s="133">
        <v>80010302</v>
      </c>
      <c r="B46" s="134" t="s">
        <v>244</v>
      </c>
    </row>
    <row r="47" ht="14.25">
      <c r="A47" s="133">
        <v>80010307</v>
      </c>
      <c r="B47" s="134" t="s">
        <v>244</v>
      </c>
    </row>
    <row r="48" ht="14.25">
      <c r="A48" s="133">
        <v>80010454</v>
      </c>
      <c r="B48" s="134" t="s">
        <v>244</v>
      </c>
    </row>
    <row r="49" ht="14.25">
      <c r="A49" s="133">
        <v>80010456</v>
      </c>
      <c r="B49" s="134" t="s">
        <v>244</v>
      </c>
    </row>
    <row r="50" ht="14.25">
      <c r="A50" s="133">
        <v>80010465</v>
      </c>
      <c r="B50" s="134" t="s">
        <v>245</v>
      </c>
    </row>
    <row r="51" ht="14.25">
      <c r="A51" s="133">
        <v>80010492</v>
      </c>
      <c r="B51" s="134" t="s">
        <v>244</v>
      </c>
    </row>
    <row r="52" ht="14.25">
      <c r="A52" s="133">
        <v>80010517</v>
      </c>
      <c r="B52" s="134" t="s">
        <v>244</v>
      </c>
    </row>
    <row r="53" ht="14.25">
      <c r="A53" s="133">
        <v>80010622</v>
      </c>
      <c r="B53" s="134" t="s">
        <v>245</v>
      </c>
    </row>
    <row r="54" ht="14.25">
      <c r="A54" s="133">
        <v>80010656</v>
      </c>
      <c r="B54" s="134" t="s">
        <v>245</v>
      </c>
    </row>
    <row r="55" ht="14.25">
      <c r="A55" s="133">
        <v>80010677</v>
      </c>
      <c r="B55" s="134" t="s">
        <v>245</v>
      </c>
    </row>
    <row r="56" ht="14.25">
      <c r="A56" s="133">
        <v>80010681</v>
      </c>
      <c r="B56" s="134" t="s">
        <v>245</v>
      </c>
    </row>
    <row r="57" ht="14.25">
      <c r="A57" s="133">
        <v>80010682</v>
      </c>
      <c r="B57" s="134" t="s">
        <v>245</v>
      </c>
    </row>
    <row r="58" ht="14.25">
      <c r="A58" s="133">
        <v>80010692</v>
      </c>
      <c r="B58" s="134" t="s">
        <v>245</v>
      </c>
    </row>
    <row r="59" ht="14.25">
      <c r="A59" s="133">
        <v>80010710</v>
      </c>
      <c r="B59" s="134" t="s">
        <v>245</v>
      </c>
    </row>
    <row r="60" ht="14.25">
      <c r="A60" s="133">
        <v>80010748</v>
      </c>
      <c r="B60" s="134" t="s">
        <v>245</v>
      </c>
    </row>
    <row r="61" ht="14.25">
      <c r="A61" s="133">
        <v>80010761</v>
      </c>
      <c r="B61" s="134" t="s">
        <v>245</v>
      </c>
    </row>
    <row r="62" ht="14.25">
      <c r="A62" s="133">
        <v>80010776</v>
      </c>
      <c r="B62" s="134" t="s">
        <v>245</v>
      </c>
    </row>
    <row r="63" ht="14.25">
      <c r="A63" s="133">
        <v>80010825</v>
      </c>
      <c r="B63" s="134" t="s">
        <v>244</v>
      </c>
    </row>
    <row r="64" ht="14.25">
      <c r="A64" s="133">
        <v>80010826</v>
      </c>
      <c r="B64" s="134" t="s">
        <v>244</v>
      </c>
    </row>
    <row r="65" ht="14.25">
      <c r="A65" s="133">
        <v>80010864</v>
      </c>
      <c r="B65" s="134" t="s">
        <v>245</v>
      </c>
    </row>
    <row r="66" ht="14.25">
      <c r="A66" s="133">
        <v>80010865</v>
      </c>
      <c r="B66" s="134" t="s">
        <v>245</v>
      </c>
    </row>
    <row r="67" ht="14.25">
      <c r="A67" s="133">
        <v>80010899</v>
      </c>
      <c r="B67" s="134" t="s">
        <v>245</v>
      </c>
    </row>
    <row r="68" ht="14.25">
      <c r="A68" s="133">
        <v>80010992</v>
      </c>
      <c r="B68" s="134" t="s">
        <v>245</v>
      </c>
    </row>
    <row r="69" ht="14.25">
      <c r="A69" s="133">
        <v>80020872</v>
      </c>
      <c r="B69" s="134" t="s">
        <v>245</v>
      </c>
    </row>
    <row r="70" ht="14.25">
      <c r="A70" s="133">
        <v>80020892</v>
      </c>
      <c r="B70" s="134" t="s">
        <v>245</v>
      </c>
    </row>
    <row r="71" ht="14.25">
      <c r="A71" s="133">
        <v>80020899</v>
      </c>
      <c r="B71" s="134" t="s">
        <v>245</v>
      </c>
    </row>
    <row r="72" ht="14.25">
      <c r="A72" s="133" t="s">
        <v>246</v>
      </c>
      <c r="B72" s="134" t="s">
        <v>245</v>
      </c>
    </row>
    <row r="73" ht="14.25">
      <c r="A73" s="133" t="s">
        <v>247</v>
      </c>
      <c r="B73" s="134" t="s">
        <v>245</v>
      </c>
    </row>
    <row r="74" ht="14.25">
      <c r="A74" s="133" t="s">
        <v>248</v>
      </c>
      <c r="B74" s="134" t="s">
        <v>245</v>
      </c>
    </row>
    <row r="75" ht="14.25">
      <c r="A75" s="133" t="s">
        <v>249</v>
      </c>
      <c r="B75" s="134" t="s">
        <v>245</v>
      </c>
    </row>
    <row r="76" ht="14.25">
      <c r="A76" s="133" t="s">
        <v>250</v>
      </c>
      <c r="B76" s="134" t="s">
        <v>244</v>
      </c>
    </row>
    <row r="77" ht="14.25">
      <c r="A77" s="133" t="s">
        <v>251</v>
      </c>
      <c r="B77" s="134" t="s">
        <v>244</v>
      </c>
    </row>
    <row r="78" ht="14.25">
      <c r="A78" s="133" t="s">
        <v>252</v>
      </c>
      <c r="B78" s="134" t="s">
        <v>244</v>
      </c>
    </row>
    <row r="79" ht="14.25">
      <c r="A79" s="133" t="s">
        <v>253</v>
      </c>
      <c r="B79" s="134" t="s">
        <v>244</v>
      </c>
    </row>
    <row r="80" ht="14.25">
      <c r="A80" s="133" t="s">
        <v>254</v>
      </c>
      <c r="B80" s="134" t="s">
        <v>244</v>
      </c>
    </row>
    <row r="81" ht="14.25">
      <c r="A81" s="133" t="s">
        <v>255</v>
      </c>
      <c r="B81" s="134" t="s">
        <v>244</v>
      </c>
    </row>
    <row r="82" ht="14.25">
      <c r="A82" s="133" t="s">
        <v>256</v>
      </c>
      <c r="B82" s="134" t="s">
        <v>244</v>
      </c>
    </row>
    <row r="83" ht="14.25">
      <c r="A83" s="133" t="s">
        <v>257</v>
      </c>
      <c r="B83" s="134" t="s">
        <v>244</v>
      </c>
    </row>
    <row r="84" ht="14.25">
      <c r="A84" s="133" t="s">
        <v>258</v>
      </c>
      <c r="B84" s="134" t="s">
        <v>244</v>
      </c>
    </row>
    <row r="85" ht="14.25">
      <c r="A85" s="133" t="s">
        <v>259</v>
      </c>
      <c r="B85" s="134" t="s">
        <v>244</v>
      </c>
    </row>
    <row r="86" ht="14.25">
      <c r="A86" s="133" t="s">
        <v>260</v>
      </c>
      <c r="B86" s="134" t="s">
        <v>244</v>
      </c>
    </row>
    <row r="87" ht="14.25">
      <c r="A87" s="133" t="s">
        <v>261</v>
      </c>
      <c r="B87" s="134" t="s">
        <v>244</v>
      </c>
    </row>
    <row r="88" ht="14.25">
      <c r="A88" s="133" t="s">
        <v>262</v>
      </c>
      <c r="B88" s="134" t="s">
        <v>244</v>
      </c>
    </row>
    <row r="89" ht="14.25">
      <c r="A89" s="133" t="s">
        <v>263</v>
      </c>
      <c r="B89" s="134" t="s">
        <v>244</v>
      </c>
    </row>
    <row r="90" ht="14.25">
      <c r="A90" s="133" t="s">
        <v>264</v>
      </c>
      <c r="B90" s="134" t="s">
        <v>244</v>
      </c>
    </row>
    <row r="91" ht="14.25">
      <c r="A91" s="133" t="s">
        <v>265</v>
      </c>
      <c r="B91" s="134" t="s">
        <v>244</v>
      </c>
    </row>
    <row r="92" ht="14.25">
      <c r="A92" s="133" t="s">
        <v>266</v>
      </c>
      <c r="B92" s="134" t="s">
        <v>244</v>
      </c>
    </row>
    <row r="93" ht="14.25">
      <c r="A93" s="133" t="s">
        <v>267</v>
      </c>
      <c r="B93" s="134" t="s">
        <v>244</v>
      </c>
    </row>
    <row r="94" ht="14.25">
      <c r="A94" s="133" t="s">
        <v>268</v>
      </c>
      <c r="B94" s="134" t="s">
        <v>245</v>
      </c>
    </row>
    <row r="95" ht="14.25">
      <c r="A95" s="133" t="s">
        <v>269</v>
      </c>
      <c r="B95" s="134" t="s">
        <v>245</v>
      </c>
    </row>
    <row r="96" ht="14.25">
      <c r="A96" s="133" t="s">
        <v>270</v>
      </c>
      <c r="B96" s="134" t="s">
        <v>245</v>
      </c>
    </row>
    <row r="97" ht="14.25">
      <c r="A97" s="133" t="s">
        <v>271</v>
      </c>
      <c r="B97" s="134" t="s">
        <v>245</v>
      </c>
    </row>
    <row r="98" ht="14.25">
      <c r="A98" s="133" t="s">
        <v>272</v>
      </c>
      <c r="B98" s="134" t="s">
        <v>245</v>
      </c>
    </row>
    <row r="99" ht="14.25">
      <c r="A99" s="133" t="s">
        <v>273</v>
      </c>
      <c r="B99" s="134" t="s">
        <v>245</v>
      </c>
    </row>
    <row r="100" ht="14.25">
      <c r="A100" s="133" t="s">
        <v>274</v>
      </c>
      <c r="B100" s="134" t="s">
        <v>245</v>
      </c>
    </row>
    <row r="101" ht="14.25">
      <c r="A101" s="133" t="s">
        <v>178</v>
      </c>
      <c r="B101" s="134" t="s">
        <v>245</v>
      </c>
    </row>
    <row r="102" ht="14.25">
      <c r="A102" s="133" t="s">
        <v>275</v>
      </c>
      <c r="B102" s="134" t="s">
        <v>245</v>
      </c>
    </row>
    <row r="103" ht="14.25">
      <c r="A103" s="133" t="s">
        <v>276</v>
      </c>
      <c r="B103" s="134" t="s">
        <v>245</v>
      </c>
    </row>
    <row r="104" ht="14.25">
      <c r="A104" s="139" t="s">
        <v>277</v>
      </c>
      <c r="B104" s="140" t="s">
        <v>245</v>
      </c>
    </row>
    <row r="105" ht="14.25">
      <c r="A105" s="133" t="s">
        <v>278</v>
      </c>
      <c r="B105" s="134" t="s">
        <v>244</v>
      </c>
    </row>
    <row r="106" ht="14.25">
      <c r="A106" s="133" t="s">
        <v>279</v>
      </c>
      <c r="B106" s="134" t="s">
        <v>245</v>
      </c>
    </row>
    <row r="107" ht="14.25">
      <c r="A107" s="133" t="s">
        <v>280</v>
      </c>
      <c r="B107" s="134" t="s">
        <v>245</v>
      </c>
    </row>
    <row r="108" ht="14.25">
      <c r="A108" s="133" t="s">
        <v>281</v>
      </c>
      <c r="B108" s="134" t="s">
        <v>245</v>
      </c>
    </row>
    <row r="109" ht="14.25">
      <c r="A109" s="133" t="s">
        <v>282</v>
      </c>
      <c r="B109" s="134" t="s">
        <v>245</v>
      </c>
    </row>
    <row r="110" ht="14.25">
      <c r="A110" s="133" t="s">
        <v>283</v>
      </c>
      <c r="B110" s="134" t="s">
        <v>245</v>
      </c>
    </row>
    <row r="111" ht="14.25">
      <c r="A111" s="133" t="s">
        <v>284</v>
      </c>
      <c r="B111" s="134" t="s">
        <v>245</v>
      </c>
    </row>
    <row r="112" ht="14.25">
      <c r="A112" s="133" t="s">
        <v>285</v>
      </c>
      <c r="B112" s="134" t="s">
        <v>245</v>
      </c>
    </row>
    <row r="113" ht="14.25">
      <c r="A113" s="133" t="s">
        <v>286</v>
      </c>
      <c r="B113" s="134" t="s">
        <v>245</v>
      </c>
    </row>
    <row r="114" ht="14.25">
      <c r="A114" s="133" t="s">
        <v>287</v>
      </c>
      <c r="B114" s="134" t="s">
        <v>245</v>
      </c>
    </row>
    <row r="115" ht="14.25">
      <c r="A115" s="133" t="s">
        <v>288</v>
      </c>
      <c r="B115" s="134" t="s">
        <v>245</v>
      </c>
    </row>
    <row r="116" ht="14.25">
      <c r="A116" s="133" t="s">
        <v>289</v>
      </c>
      <c r="B116" s="134" t="s">
        <v>245</v>
      </c>
    </row>
    <row r="117" ht="14.25">
      <c r="A117" s="133" t="s">
        <v>7</v>
      </c>
      <c r="B117" s="134" t="s">
        <v>245</v>
      </c>
    </row>
    <row r="118" ht="14.25">
      <c r="A118" s="133" t="s">
        <v>290</v>
      </c>
      <c r="B118" s="134" t="s">
        <v>245</v>
      </c>
    </row>
    <row r="119" ht="14.25">
      <c r="A119" s="133" t="s">
        <v>291</v>
      </c>
      <c r="B119" s="134" t="s">
        <v>245</v>
      </c>
    </row>
    <row r="120" ht="14.25">
      <c r="A120" s="133" t="s">
        <v>292</v>
      </c>
      <c r="B120" s="134" t="s">
        <v>245</v>
      </c>
    </row>
    <row r="121" ht="14.25">
      <c r="A121" s="133" t="s">
        <v>293</v>
      </c>
      <c r="B121" s="134" t="s">
        <v>245</v>
      </c>
    </row>
    <row r="122" ht="14.25">
      <c r="A122" s="133" t="s">
        <v>294</v>
      </c>
      <c r="B122" s="134" t="s">
        <v>245</v>
      </c>
    </row>
    <row r="123" ht="14.25">
      <c r="A123" s="133" t="s">
        <v>295</v>
      </c>
      <c r="B123" s="134" t="s">
        <v>245</v>
      </c>
    </row>
    <row r="124" ht="14.25">
      <c r="A124" s="133" t="s">
        <v>296</v>
      </c>
      <c r="B124" s="134" t="s">
        <v>245</v>
      </c>
    </row>
    <row r="125" ht="14.25">
      <c r="A125" s="133" t="s">
        <v>297</v>
      </c>
      <c r="B125" s="134" t="s">
        <v>245</v>
      </c>
    </row>
    <row r="126" ht="14.25">
      <c r="A126" s="133" t="s">
        <v>298</v>
      </c>
      <c r="B126" s="134" t="s">
        <v>245</v>
      </c>
    </row>
    <row r="127" ht="14.25">
      <c r="A127" s="133" t="s">
        <v>299</v>
      </c>
      <c r="B127" s="134" t="s">
        <v>245</v>
      </c>
    </row>
    <row r="128" ht="14.25">
      <c r="A128" s="133" t="s">
        <v>300</v>
      </c>
      <c r="B128" s="134" t="s">
        <v>245</v>
      </c>
    </row>
    <row r="129" ht="14.25">
      <c r="A129" s="133" t="s">
        <v>301</v>
      </c>
      <c r="B129" s="134" t="s">
        <v>244</v>
      </c>
    </row>
    <row r="130" ht="14.25">
      <c r="A130" s="133" t="s">
        <v>302</v>
      </c>
      <c r="B130" s="134" t="s">
        <v>245</v>
      </c>
    </row>
    <row r="131" ht="14.25">
      <c r="A131" s="133" t="s">
        <v>303</v>
      </c>
      <c r="B131" s="134" t="s">
        <v>245</v>
      </c>
    </row>
    <row r="132" ht="14.25">
      <c r="A132" s="133" t="s">
        <v>304</v>
      </c>
      <c r="B132" s="134" t="s">
        <v>245</v>
      </c>
    </row>
    <row r="133" ht="14.25">
      <c r="A133" s="133" t="s">
        <v>305</v>
      </c>
      <c r="B133" s="134" t="s">
        <v>245</v>
      </c>
    </row>
    <row r="134" ht="14.25">
      <c r="A134" s="133" t="s">
        <v>306</v>
      </c>
      <c r="B134" s="134" t="s">
        <v>245</v>
      </c>
    </row>
    <row r="135" ht="14.25">
      <c r="A135" s="133" t="s">
        <v>307</v>
      </c>
      <c r="B135" s="134" t="s">
        <v>245</v>
      </c>
    </row>
    <row r="136" ht="14.25">
      <c r="A136" s="133" t="s">
        <v>308</v>
      </c>
      <c r="B136" s="134" t="s">
        <v>245</v>
      </c>
    </row>
    <row r="137" ht="14.25">
      <c r="A137" s="133" t="s">
        <v>309</v>
      </c>
      <c r="B137" s="134" t="s">
        <v>244</v>
      </c>
    </row>
    <row r="138" ht="14.25">
      <c r="A138" s="133" t="s">
        <v>310</v>
      </c>
      <c r="B138" s="134" t="s">
        <v>244</v>
      </c>
    </row>
    <row r="139" ht="14.25">
      <c r="A139" s="133" t="s">
        <v>311</v>
      </c>
      <c r="B139" s="134" t="s">
        <v>244</v>
      </c>
    </row>
    <row r="140" ht="14.25">
      <c r="A140" s="133" t="s">
        <v>312</v>
      </c>
      <c r="B140" s="134" t="s">
        <v>244</v>
      </c>
    </row>
    <row r="141" ht="14.25">
      <c r="A141" s="133" t="s">
        <v>313</v>
      </c>
      <c r="B141" s="134" t="s">
        <v>245</v>
      </c>
    </row>
    <row r="142" ht="14.25">
      <c r="A142" s="133" t="s">
        <v>314</v>
      </c>
      <c r="B142" s="134" t="s">
        <v>245</v>
      </c>
    </row>
    <row r="143" ht="14.25">
      <c r="A143" s="133" t="s">
        <v>315</v>
      </c>
      <c r="B143" s="134" t="s">
        <v>244</v>
      </c>
    </row>
    <row r="144" ht="14.25">
      <c r="A144" s="133" t="s">
        <v>316</v>
      </c>
      <c r="B144" s="134" t="s">
        <v>244</v>
      </c>
    </row>
    <row r="145" ht="14.25">
      <c r="A145" s="133" t="s">
        <v>317</v>
      </c>
      <c r="B145" s="134" t="s">
        <v>244</v>
      </c>
    </row>
    <row r="146" ht="14.25">
      <c r="A146" s="133" t="s">
        <v>318</v>
      </c>
      <c r="B146" s="134" t="s">
        <v>244</v>
      </c>
    </row>
    <row r="147" ht="14.25">
      <c r="A147" s="133" t="s">
        <v>319</v>
      </c>
      <c r="B147" s="134" t="s">
        <v>244</v>
      </c>
    </row>
    <row r="148" ht="14.25">
      <c r="A148" s="133" t="s">
        <v>320</v>
      </c>
      <c r="B148" s="134" t="s">
        <v>245</v>
      </c>
    </row>
    <row r="149" ht="14.25">
      <c r="A149" s="133" t="s">
        <v>321</v>
      </c>
      <c r="B149" s="134" t="s">
        <v>245</v>
      </c>
    </row>
    <row r="150" ht="14.25">
      <c r="A150" s="133" t="s">
        <v>322</v>
      </c>
      <c r="B150" s="134" t="s">
        <v>245</v>
      </c>
    </row>
    <row r="151" ht="14.25">
      <c r="A151" s="133" t="s">
        <v>323</v>
      </c>
      <c r="B151" s="134" t="s">
        <v>244</v>
      </c>
    </row>
    <row r="152" ht="14.25">
      <c r="A152" s="133" t="s">
        <v>324</v>
      </c>
      <c r="B152" s="134" t="s">
        <v>244</v>
      </c>
    </row>
    <row r="153" ht="14.25">
      <c r="A153" s="133" t="s">
        <v>325</v>
      </c>
      <c r="B153" s="134" t="s">
        <v>245</v>
      </c>
    </row>
    <row r="154" ht="14.25">
      <c r="A154" s="133" t="s">
        <v>326</v>
      </c>
      <c r="B154" s="134" t="s">
        <v>245</v>
      </c>
    </row>
    <row r="155" ht="14.25">
      <c r="A155" s="133" t="s">
        <v>327</v>
      </c>
      <c r="B155" s="134" t="s">
        <v>245</v>
      </c>
    </row>
    <row r="156" ht="14.25">
      <c r="A156" s="133" t="s">
        <v>328</v>
      </c>
      <c r="B156" s="134" t="s">
        <v>245</v>
      </c>
    </row>
    <row r="157" ht="14.25">
      <c r="A157" s="133" t="s">
        <v>329</v>
      </c>
      <c r="B157" s="134" t="s">
        <v>244</v>
      </c>
    </row>
    <row r="158" ht="14.25">
      <c r="A158" s="133" t="s">
        <v>330</v>
      </c>
      <c r="B158" s="134" t="s">
        <v>245</v>
      </c>
    </row>
    <row r="159" ht="14.25">
      <c r="A159" s="133" t="s">
        <v>331</v>
      </c>
      <c r="B159" s="134" t="s">
        <v>245</v>
      </c>
    </row>
    <row r="160" ht="14.25">
      <c r="A160" s="133" t="s">
        <v>332</v>
      </c>
      <c r="B160" s="134" t="s">
        <v>244</v>
      </c>
    </row>
    <row r="161" ht="14.25">
      <c r="A161" s="133" t="s">
        <v>333</v>
      </c>
      <c r="B161" s="134" t="s">
        <v>244</v>
      </c>
    </row>
    <row r="162" ht="14.25">
      <c r="A162" s="133" t="s">
        <v>334</v>
      </c>
      <c r="B162" s="134" t="s">
        <v>244</v>
      </c>
    </row>
    <row r="163" ht="14.25">
      <c r="A163" s="133" t="s">
        <v>335</v>
      </c>
      <c r="B163" s="134" t="s">
        <v>244</v>
      </c>
    </row>
    <row r="164" ht="14.25">
      <c r="A164" s="133" t="s">
        <v>336</v>
      </c>
      <c r="B164" s="134" t="s">
        <v>244</v>
      </c>
    </row>
    <row r="165" ht="14.25">
      <c r="A165" s="133" t="s">
        <v>337</v>
      </c>
      <c r="B165" s="134" t="s">
        <v>244</v>
      </c>
    </row>
    <row r="166" ht="14.25">
      <c r="A166" s="133" t="s">
        <v>338</v>
      </c>
      <c r="B166" s="134" t="s">
        <v>245</v>
      </c>
    </row>
    <row r="167" ht="14.25">
      <c r="A167" s="133" t="s">
        <v>339</v>
      </c>
      <c r="B167" s="134" t="s">
        <v>245</v>
      </c>
    </row>
    <row r="168" ht="14.25">
      <c r="A168" s="133" t="s">
        <v>340</v>
      </c>
      <c r="B168" s="134" t="s">
        <v>245</v>
      </c>
    </row>
    <row r="169" ht="14.25">
      <c r="A169" s="133" t="s">
        <v>341</v>
      </c>
      <c r="B169" s="134" t="s">
        <v>244</v>
      </c>
    </row>
    <row r="170" ht="14.25">
      <c r="A170" s="133" t="s">
        <v>342</v>
      </c>
      <c r="B170" s="134" t="s">
        <v>244</v>
      </c>
    </row>
    <row r="171" ht="14.25">
      <c r="A171" s="133" t="s">
        <v>343</v>
      </c>
      <c r="B171" s="134" t="s">
        <v>244</v>
      </c>
    </row>
    <row r="172" ht="14.25">
      <c r="A172" s="133" t="s">
        <v>344</v>
      </c>
      <c r="B172" s="134" t="s">
        <v>244</v>
      </c>
    </row>
    <row r="173" ht="14.25">
      <c r="A173" s="133" t="s">
        <v>345</v>
      </c>
      <c r="B173" s="134" t="s">
        <v>245</v>
      </c>
    </row>
    <row r="174" ht="14.25">
      <c r="A174" s="133" t="s">
        <v>346</v>
      </c>
      <c r="B174" s="134" t="s">
        <v>245</v>
      </c>
    </row>
    <row r="175" ht="14.25">
      <c r="A175" s="133" t="s">
        <v>347</v>
      </c>
      <c r="B175" s="134" t="s">
        <v>245</v>
      </c>
    </row>
    <row r="176" ht="14.25">
      <c r="A176" s="133" t="s">
        <v>348</v>
      </c>
      <c r="B176" s="134" t="s">
        <v>245</v>
      </c>
    </row>
    <row r="177" ht="14.25">
      <c r="A177" s="133" t="s">
        <v>349</v>
      </c>
      <c r="B177" s="134" t="s">
        <v>245</v>
      </c>
    </row>
    <row r="178" ht="14.25">
      <c r="A178" s="133" t="s">
        <v>350</v>
      </c>
      <c r="B178" s="134" t="s">
        <v>245</v>
      </c>
    </row>
    <row r="179" ht="14.25">
      <c r="A179" s="133" t="s">
        <v>351</v>
      </c>
      <c r="B179" s="134" t="s">
        <v>245</v>
      </c>
    </row>
    <row r="180" ht="14.25">
      <c r="A180" s="133" t="s">
        <v>352</v>
      </c>
      <c r="B180" s="134" t="s">
        <v>244</v>
      </c>
    </row>
    <row r="181" ht="14.25">
      <c r="A181" s="133" t="s">
        <v>353</v>
      </c>
      <c r="B181" s="134" t="s">
        <v>244</v>
      </c>
    </row>
    <row r="182" ht="14.25">
      <c r="A182" s="133" t="s">
        <v>354</v>
      </c>
      <c r="B182" s="134" t="s">
        <v>244</v>
      </c>
    </row>
    <row r="183" ht="14.25">
      <c r="A183" s="133" t="s">
        <v>355</v>
      </c>
      <c r="B183" s="134" t="s">
        <v>244</v>
      </c>
    </row>
    <row r="184" ht="14.25">
      <c r="A184" s="133" t="s">
        <v>356</v>
      </c>
      <c r="B184" s="134" t="s">
        <v>245</v>
      </c>
    </row>
    <row r="185" ht="14.25">
      <c r="A185" s="133" t="s">
        <v>357</v>
      </c>
      <c r="B185" s="134" t="s">
        <v>244</v>
      </c>
    </row>
    <row r="186" ht="14.25">
      <c r="A186" s="133" t="s">
        <v>358</v>
      </c>
      <c r="B186" s="134" t="s">
        <v>245</v>
      </c>
    </row>
    <row r="187" ht="14.25">
      <c r="A187" s="133" t="s">
        <v>359</v>
      </c>
      <c r="B187" s="134" t="s">
        <v>245</v>
      </c>
    </row>
    <row r="188" ht="14.25">
      <c r="A188" s="137" t="s">
        <v>360</v>
      </c>
      <c r="B188" s="138" t="s">
        <v>244</v>
      </c>
    </row>
  </sheetData>
  <pageMargins left="0.7" right="0.7" top="0.75" bottom="0.75" header="0.3" footer="0.3"/>
  <headerFooter/>
  <tableParts count="1">
    <tablePart r:id="rId1"/>
  </tableParts>
</worksheet>
</file>

<file path=xl/worksheets/sheet31.xml><?xml version="1.0" encoding="utf-8"?>
<worksheet xmlns:r="http://schemas.openxmlformats.org/officeDocument/2006/relationships" xmlns="http://schemas.openxmlformats.org/spreadsheetml/2006/main" xmlns:xr="http://schemas.microsoft.com/office/spreadsheetml/2014/revision" xmlns:mc="http://schemas.openxmlformats.org/markup-compatibility/2006" mc:Ignorable="xr">
  <sheetPr codeName="Antennas"/>
  <dimension ref="A1:J269"/>
  <sheetViews>
    <sheetView workbookViewId="0"/>
  </sheetViews>
  <sheetFormatPr defaultRowHeight="15"/>
  <sheetData>
    <row r="1">
      <c r="A1" s="0" t="s">
        <v>246</v>
      </c>
      <c r="B1" s="0" t="s">
        <v>361</v>
      </c>
      <c r="C1" s="0" t="s">
        <v>361</v>
      </c>
    </row>
    <row r="2">
      <c r="A2" s="0" t="s">
        <v>247</v>
      </c>
      <c r="B2" s="0" t="s">
        <v>362</v>
      </c>
      <c r="C2" s="0" t="s">
        <v>362</v>
      </c>
    </row>
    <row r="3">
      <c r="A3" s="0" t="s">
        <v>363</v>
      </c>
      <c r="B3" s="0" t="s">
        <v>33</v>
      </c>
    </row>
    <row r="4">
      <c r="A4" s="0" t="s">
        <v>364</v>
      </c>
      <c r="B4" s="0" t="s">
        <v>365</v>
      </c>
      <c r="C4" s="0" t="s">
        <v>366</v>
      </c>
    </row>
    <row r="5">
      <c r="A5" s="0" t="s">
        <v>367</v>
      </c>
      <c r="B5" s="0" t="s">
        <v>365</v>
      </c>
      <c r="C5" s="0" t="s">
        <v>366</v>
      </c>
      <c r="D5" s="0" t="s">
        <v>366</v>
      </c>
    </row>
    <row r="6">
      <c r="A6" s="0" t="s">
        <v>368</v>
      </c>
      <c r="B6" s="0" t="s">
        <v>33</v>
      </c>
      <c r="C6" s="0" t="s">
        <v>369</v>
      </c>
      <c r="D6" s="0" t="s">
        <v>33</v>
      </c>
      <c r="E6" s="0" t="s">
        <v>369</v>
      </c>
    </row>
    <row r="7">
      <c r="A7" s="0" t="s">
        <v>370</v>
      </c>
      <c r="B7" s="0" t="s">
        <v>369</v>
      </c>
      <c r="C7" s="0" t="s">
        <v>369</v>
      </c>
      <c r="D7" s="0" t="s">
        <v>371</v>
      </c>
      <c r="E7" s="0" t="s">
        <v>371</v>
      </c>
    </row>
    <row r="8">
      <c r="A8" s="0" t="s">
        <v>372</v>
      </c>
      <c r="B8" s="0" t="s">
        <v>33</v>
      </c>
      <c r="C8" s="0" t="s">
        <v>369</v>
      </c>
      <c r="D8" s="0" t="s">
        <v>33</v>
      </c>
      <c r="E8" s="0" t="s">
        <v>33</v>
      </c>
      <c r="F8" s="0" t="s">
        <v>369</v>
      </c>
    </row>
    <row r="9">
      <c r="A9" s="0" t="s">
        <v>373</v>
      </c>
      <c r="B9" s="0" t="s">
        <v>33</v>
      </c>
      <c r="C9" s="0" t="s">
        <v>374</v>
      </c>
      <c r="D9" s="0" t="s">
        <v>369</v>
      </c>
      <c r="E9" s="0" t="s">
        <v>33</v>
      </c>
      <c r="F9" s="0" t="s">
        <v>33</v>
      </c>
      <c r="G9" s="0" t="s">
        <v>369</v>
      </c>
    </row>
    <row r="10">
      <c r="A10" s="0" t="s">
        <v>248</v>
      </c>
      <c r="B10" s="0" t="s">
        <v>375</v>
      </c>
      <c r="C10" s="0" t="s">
        <v>375</v>
      </c>
      <c r="D10" s="0" t="s">
        <v>375</v>
      </c>
      <c r="E10" s="0" t="s">
        <v>375</v>
      </c>
      <c r="F10" s="0" t="s">
        <v>375</v>
      </c>
    </row>
    <row r="11">
      <c r="A11" s="0" t="s">
        <v>376</v>
      </c>
      <c r="B11" s="0" t="s">
        <v>377</v>
      </c>
      <c r="C11" s="0" t="s">
        <v>377</v>
      </c>
      <c r="D11" s="0" t="s">
        <v>377</v>
      </c>
      <c r="E11" s="0" t="s">
        <v>377</v>
      </c>
      <c r="F11" s="0" t="s">
        <v>377</v>
      </c>
    </row>
    <row r="12">
      <c r="A12" s="0" t="s">
        <v>378</v>
      </c>
      <c r="B12" s="0" t="s">
        <v>361</v>
      </c>
    </row>
    <row r="13">
      <c r="A13" s="0" t="s">
        <v>379</v>
      </c>
      <c r="B13" s="0" t="s">
        <v>380</v>
      </c>
    </row>
    <row r="14">
      <c r="A14" s="0" t="s">
        <v>381</v>
      </c>
      <c r="B14" s="0" t="s">
        <v>380</v>
      </c>
    </row>
    <row r="15">
      <c r="A15" s="0" t="s">
        <v>382</v>
      </c>
      <c r="B15" s="0" t="s">
        <v>380</v>
      </c>
    </row>
    <row r="16">
      <c r="A16" s="0" t="s">
        <v>383</v>
      </c>
      <c r="B16" s="0" t="s">
        <v>384</v>
      </c>
    </row>
    <row r="17">
      <c r="A17" s="0" t="s">
        <v>385</v>
      </c>
      <c r="B17" s="0" t="s">
        <v>386</v>
      </c>
    </row>
    <row r="18">
      <c r="A18" s="0" t="s">
        <v>387</v>
      </c>
      <c r="B18" s="0" t="s">
        <v>386</v>
      </c>
    </row>
    <row r="19">
      <c r="A19" s="0" t="s">
        <v>388</v>
      </c>
      <c r="B19" s="0" t="s">
        <v>389</v>
      </c>
    </row>
    <row r="20">
      <c r="A20" s="0" t="s">
        <v>390</v>
      </c>
      <c r="B20" s="0" t="s">
        <v>391</v>
      </c>
    </row>
    <row r="21">
      <c r="A21" s="0" t="s">
        <v>392</v>
      </c>
      <c r="B21" s="0" t="s">
        <v>393</v>
      </c>
    </row>
    <row r="22">
      <c r="A22" s="0" t="s">
        <v>394</v>
      </c>
      <c r="B22" s="0" t="s">
        <v>395</v>
      </c>
    </row>
    <row r="23">
      <c r="A23" s="0" t="s">
        <v>396</v>
      </c>
      <c r="B23" s="0" t="s">
        <v>397</v>
      </c>
    </row>
    <row r="24">
      <c r="A24" s="0" t="s">
        <v>398</v>
      </c>
      <c r="B24" s="0" t="s">
        <v>399</v>
      </c>
    </row>
    <row r="25">
      <c r="A25" s="0" t="s">
        <v>400</v>
      </c>
      <c r="B25" s="0" t="s">
        <v>366</v>
      </c>
    </row>
    <row r="26">
      <c r="A26" s="0" t="s">
        <v>401</v>
      </c>
      <c r="B26" s="0" t="s">
        <v>402</v>
      </c>
    </row>
    <row r="27">
      <c r="A27" s="0" t="s">
        <v>403</v>
      </c>
      <c r="B27" s="0" t="s">
        <v>404</v>
      </c>
    </row>
    <row r="28">
      <c r="A28" s="0" t="s">
        <v>405</v>
      </c>
      <c r="B28" s="0" t="s">
        <v>406</v>
      </c>
    </row>
    <row r="29">
      <c r="A29" s="0" t="s">
        <v>407</v>
      </c>
      <c r="B29" s="0" t="s">
        <v>406</v>
      </c>
    </row>
    <row r="30">
      <c r="A30" s="0" t="s">
        <v>408</v>
      </c>
      <c r="B30" s="0" t="s">
        <v>406</v>
      </c>
    </row>
    <row r="31">
      <c r="A31" s="0" t="s">
        <v>409</v>
      </c>
      <c r="B31" s="0" t="s">
        <v>406</v>
      </c>
    </row>
    <row r="32">
      <c r="A32" s="0" t="s">
        <v>410</v>
      </c>
      <c r="B32" s="0" t="s">
        <v>380</v>
      </c>
    </row>
    <row r="33">
      <c r="A33" s="0" t="s">
        <v>411</v>
      </c>
      <c r="B33" s="0" t="s">
        <v>406</v>
      </c>
    </row>
    <row r="34">
      <c r="A34" s="0" t="s">
        <v>412</v>
      </c>
      <c r="B34" s="0" t="s">
        <v>406</v>
      </c>
    </row>
    <row r="35">
      <c r="A35" s="0" t="s">
        <v>413</v>
      </c>
      <c r="B35" s="0" t="s">
        <v>406</v>
      </c>
    </row>
    <row r="36">
      <c r="A36" s="0" t="s">
        <v>414</v>
      </c>
      <c r="B36" s="0" t="s">
        <v>415</v>
      </c>
    </row>
    <row r="37">
      <c r="A37" s="0" t="s">
        <v>416</v>
      </c>
      <c r="B37" s="0" t="s">
        <v>406</v>
      </c>
    </row>
    <row r="38">
      <c r="A38" s="0" t="s">
        <v>417</v>
      </c>
      <c r="B38" s="0" t="s">
        <v>406</v>
      </c>
    </row>
    <row r="39">
      <c r="A39" s="0" t="s">
        <v>418</v>
      </c>
      <c r="B39" s="0" t="s">
        <v>406</v>
      </c>
    </row>
    <row r="40">
      <c r="A40" s="0" t="s">
        <v>419</v>
      </c>
      <c r="B40" s="0" t="s">
        <v>406</v>
      </c>
    </row>
    <row r="41">
      <c r="A41" s="0" t="s">
        <v>420</v>
      </c>
      <c r="B41" s="0" t="s">
        <v>406</v>
      </c>
    </row>
    <row r="42">
      <c r="A42" s="0" t="s">
        <v>421</v>
      </c>
      <c r="B42" s="0" t="s">
        <v>402</v>
      </c>
    </row>
    <row r="43">
      <c r="A43" s="0" t="s">
        <v>422</v>
      </c>
      <c r="B43" s="0" t="s">
        <v>423</v>
      </c>
    </row>
    <row r="44">
      <c r="A44" s="0" t="s">
        <v>424</v>
      </c>
      <c r="B44" s="0" t="s">
        <v>380</v>
      </c>
    </row>
    <row r="45">
      <c r="A45" s="0" t="s">
        <v>425</v>
      </c>
      <c r="B45" s="0" t="s">
        <v>380</v>
      </c>
    </row>
    <row r="46">
      <c r="A46" s="0" t="s">
        <v>426</v>
      </c>
      <c r="B46" s="0" t="s">
        <v>380</v>
      </c>
    </row>
    <row r="47">
      <c r="A47" s="0" t="s">
        <v>427</v>
      </c>
      <c r="B47" s="0" t="s">
        <v>366</v>
      </c>
    </row>
    <row r="48">
      <c r="A48" s="0" t="s">
        <v>428</v>
      </c>
      <c r="B48" s="0" t="s">
        <v>429</v>
      </c>
    </row>
    <row r="49">
      <c r="A49" s="0" t="s">
        <v>430</v>
      </c>
      <c r="B49" s="0" t="s">
        <v>431</v>
      </c>
    </row>
    <row r="50">
      <c r="A50" s="0" t="s">
        <v>432</v>
      </c>
      <c r="B50" s="0" t="s">
        <v>433</v>
      </c>
    </row>
    <row r="51">
      <c r="A51" s="0" t="s">
        <v>249</v>
      </c>
      <c r="B51" s="0" t="s">
        <v>434</v>
      </c>
    </row>
    <row r="52">
      <c r="A52" s="0" t="s">
        <v>435</v>
      </c>
      <c r="B52" s="0" t="s">
        <v>436</v>
      </c>
    </row>
    <row r="53">
      <c r="A53" s="0" t="s">
        <v>437</v>
      </c>
      <c r="B53" s="0" t="s">
        <v>366</v>
      </c>
    </row>
    <row r="54">
      <c r="A54" s="0" t="s">
        <v>438</v>
      </c>
      <c r="B54" s="0" t="s">
        <v>366</v>
      </c>
    </row>
    <row r="55">
      <c r="A55" s="0" t="s">
        <v>439</v>
      </c>
      <c r="B55" s="0" t="s">
        <v>366</v>
      </c>
    </row>
    <row r="56">
      <c r="A56" s="0" t="s">
        <v>440</v>
      </c>
      <c r="B56" s="0" t="s">
        <v>399</v>
      </c>
    </row>
    <row r="57">
      <c r="A57" s="0" t="s">
        <v>250</v>
      </c>
      <c r="B57" s="0" t="s">
        <v>441</v>
      </c>
    </row>
    <row r="58">
      <c r="A58" s="0" t="s">
        <v>442</v>
      </c>
      <c r="B58" s="0" t="s">
        <v>443</v>
      </c>
    </row>
    <row r="59">
      <c r="A59" s="0" t="s">
        <v>444</v>
      </c>
      <c r="B59" s="0" t="s">
        <v>377</v>
      </c>
      <c r="C59" s="0" t="s">
        <v>415</v>
      </c>
    </row>
    <row r="60">
      <c r="A60" s="0" t="s">
        <v>445</v>
      </c>
      <c r="B60" s="0" t="s">
        <v>366</v>
      </c>
      <c r="C60" s="0" t="s">
        <v>415</v>
      </c>
      <c r="D60" s="0" t="s">
        <v>366</v>
      </c>
    </row>
    <row r="61">
      <c r="A61" s="0" t="s">
        <v>251</v>
      </c>
      <c r="B61" s="0" t="s">
        <v>377</v>
      </c>
      <c r="C61" s="0" t="s">
        <v>361</v>
      </c>
    </row>
    <row r="62">
      <c r="A62" s="0" t="s">
        <v>446</v>
      </c>
      <c r="B62" s="0" t="s">
        <v>366</v>
      </c>
      <c r="C62" s="0" t="s">
        <v>415</v>
      </c>
    </row>
    <row r="63">
      <c r="A63" s="0" t="s">
        <v>252</v>
      </c>
      <c r="B63" s="0" t="s">
        <v>377</v>
      </c>
      <c r="C63" s="0" t="s">
        <v>361</v>
      </c>
    </row>
    <row r="64">
      <c r="A64" s="0" t="s">
        <v>447</v>
      </c>
      <c r="B64" s="0" t="s">
        <v>415</v>
      </c>
      <c r="C64" s="0" t="s">
        <v>377</v>
      </c>
    </row>
    <row r="65">
      <c r="A65" s="0" t="s">
        <v>253</v>
      </c>
      <c r="B65" s="0" t="s">
        <v>377</v>
      </c>
      <c r="C65" s="0" t="s">
        <v>361</v>
      </c>
    </row>
    <row r="66">
      <c r="A66" s="0" t="s">
        <v>254</v>
      </c>
      <c r="B66" s="0" t="s">
        <v>377</v>
      </c>
      <c r="C66" s="0" t="s">
        <v>361</v>
      </c>
    </row>
    <row r="67">
      <c r="A67" s="0" t="s">
        <v>255</v>
      </c>
      <c r="B67" s="0" t="s">
        <v>377</v>
      </c>
      <c r="C67" s="0" t="s">
        <v>361</v>
      </c>
    </row>
    <row r="68">
      <c r="A68" s="0" t="s">
        <v>448</v>
      </c>
      <c r="B68" s="0" t="s">
        <v>386</v>
      </c>
      <c r="C68" s="0" t="s">
        <v>406</v>
      </c>
      <c r="D68" s="0" t="s">
        <v>449</v>
      </c>
    </row>
    <row r="69">
      <c r="A69" s="0" t="s">
        <v>256</v>
      </c>
      <c r="B69" s="0" t="s">
        <v>449</v>
      </c>
      <c r="C69" s="0" t="s">
        <v>386</v>
      </c>
      <c r="D69" s="0" t="s">
        <v>361</v>
      </c>
    </row>
    <row r="70">
      <c r="A70" s="0" t="s">
        <v>450</v>
      </c>
      <c r="B70" s="0" t="s">
        <v>386</v>
      </c>
      <c r="C70" s="0" t="s">
        <v>406</v>
      </c>
      <c r="D70" s="0" t="s">
        <v>449</v>
      </c>
    </row>
    <row r="71">
      <c r="A71" s="0" t="s">
        <v>451</v>
      </c>
      <c r="B71" s="0" t="s">
        <v>449</v>
      </c>
      <c r="C71" s="0" t="s">
        <v>386</v>
      </c>
      <c r="D71" s="0" t="s">
        <v>361</v>
      </c>
    </row>
    <row r="72">
      <c r="A72" s="0" t="s">
        <v>452</v>
      </c>
      <c r="B72" s="0" t="s">
        <v>386</v>
      </c>
      <c r="C72" s="0" t="s">
        <v>406</v>
      </c>
      <c r="D72" s="0" t="s">
        <v>449</v>
      </c>
    </row>
    <row r="73">
      <c r="A73" s="0" t="s">
        <v>453</v>
      </c>
      <c r="B73" s="0" t="s">
        <v>454</v>
      </c>
    </row>
    <row r="74">
      <c r="A74" s="0" t="s">
        <v>455</v>
      </c>
      <c r="B74" s="0" t="s">
        <v>377</v>
      </c>
      <c r="C74" s="0" t="s">
        <v>361</v>
      </c>
    </row>
    <row r="75">
      <c r="A75" s="0" t="s">
        <v>257</v>
      </c>
      <c r="B75" s="0" t="s">
        <v>377</v>
      </c>
      <c r="C75" s="0" t="s">
        <v>361</v>
      </c>
    </row>
    <row r="76">
      <c r="A76" s="0" t="s">
        <v>456</v>
      </c>
      <c r="B76" s="0" t="s">
        <v>375</v>
      </c>
    </row>
    <row r="77">
      <c r="A77" s="0" t="s">
        <v>457</v>
      </c>
      <c r="B77" s="0" t="s">
        <v>458</v>
      </c>
    </row>
    <row r="78">
      <c r="A78" s="0" t="s">
        <v>459</v>
      </c>
      <c r="B78" s="0" t="s">
        <v>406</v>
      </c>
    </row>
    <row r="79">
      <c r="A79" s="0" t="s">
        <v>460</v>
      </c>
      <c r="B79" s="0" t="s">
        <v>461</v>
      </c>
    </row>
    <row r="80">
      <c r="A80" s="0" t="s">
        <v>462</v>
      </c>
      <c r="B80" s="0" t="s">
        <v>463</v>
      </c>
    </row>
    <row r="81">
      <c r="A81" s="0" t="s">
        <v>464</v>
      </c>
      <c r="B81" s="0" t="s">
        <v>380</v>
      </c>
      <c r="C81" s="0" t="s">
        <v>449</v>
      </c>
    </row>
    <row r="82">
      <c r="A82" s="0" t="s">
        <v>258</v>
      </c>
      <c r="B82" s="0" t="s">
        <v>377</v>
      </c>
      <c r="C82" s="0" t="s">
        <v>361</v>
      </c>
      <c r="D82" s="0" t="s">
        <v>377</v>
      </c>
    </row>
    <row r="83">
      <c r="A83" s="0" t="s">
        <v>465</v>
      </c>
      <c r="B83" s="0" t="s">
        <v>406</v>
      </c>
      <c r="C83" s="0" t="s">
        <v>377</v>
      </c>
      <c r="D83" s="0" t="s">
        <v>377</v>
      </c>
    </row>
    <row r="84">
      <c r="A84" s="0" t="s">
        <v>259</v>
      </c>
      <c r="B84" s="0" t="s">
        <v>361</v>
      </c>
      <c r="C84" s="0" t="s">
        <v>377</v>
      </c>
      <c r="D84" s="0" t="s">
        <v>377</v>
      </c>
    </row>
    <row r="85">
      <c r="A85" s="0" t="s">
        <v>260</v>
      </c>
      <c r="B85" s="0" t="s">
        <v>361</v>
      </c>
      <c r="C85" s="0" t="s">
        <v>377</v>
      </c>
      <c r="D85" s="0" t="s">
        <v>377</v>
      </c>
    </row>
    <row r="86">
      <c r="A86" s="0" t="s">
        <v>261</v>
      </c>
      <c r="B86" s="0" t="s">
        <v>377</v>
      </c>
      <c r="C86" s="0" t="s">
        <v>377</v>
      </c>
      <c r="D86" s="0" t="s">
        <v>361</v>
      </c>
    </row>
    <row r="87">
      <c r="A87" s="0" t="s">
        <v>466</v>
      </c>
      <c r="B87" s="0" t="s">
        <v>406</v>
      </c>
    </row>
    <row r="88">
      <c r="A88" s="0" t="s">
        <v>467</v>
      </c>
      <c r="B88" s="0" t="s">
        <v>406</v>
      </c>
    </row>
    <row r="89">
      <c r="A89" s="0" t="s">
        <v>262</v>
      </c>
      <c r="B89" s="0" t="s">
        <v>361</v>
      </c>
    </row>
    <row r="90">
      <c r="A90" s="0" t="s">
        <v>263</v>
      </c>
      <c r="B90" s="0" t="s">
        <v>361</v>
      </c>
    </row>
    <row r="91">
      <c r="A91" s="0" t="s">
        <v>468</v>
      </c>
      <c r="B91" s="0" t="s">
        <v>361</v>
      </c>
    </row>
    <row r="92">
      <c r="A92" s="0" t="s">
        <v>264</v>
      </c>
      <c r="B92" s="0" t="s">
        <v>361</v>
      </c>
    </row>
    <row r="93">
      <c r="A93" s="0" t="s">
        <v>469</v>
      </c>
      <c r="B93" s="0" t="s">
        <v>366</v>
      </c>
    </row>
    <row r="94">
      <c r="A94" s="0" t="s">
        <v>470</v>
      </c>
      <c r="B94" s="0" t="s">
        <v>377</v>
      </c>
    </row>
    <row r="95">
      <c r="A95" s="0" t="s">
        <v>471</v>
      </c>
      <c r="B95" s="0" t="s">
        <v>366</v>
      </c>
    </row>
    <row r="96">
      <c r="A96" s="0" t="s">
        <v>472</v>
      </c>
      <c r="B96" s="0" t="s">
        <v>473</v>
      </c>
    </row>
    <row r="97">
      <c r="A97" s="0" t="s">
        <v>474</v>
      </c>
      <c r="B97" s="0" t="s">
        <v>406</v>
      </c>
    </row>
    <row r="98">
      <c r="A98" s="0" t="s">
        <v>265</v>
      </c>
      <c r="B98" s="0" t="s">
        <v>361</v>
      </c>
    </row>
    <row r="99">
      <c r="A99" s="0" t="s">
        <v>475</v>
      </c>
      <c r="B99" s="0" t="s">
        <v>476</v>
      </c>
    </row>
    <row r="100">
      <c r="A100" s="0" t="s">
        <v>477</v>
      </c>
      <c r="B100" s="0" t="s">
        <v>377</v>
      </c>
      <c r="C100" s="0" t="s">
        <v>406</v>
      </c>
      <c r="D100" s="0" t="s">
        <v>377</v>
      </c>
    </row>
    <row r="101">
      <c r="A101" s="0" t="s">
        <v>478</v>
      </c>
      <c r="B101" s="0" t="s">
        <v>415</v>
      </c>
    </row>
    <row r="102">
      <c r="A102" s="0" t="s">
        <v>479</v>
      </c>
      <c r="B102" s="0" t="s">
        <v>415</v>
      </c>
      <c r="C102" s="0" t="s">
        <v>415</v>
      </c>
    </row>
    <row r="103">
      <c r="A103" s="0" t="s">
        <v>266</v>
      </c>
      <c r="B103" s="0" t="s">
        <v>415</v>
      </c>
      <c r="C103" s="0" t="s">
        <v>415</v>
      </c>
    </row>
    <row r="104">
      <c r="A104" s="0" t="s">
        <v>480</v>
      </c>
      <c r="B104" s="0" t="s">
        <v>375</v>
      </c>
      <c r="C104" s="0" t="s">
        <v>375</v>
      </c>
    </row>
    <row r="105">
      <c r="A105" s="0" t="s">
        <v>267</v>
      </c>
      <c r="B105" s="0" t="s">
        <v>361</v>
      </c>
    </row>
    <row r="106">
      <c r="A106" s="0" t="s">
        <v>481</v>
      </c>
      <c r="B106" s="0" t="s">
        <v>33</v>
      </c>
      <c r="C106" s="0" t="s">
        <v>33</v>
      </c>
    </row>
    <row r="107">
      <c r="A107" s="0" t="s">
        <v>482</v>
      </c>
      <c r="B107" s="0" t="s">
        <v>483</v>
      </c>
    </row>
    <row r="108">
      <c r="A108" s="0" t="s">
        <v>484</v>
      </c>
      <c r="B108" s="0" t="s">
        <v>375</v>
      </c>
      <c r="C108" s="0" t="s">
        <v>361</v>
      </c>
    </row>
    <row r="109">
      <c r="A109" s="0" t="s">
        <v>485</v>
      </c>
      <c r="B109" s="0" t="s">
        <v>375</v>
      </c>
      <c r="C109" s="0" t="s">
        <v>361</v>
      </c>
    </row>
    <row r="110">
      <c r="A110" s="0" t="s">
        <v>268</v>
      </c>
      <c r="B110" s="0" t="s">
        <v>369</v>
      </c>
      <c r="C110" s="0" t="s">
        <v>375</v>
      </c>
    </row>
    <row r="111">
      <c r="A111" s="0" t="s">
        <v>486</v>
      </c>
      <c r="B111" s="0" t="s">
        <v>487</v>
      </c>
    </row>
    <row r="112">
      <c r="A112" s="0" t="s">
        <v>488</v>
      </c>
      <c r="B112" s="0" t="s">
        <v>375</v>
      </c>
    </row>
    <row r="113">
      <c r="A113" s="0" t="s">
        <v>489</v>
      </c>
      <c r="B113" s="0" t="s">
        <v>375</v>
      </c>
      <c r="C113" s="0" t="s">
        <v>375</v>
      </c>
    </row>
    <row r="114">
      <c r="A114" s="0" t="s">
        <v>490</v>
      </c>
      <c r="B114" s="0" t="s">
        <v>375</v>
      </c>
      <c r="C114" s="0" t="s">
        <v>375</v>
      </c>
      <c r="D114" s="0" t="s">
        <v>361</v>
      </c>
    </row>
    <row r="115">
      <c r="A115" s="0" t="s">
        <v>269</v>
      </c>
      <c r="B115" s="0" t="s">
        <v>369</v>
      </c>
      <c r="C115" s="0" t="s">
        <v>375</v>
      </c>
      <c r="D115" s="0" t="s">
        <v>375</v>
      </c>
    </row>
    <row r="116">
      <c r="A116" s="0" t="s">
        <v>491</v>
      </c>
      <c r="B116" s="0" t="s">
        <v>375</v>
      </c>
      <c r="C116" s="0" t="s">
        <v>375</v>
      </c>
      <c r="D116" s="0" t="s">
        <v>361</v>
      </c>
    </row>
    <row r="117">
      <c r="A117" s="0" t="s">
        <v>270</v>
      </c>
      <c r="B117" s="0" t="s">
        <v>369</v>
      </c>
      <c r="C117" s="0" t="s">
        <v>375</v>
      </c>
      <c r="D117" s="0" t="s">
        <v>375</v>
      </c>
    </row>
    <row r="118">
      <c r="A118" s="0" t="s">
        <v>492</v>
      </c>
      <c r="B118" s="0" t="s">
        <v>493</v>
      </c>
    </row>
    <row r="119">
      <c r="A119" s="0" t="s">
        <v>494</v>
      </c>
      <c r="B119" s="0" t="s">
        <v>495</v>
      </c>
    </row>
    <row r="120">
      <c r="A120" s="0" t="s">
        <v>496</v>
      </c>
      <c r="B120" s="0" t="s">
        <v>375</v>
      </c>
    </row>
    <row r="121">
      <c r="A121" s="0" t="s">
        <v>497</v>
      </c>
      <c r="B121" s="0" t="s">
        <v>369</v>
      </c>
      <c r="C121" s="0" t="s">
        <v>33</v>
      </c>
    </row>
    <row r="122">
      <c r="A122" s="0" t="s">
        <v>498</v>
      </c>
      <c r="B122" s="0" t="s">
        <v>377</v>
      </c>
      <c r="C122" s="0" t="s">
        <v>361</v>
      </c>
      <c r="D122" s="0" t="s">
        <v>377</v>
      </c>
      <c r="E122" s="0" t="s">
        <v>361</v>
      </c>
    </row>
    <row r="123">
      <c r="A123" s="0" t="s">
        <v>499</v>
      </c>
      <c r="B123" s="0" t="s">
        <v>377</v>
      </c>
      <c r="C123" s="0" t="s">
        <v>361</v>
      </c>
      <c r="D123" s="0" t="s">
        <v>377</v>
      </c>
      <c r="E123" s="0" t="s">
        <v>361</v>
      </c>
    </row>
    <row r="124">
      <c r="A124" s="0" t="s">
        <v>500</v>
      </c>
      <c r="B124" s="0" t="s">
        <v>501</v>
      </c>
    </row>
    <row r="125">
      <c r="A125" s="0" t="s">
        <v>502</v>
      </c>
      <c r="B125" s="0" t="s">
        <v>503</v>
      </c>
    </row>
    <row r="126">
      <c r="A126" s="0" t="s">
        <v>504</v>
      </c>
      <c r="B126" s="0" t="s">
        <v>505</v>
      </c>
      <c r="C126" s="0" t="s">
        <v>33</v>
      </c>
      <c r="D126" s="0" t="s">
        <v>33</v>
      </c>
    </row>
    <row r="127">
      <c r="A127" s="0" t="s">
        <v>506</v>
      </c>
      <c r="B127" s="0" t="s">
        <v>369</v>
      </c>
      <c r="C127" s="0" t="s">
        <v>33</v>
      </c>
      <c r="D127" s="0" t="s">
        <v>33</v>
      </c>
    </row>
    <row r="128">
      <c r="A128" s="0" t="s">
        <v>271</v>
      </c>
      <c r="B128" s="0" t="s">
        <v>369</v>
      </c>
      <c r="C128" s="0" t="s">
        <v>375</v>
      </c>
      <c r="D128" s="0" t="s">
        <v>375</v>
      </c>
      <c r="E128" s="0" t="s">
        <v>375</v>
      </c>
      <c r="F128" s="0" t="s">
        <v>375</v>
      </c>
    </row>
    <row r="129">
      <c r="A129" s="0" t="s">
        <v>507</v>
      </c>
      <c r="B129" s="0" t="s">
        <v>508</v>
      </c>
      <c r="C129" s="0" t="s">
        <v>365</v>
      </c>
      <c r="D129" s="0" t="s">
        <v>375</v>
      </c>
      <c r="E129" s="0" t="s">
        <v>375</v>
      </c>
      <c r="F129" s="0" t="s">
        <v>375</v>
      </c>
      <c r="G129" s="0" t="s">
        <v>375</v>
      </c>
    </row>
    <row r="130">
      <c r="A130" s="0" t="s">
        <v>509</v>
      </c>
      <c r="B130" s="0" t="s">
        <v>369</v>
      </c>
      <c r="C130" s="0" t="s">
        <v>369</v>
      </c>
    </row>
    <row r="131">
      <c r="A131" s="0" t="s">
        <v>510</v>
      </c>
      <c r="B131" s="0" t="s">
        <v>511</v>
      </c>
      <c r="C131" s="0" t="s">
        <v>511</v>
      </c>
      <c r="D131" s="0" t="s">
        <v>33</v>
      </c>
      <c r="E131" s="0" t="s">
        <v>33</v>
      </c>
    </row>
    <row r="132">
      <c r="A132" s="0" t="s">
        <v>512</v>
      </c>
      <c r="B132" s="0" t="s">
        <v>33</v>
      </c>
      <c r="C132" s="0" t="s">
        <v>33</v>
      </c>
      <c r="D132" s="0" t="s">
        <v>369</v>
      </c>
      <c r="E132" s="0" t="s">
        <v>369</v>
      </c>
      <c r="F132" s="0" t="s">
        <v>33</v>
      </c>
      <c r="G132" s="0" t="s">
        <v>33</v>
      </c>
    </row>
    <row r="133">
      <c r="A133" s="0" t="s">
        <v>513</v>
      </c>
      <c r="B133" s="0" t="s">
        <v>369</v>
      </c>
      <c r="C133" s="0" t="s">
        <v>369</v>
      </c>
      <c r="D133" s="0" t="s">
        <v>33</v>
      </c>
      <c r="E133" s="0" t="s">
        <v>33</v>
      </c>
      <c r="F133" s="0" t="s">
        <v>33</v>
      </c>
      <c r="G133" s="0" t="s">
        <v>33</v>
      </c>
    </row>
    <row r="134">
      <c r="A134" s="0" t="s">
        <v>514</v>
      </c>
      <c r="B134" s="0" t="s">
        <v>369</v>
      </c>
      <c r="C134" s="0" t="s">
        <v>33</v>
      </c>
      <c r="D134" s="0" t="s">
        <v>33</v>
      </c>
      <c r="E134" s="0" t="s">
        <v>33</v>
      </c>
    </row>
    <row r="135">
      <c r="A135" s="0" t="s">
        <v>515</v>
      </c>
      <c r="B135" s="0" t="s">
        <v>369</v>
      </c>
      <c r="C135" s="0" t="s">
        <v>33</v>
      </c>
      <c r="D135" s="0" t="s">
        <v>33</v>
      </c>
      <c r="E135" s="0" t="s">
        <v>33</v>
      </c>
      <c r="F135" s="0" t="s">
        <v>33</v>
      </c>
    </row>
    <row r="136">
      <c r="A136" s="0" t="s">
        <v>516</v>
      </c>
      <c r="B136" s="0" t="s">
        <v>508</v>
      </c>
      <c r="C136" s="0" t="s">
        <v>365</v>
      </c>
      <c r="D136" s="0" t="s">
        <v>517</v>
      </c>
      <c r="E136" s="0" t="s">
        <v>517</v>
      </c>
      <c r="F136" s="0" t="s">
        <v>517</v>
      </c>
      <c r="G136" s="0" t="s">
        <v>517</v>
      </c>
    </row>
    <row r="137">
      <c r="A137" s="0" t="s">
        <v>518</v>
      </c>
      <c r="B137" s="0" t="s">
        <v>369</v>
      </c>
      <c r="C137" s="0" t="s">
        <v>369</v>
      </c>
      <c r="D137" s="0" t="s">
        <v>371</v>
      </c>
      <c r="E137" s="0" t="s">
        <v>371</v>
      </c>
    </row>
    <row r="138">
      <c r="A138" s="0" t="s">
        <v>519</v>
      </c>
      <c r="B138" s="0" t="s">
        <v>511</v>
      </c>
      <c r="C138" s="0" t="s">
        <v>511</v>
      </c>
      <c r="D138" s="0" t="s">
        <v>371</v>
      </c>
      <c r="E138" s="0" t="s">
        <v>371</v>
      </c>
    </row>
    <row r="139">
      <c r="A139" s="0" t="s">
        <v>520</v>
      </c>
      <c r="B139" s="0" t="s">
        <v>369</v>
      </c>
      <c r="C139" s="0" t="s">
        <v>369</v>
      </c>
      <c r="D139" s="0" t="s">
        <v>33</v>
      </c>
      <c r="E139" s="0" t="s">
        <v>33</v>
      </c>
      <c r="F139" s="0" t="s">
        <v>33</v>
      </c>
      <c r="G139" s="0" t="s">
        <v>33</v>
      </c>
    </row>
    <row r="140">
      <c r="A140" s="0" t="s">
        <v>521</v>
      </c>
      <c r="B140" s="0" t="s">
        <v>369</v>
      </c>
      <c r="C140" s="0" t="s">
        <v>369</v>
      </c>
      <c r="D140" s="0" t="s">
        <v>371</v>
      </c>
      <c r="E140" s="0" t="s">
        <v>33</v>
      </c>
      <c r="F140" s="0" t="s">
        <v>371</v>
      </c>
      <c r="G140" s="0" t="s">
        <v>33</v>
      </c>
    </row>
    <row r="141">
      <c r="A141" s="0" t="s">
        <v>272</v>
      </c>
      <c r="B141" s="0" t="s">
        <v>32</v>
      </c>
      <c r="C141" s="0" t="s">
        <v>33</v>
      </c>
      <c r="D141" s="0" t="s">
        <v>33</v>
      </c>
      <c r="E141" s="0" t="s">
        <v>33</v>
      </c>
      <c r="F141" s="0" t="s">
        <v>33</v>
      </c>
      <c r="G141" s="0" t="s">
        <v>522</v>
      </c>
    </row>
    <row r="142">
      <c r="A142" s="0" t="s">
        <v>273</v>
      </c>
      <c r="B142" s="0" t="s">
        <v>32</v>
      </c>
      <c r="C142" s="0" t="s">
        <v>33</v>
      </c>
      <c r="D142" s="0" t="s">
        <v>33</v>
      </c>
      <c r="E142" s="0" t="s">
        <v>33</v>
      </c>
      <c r="F142" s="0" t="s">
        <v>33</v>
      </c>
      <c r="G142" s="0" t="s">
        <v>522</v>
      </c>
    </row>
    <row r="143">
      <c r="A143" s="0" t="s">
        <v>523</v>
      </c>
      <c r="B143" s="0" t="s">
        <v>32</v>
      </c>
      <c r="C143" s="0" t="s">
        <v>32</v>
      </c>
      <c r="D143" s="0" t="s">
        <v>33</v>
      </c>
      <c r="E143" s="0" t="s">
        <v>371</v>
      </c>
      <c r="F143" s="0" t="s">
        <v>371</v>
      </c>
      <c r="G143" s="0" t="s">
        <v>33</v>
      </c>
      <c r="H143" s="0" t="s">
        <v>524</v>
      </c>
    </row>
    <row r="144">
      <c r="A144" s="0" t="s">
        <v>525</v>
      </c>
      <c r="B144" s="0" t="s">
        <v>32</v>
      </c>
      <c r="C144" s="0" t="s">
        <v>32</v>
      </c>
      <c r="D144" s="0" t="s">
        <v>33</v>
      </c>
      <c r="E144" s="0" t="s">
        <v>371</v>
      </c>
      <c r="F144" s="0" t="s">
        <v>371</v>
      </c>
      <c r="G144" s="0" t="s">
        <v>33</v>
      </c>
      <c r="H144" s="0" t="s">
        <v>524</v>
      </c>
    </row>
    <row r="145">
      <c r="A145" s="0" t="s">
        <v>274</v>
      </c>
      <c r="B145" s="0" t="s">
        <v>366</v>
      </c>
    </row>
    <row r="146">
      <c r="A146" s="0" t="s">
        <v>526</v>
      </c>
      <c r="B146" s="0" t="s">
        <v>375</v>
      </c>
    </row>
    <row r="147">
      <c r="A147" s="0" t="s">
        <v>527</v>
      </c>
      <c r="B147" s="0" t="s">
        <v>32</v>
      </c>
    </row>
    <row r="148">
      <c r="A148" s="0" t="s">
        <v>528</v>
      </c>
      <c r="B148" s="0" t="s">
        <v>32</v>
      </c>
    </row>
    <row r="149">
      <c r="A149" s="0" t="s">
        <v>178</v>
      </c>
      <c r="B149" s="0" t="s">
        <v>366</v>
      </c>
    </row>
    <row r="150">
      <c r="A150" s="0" t="s">
        <v>275</v>
      </c>
      <c r="B150" s="0" t="s">
        <v>529</v>
      </c>
    </row>
    <row r="151">
      <c r="A151" s="0" t="s">
        <v>168</v>
      </c>
      <c r="B151" s="0" t="s">
        <v>529</v>
      </c>
    </row>
    <row r="152">
      <c r="A152" s="0" t="s">
        <v>276</v>
      </c>
      <c r="B152" s="0" t="s">
        <v>529</v>
      </c>
    </row>
    <row r="153">
      <c r="A153" s="0" t="s">
        <v>277</v>
      </c>
      <c r="B153" s="0" t="s">
        <v>530</v>
      </c>
    </row>
    <row r="154">
      <c r="A154" s="0" t="s">
        <v>531</v>
      </c>
      <c r="B154" s="0" t="s">
        <v>369</v>
      </c>
      <c r="C154" s="0" t="s">
        <v>375</v>
      </c>
    </row>
    <row r="155">
      <c r="A155" s="0" t="s">
        <v>278</v>
      </c>
      <c r="B155" s="0" t="s">
        <v>377</v>
      </c>
      <c r="C155" s="0" t="s">
        <v>361</v>
      </c>
    </row>
    <row r="156">
      <c r="A156" s="0" t="s">
        <v>279</v>
      </c>
      <c r="B156" s="0" t="s">
        <v>32</v>
      </c>
      <c r="C156" s="0" t="s">
        <v>32</v>
      </c>
    </row>
    <row r="157">
      <c r="A157" s="0" t="s">
        <v>280</v>
      </c>
      <c r="B157" s="0" t="s">
        <v>32</v>
      </c>
      <c r="C157" s="0" t="s">
        <v>375</v>
      </c>
    </row>
    <row r="158">
      <c r="A158" s="0" t="s">
        <v>281</v>
      </c>
      <c r="B158" s="0" t="s">
        <v>32</v>
      </c>
      <c r="C158" s="0" t="s">
        <v>375</v>
      </c>
    </row>
    <row r="159">
      <c r="A159" s="0" t="s">
        <v>282</v>
      </c>
      <c r="B159" s="0" t="s">
        <v>33</v>
      </c>
      <c r="C159" s="0" t="s">
        <v>33</v>
      </c>
    </row>
    <row r="160">
      <c r="A160" s="0" t="s">
        <v>283</v>
      </c>
      <c r="B160" s="0" t="s">
        <v>32</v>
      </c>
      <c r="C160" s="0" t="s">
        <v>32</v>
      </c>
      <c r="D160" s="0" t="s">
        <v>33</v>
      </c>
      <c r="E160" s="0" t="s">
        <v>33</v>
      </c>
      <c r="F160" s="0" t="s">
        <v>33</v>
      </c>
      <c r="G160" s="0" t="s">
        <v>33</v>
      </c>
    </row>
    <row r="161">
      <c r="A161" s="0" t="s">
        <v>284</v>
      </c>
      <c r="B161" s="0" t="s">
        <v>365</v>
      </c>
      <c r="C161" s="0" t="s">
        <v>532</v>
      </c>
      <c r="D161" s="0" t="s">
        <v>33</v>
      </c>
      <c r="E161" s="0" t="s">
        <v>371</v>
      </c>
      <c r="F161" s="0" t="s">
        <v>33</v>
      </c>
      <c r="G161" s="0" t="s">
        <v>32</v>
      </c>
      <c r="H161" s="0" t="s">
        <v>33</v>
      </c>
      <c r="I161" s="0" t="s">
        <v>33</v>
      </c>
    </row>
    <row r="162">
      <c r="A162" s="0" t="s">
        <v>533</v>
      </c>
      <c r="B162" s="0" t="s">
        <v>32</v>
      </c>
      <c r="C162" s="0" t="s">
        <v>32</v>
      </c>
      <c r="D162" s="0" t="s">
        <v>33</v>
      </c>
      <c r="E162" s="0" t="s">
        <v>33</v>
      </c>
      <c r="F162" s="0" t="s">
        <v>371</v>
      </c>
      <c r="G162" s="0" t="s">
        <v>371</v>
      </c>
      <c r="H162" s="0" t="s">
        <v>33</v>
      </c>
      <c r="I162" s="0" t="s">
        <v>33</v>
      </c>
    </row>
    <row r="163">
      <c r="A163" s="0" t="s">
        <v>285</v>
      </c>
      <c r="B163" s="0" t="s">
        <v>33</v>
      </c>
      <c r="C163" s="0" t="s">
        <v>33</v>
      </c>
      <c r="D163" s="0" t="s">
        <v>32</v>
      </c>
      <c r="E163" s="0" t="s">
        <v>33</v>
      </c>
      <c r="F163" s="0" t="s">
        <v>33</v>
      </c>
    </row>
    <row r="164">
      <c r="A164" s="0" t="s">
        <v>534</v>
      </c>
      <c r="B164" s="0" t="s">
        <v>32</v>
      </c>
      <c r="C164" s="0" t="s">
        <v>32</v>
      </c>
      <c r="D164" s="0" t="s">
        <v>33</v>
      </c>
      <c r="E164" s="0" t="s">
        <v>33</v>
      </c>
    </row>
    <row r="165">
      <c r="A165" s="0" t="s">
        <v>286</v>
      </c>
      <c r="B165" s="0" t="s">
        <v>32</v>
      </c>
      <c r="C165" s="0" t="s">
        <v>32</v>
      </c>
      <c r="D165" s="0" t="s">
        <v>33</v>
      </c>
      <c r="E165" s="0" t="s">
        <v>33</v>
      </c>
    </row>
    <row r="166">
      <c r="A166" s="0" t="s">
        <v>287</v>
      </c>
      <c r="B166" s="0" t="s">
        <v>32</v>
      </c>
      <c r="C166" s="0" t="s">
        <v>32</v>
      </c>
      <c r="D166" s="0" t="s">
        <v>33</v>
      </c>
      <c r="E166" s="0" t="s">
        <v>33</v>
      </c>
    </row>
    <row r="167">
      <c r="A167" s="0" t="s">
        <v>288</v>
      </c>
      <c r="B167" s="0" t="s">
        <v>33</v>
      </c>
      <c r="C167" s="0" t="s">
        <v>32</v>
      </c>
      <c r="D167" s="0" t="s">
        <v>32</v>
      </c>
      <c r="E167" s="0" t="s">
        <v>33</v>
      </c>
    </row>
    <row r="168">
      <c r="A168" s="0" t="s">
        <v>289</v>
      </c>
      <c r="B168" s="0" t="s">
        <v>33</v>
      </c>
      <c r="C168" s="0" t="s">
        <v>32</v>
      </c>
      <c r="D168" s="0" t="s">
        <v>32</v>
      </c>
      <c r="E168" s="0" t="s">
        <v>33</v>
      </c>
    </row>
    <row r="169">
      <c r="A169" s="0" t="s">
        <v>7</v>
      </c>
      <c r="B169" s="0" t="s">
        <v>32</v>
      </c>
      <c r="C169" s="0" t="s">
        <v>32</v>
      </c>
      <c r="D169" s="0" t="s">
        <v>33</v>
      </c>
      <c r="E169" s="0" t="s">
        <v>33</v>
      </c>
    </row>
    <row r="170">
      <c r="A170" s="0" t="s">
        <v>290</v>
      </c>
      <c r="B170" s="0" t="s">
        <v>535</v>
      </c>
      <c r="C170" s="0" t="s">
        <v>365</v>
      </c>
      <c r="D170" s="0" t="s">
        <v>375</v>
      </c>
      <c r="E170" s="0" t="s">
        <v>375</v>
      </c>
    </row>
    <row r="171">
      <c r="A171" s="0" t="s">
        <v>536</v>
      </c>
      <c r="B171" s="0" t="s">
        <v>32</v>
      </c>
      <c r="C171" s="0" t="s">
        <v>32</v>
      </c>
      <c r="D171" s="0" t="s">
        <v>371</v>
      </c>
      <c r="E171" s="0" t="s">
        <v>371</v>
      </c>
    </row>
    <row r="172">
      <c r="A172" s="0" t="s">
        <v>291</v>
      </c>
      <c r="B172" s="0" t="s">
        <v>32</v>
      </c>
      <c r="C172" s="0" t="s">
        <v>33</v>
      </c>
      <c r="D172" s="0" t="s">
        <v>33</v>
      </c>
      <c r="E172" s="0" t="s">
        <v>33</v>
      </c>
    </row>
    <row r="173">
      <c r="A173" s="0" t="s">
        <v>292</v>
      </c>
      <c r="B173" s="0" t="s">
        <v>33</v>
      </c>
      <c r="C173" s="0" t="s">
        <v>33</v>
      </c>
      <c r="D173" s="0" t="s">
        <v>32</v>
      </c>
      <c r="E173" s="0" t="s">
        <v>33</v>
      </c>
      <c r="F173" s="0" t="s">
        <v>33</v>
      </c>
      <c r="G173" s="0" t="s">
        <v>537</v>
      </c>
    </row>
    <row r="174">
      <c r="A174" s="0" t="s">
        <v>293</v>
      </c>
      <c r="B174" s="0" t="s">
        <v>32</v>
      </c>
      <c r="C174" s="0" t="s">
        <v>32</v>
      </c>
      <c r="D174" s="0" t="s">
        <v>33</v>
      </c>
      <c r="E174" s="0" t="s">
        <v>33</v>
      </c>
      <c r="F174" s="0" t="s">
        <v>33</v>
      </c>
      <c r="G174" s="0" t="s">
        <v>33</v>
      </c>
    </row>
    <row r="175">
      <c r="A175" s="0" t="s">
        <v>294</v>
      </c>
      <c r="B175" s="0" t="s">
        <v>33</v>
      </c>
      <c r="C175" s="0" t="s">
        <v>33</v>
      </c>
      <c r="D175" s="0" t="s">
        <v>32</v>
      </c>
      <c r="E175" s="0" t="s">
        <v>33</v>
      </c>
      <c r="F175" s="0" t="s">
        <v>33</v>
      </c>
      <c r="G175" s="0" t="s">
        <v>32</v>
      </c>
    </row>
    <row r="176">
      <c r="A176" s="0" t="s">
        <v>295</v>
      </c>
      <c r="B176" s="0" t="s">
        <v>32</v>
      </c>
      <c r="C176" s="0" t="s">
        <v>32</v>
      </c>
      <c r="D176" s="0" t="s">
        <v>33</v>
      </c>
      <c r="E176" s="0" t="s">
        <v>33</v>
      </c>
      <c r="F176" s="0" t="s">
        <v>33</v>
      </c>
      <c r="G176" s="0" t="s">
        <v>33</v>
      </c>
    </row>
    <row r="177">
      <c r="A177" s="0" t="s">
        <v>296</v>
      </c>
      <c r="B177" s="0" t="s">
        <v>32</v>
      </c>
      <c r="C177" s="0" t="s">
        <v>32</v>
      </c>
      <c r="D177" s="0" t="s">
        <v>33</v>
      </c>
      <c r="E177" s="0" t="s">
        <v>33</v>
      </c>
      <c r="F177" s="0" t="s">
        <v>33</v>
      </c>
      <c r="G177" s="0" t="s">
        <v>33</v>
      </c>
    </row>
    <row r="178">
      <c r="A178" s="0" t="s">
        <v>297</v>
      </c>
      <c r="B178" s="0" t="s">
        <v>538</v>
      </c>
      <c r="C178" s="0" t="s">
        <v>539</v>
      </c>
      <c r="D178" s="0" t="s">
        <v>532</v>
      </c>
      <c r="E178" s="0" t="s">
        <v>33</v>
      </c>
      <c r="F178" s="0" t="s">
        <v>371</v>
      </c>
      <c r="G178" s="0" t="s">
        <v>365</v>
      </c>
    </row>
    <row r="179">
      <c r="A179" s="0" t="s">
        <v>298</v>
      </c>
      <c r="B179" s="0" t="s">
        <v>538</v>
      </c>
      <c r="C179" s="0" t="s">
        <v>539</v>
      </c>
      <c r="D179" s="0" t="s">
        <v>532</v>
      </c>
      <c r="E179" s="0" t="s">
        <v>33</v>
      </c>
      <c r="F179" s="0" t="s">
        <v>371</v>
      </c>
      <c r="G179" s="0" t="s">
        <v>365</v>
      </c>
    </row>
    <row r="180">
      <c r="A180" s="0" t="s">
        <v>299</v>
      </c>
      <c r="B180" s="0" t="s">
        <v>32</v>
      </c>
      <c r="C180" s="0" t="s">
        <v>32</v>
      </c>
      <c r="D180" s="0" t="s">
        <v>371</v>
      </c>
      <c r="E180" s="0" t="s">
        <v>371</v>
      </c>
      <c r="F180" s="0" t="s">
        <v>33</v>
      </c>
      <c r="G180" s="0" t="s">
        <v>33</v>
      </c>
    </row>
    <row r="181">
      <c r="A181" s="0" t="s">
        <v>540</v>
      </c>
      <c r="B181" s="0" t="s">
        <v>32</v>
      </c>
      <c r="C181" s="0" t="s">
        <v>32</v>
      </c>
      <c r="D181" s="0" t="s">
        <v>371</v>
      </c>
      <c r="E181" s="0" t="s">
        <v>33</v>
      </c>
      <c r="F181" s="0" t="s">
        <v>33</v>
      </c>
      <c r="G181" s="0" t="s">
        <v>371</v>
      </c>
    </row>
    <row r="182">
      <c r="A182" s="0" t="s">
        <v>300</v>
      </c>
      <c r="B182" s="0" t="s">
        <v>32</v>
      </c>
      <c r="C182" s="0" t="s">
        <v>371</v>
      </c>
      <c r="D182" s="0" t="s">
        <v>33</v>
      </c>
      <c r="E182" s="0" t="s">
        <v>33</v>
      </c>
      <c r="F182" s="0" t="s">
        <v>371</v>
      </c>
      <c r="G182" s="0" t="s">
        <v>32</v>
      </c>
    </row>
    <row r="183">
      <c r="A183" s="0" t="s">
        <v>301</v>
      </c>
      <c r="B183" s="0" t="s">
        <v>380</v>
      </c>
    </row>
    <row r="184">
      <c r="A184" s="0" t="s">
        <v>541</v>
      </c>
      <c r="B184" s="0" t="s">
        <v>522</v>
      </c>
      <c r="C184" s="0" t="s">
        <v>522</v>
      </c>
      <c r="D184" s="0" t="s">
        <v>522</v>
      </c>
      <c r="E184" s="0" t="s">
        <v>522</v>
      </c>
    </row>
    <row r="185">
      <c r="A185" s="0" t="s">
        <v>542</v>
      </c>
      <c r="B185" s="0" t="s">
        <v>32</v>
      </c>
      <c r="C185" s="0" t="s">
        <v>375</v>
      </c>
      <c r="D185" s="0" t="s">
        <v>375</v>
      </c>
    </row>
    <row r="186">
      <c r="A186" s="0" t="s">
        <v>302</v>
      </c>
      <c r="B186" s="0" t="s">
        <v>33</v>
      </c>
      <c r="C186" s="0" t="s">
        <v>32</v>
      </c>
      <c r="D186" s="0" t="s">
        <v>33</v>
      </c>
    </row>
    <row r="187">
      <c r="A187" s="0" t="s">
        <v>303</v>
      </c>
      <c r="B187" s="0" t="s">
        <v>33</v>
      </c>
      <c r="C187" s="0" t="s">
        <v>32</v>
      </c>
      <c r="D187" s="0" t="s">
        <v>33</v>
      </c>
    </row>
    <row r="188">
      <c r="A188" s="0" t="s">
        <v>304</v>
      </c>
      <c r="B188" s="0" t="s">
        <v>32</v>
      </c>
      <c r="C188" s="0" t="s">
        <v>375</v>
      </c>
      <c r="D188" s="0" t="s">
        <v>375</v>
      </c>
    </row>
    <row r="189">
      <c r="A189" s="0" t="s">
        <v>305</v>
      </c>
      <c r="B189" s="0" t="s">
        <v>33</v>
      </c>
      <c r="C189" s="0" t="s">
        <v>32</v>
      </c>
      <c r="D189" s="0" t="s">
        <v>33</v>
      </c>
    </row>
    <row r="190">
      <c r="A190" s="0" t="s">
        <v>543</v>
      </c>
      <c r="B190" s="0" t="s">
        <v>32</v>
      </c>
      <c r="C190" s="0" t="s">
        <v>33</v>
      </c>
      <c r="D190" s="0" t="s">
        <v>33</v>
      </c>
    </row>
    <row r="191">
      <c r="A191" s="0" t="s">
        <v>306</v>
      </c>
      <c r="B191" s="0" t="s">
        <v>544</v>
      </c>
    </row>
    <row r="192">
      <c r="A192" s="0" t="s">
        <v>307</v>
      </c>
      <c r="B192" s="0" t="s">
        <v>386</v>
      </c>
      <c r="C192" s="0" t="s">
        <v>449</v>
      </c>
    </row>
    <row r="193">
      <c r="A193" s="0" t="s">
        <v>545</v>
      </c>
      <c r="B193" s="0" t="s">
        <v>386</v>
      </c>
      <c r="C193" s="0" t="s">
        <v>449</v>
      </c>
      <c r="D193" s="0" t="s">
        <v>33</v>
      </c>
    </row>
    <row r="194">
      <c r="A194" s="0" t="s">
        <v>308</v>
      </c>
      <c r="B194" s="0" t="s">
        <v>546</v>
      </c>
    </row>
    <row r="195">
      <c r="A195" s="0" t="s">
        <v>309</v>
      </c>
      <c r="B195" s="0" t="s">
        <v>366</v>
      </c>
    </row>
    <row r="196">
      <c r="A196" s="0" t="s">
        <v>310</v>
      </c>
      <c r="B196" s="0" t="s">
        <v>377</v>
      </c>
      <c r="C196" s="0" t="s">
        <v>377</v>
      </c>
    </row>
    <row r="197">
      <c r="A197" s="0" t="s">
        <v>311</v>
      </c>
      <c r="B197" s="0" t="s">
        <v>377</v>
      </c>
      <c r="C197" s="0" t="s">
        <v>377</v>
      </c>
    </row>
    <row r="198">
      <c r="A198" s="0" t="s">
        <v>312</v>
      </c>
      <c r="B198" s="0" t="s">
        <v>377</v>
      </c>
      <c r="C198" s="0" t="s">
        <v>361</v>
      </c>
      <c r="D198" s="0" t="s">
        <v>377</v>
      </c>
    </row>
    <row r="199">
      <c r="A199" s="0" t="s">
        <v>313</v>
      </c>
      <c r="B199" s="0" t="s">
        <v>375</v>
      </c>
      <c r="C199" s="0" t="s">
        <v>375</v>
      </c>
    </row>
    <row r="200">
      <c r="A200" s="0" t="s">
        <v>547</v>
      </c>
      <c r="B200" s="0" t="s">
        <v>375</v>
      </c>
      <c r="C200" s="0" t="s">
        <v>375</v>
      </c>
      <c r="D200" s="0" t="s">
        <v>375</v>
      </c>
    </row>
    <row r="201">
      <c r="A201" s="0" t="s">
        <v>314</v>
      </c>
      <c r="B201" s="0" t="s">
        <v>369</v>
      </c>
      <c r="C201" s="0" t="s">
        <v>33</v>
      </c>
      <c r="D201" s="0" t="s">
        <v>33</v>
      </c>
    </row>
    <row r="202">
      <c r="A202" s="0" t="s">
        <v>315</v>
      </c>
      <c r="B202" s="0" t="s">
        <v>377</v>
      </c>
    </row>
    <row r="203">
      <c r="A203" s="0" t="s">
        <v>316</v>
      </c>
      <c r="B203" s="0" t="s">
        <v>377</v>
      </c>
    </row>
    <row r="204">
      <c r="A204" s="0" t="s">
        <v>317</v>
      </c>
      <c r="B204" s="0" t="s">
        <v>366</v>
      </c>
    </row>
    <row r="205">
      <c r="A205" s="0" t="s">
        <v>318</v>
      </c>
      <c r="B205" s="0" t="s">
        <v>366</v>
      </c>
    </row>
    <row r="206">
      <c r="A206" s="0" t="s">
        <v>548</v>
      </c>
      <c r="B206" s="0" t="s">
        <v>366</v>
      </c>
    </row>
    <row r="207">
      <c r="A207" s="0" t="s">
        <v>549</v>
      </c>
      <c r="B207" s="0" t="s">
        <v>366</v>
      </c>
      <c r="C207" s="0" t="s">
        <v>366</v>
      </c>
    </row>
    <row r="208">
      <c r="A208" s="0" t="s">
        <v>550</v>
      </c>
      <c r="B208" s="0" t="s">
        <v>366</v>
      </c>
    </row>
    <row r="209">
      <c r="A209" s="0" t="s">
        <v>319</v>
      </c>
      <c r="B209" s="0" t="s">
        <v>366</v>
      </c>
    </row>
    <row r="210">
      <c r="A210" s="0" t="s">
        <v>320</v>
      </c>
      <c r="B210" s="0" t="s">
        <v>33</v>
      </c>
      <c r="C210" s="0" t="s">
        <v>369</v>
      </c>
      <c r="D210" s="0" t="s">
        <v>33</v>
      </c>
    </row>
    <row r="211">
      <c r="A211" s="0" t="s">
        <v>551</v>
      </c>
      <c r="B211" s="0" t="s">
        <v>33</v>
      </c>
      <c r="C211" s="0" t="s">
        <v>369</v>
      </c>
      <c r="D211" s="0" t="s">
        <v>33</v>
      </c>
    </row>
    <row r="212">
      <c r="A212" s="0" t="s">
        <v>321</v>
      </c>
      <c r="B212" s="0" t="s">
        <v>552</v>
      </c>
    </row>
    <row r="213">
      <c r="A213" s="0" t="s">
        <v>553</v>
      </c>
      <c r="B213" s="0" t="s">
        <v>361</v>
      </c>
      <c r="C213" s="0" t="s">
        <v>554</v>
      </c>
      <c r="D213" s="0" t="s">
        <v>554</v>
      </c>
      <c r="E213" s="0" t="s">
        <v>33</v>
      </c>
      <c r="F213" s="0" t="s">
        <v>33</v>
      </c>
    </row>
    <row r="214">
      <c r="A214" s="0" t="s">
        <v>322</v>
      </c>
      <c r="B214" s="0" t="s">
        <v>436</v>
      </c>
    </row>
    <row r="215">
      <c r="A215" s="0" t="s">
        <v>323</v>
      </c>
      <c r="B215" s="0" t="s">
        <v>380</v>
      </c>
    </row>
    <row r="216">
      <c r="A216" s="0" t="s">
        <v>324</v>
      </c>
      <c r="B216" s="0" t="s">
        <v>415</v>
      </c>
      <c r="C216" s="0" t="s">
        <v>555</v>
      </c>
    </row>
    <row r="217">
      <c r="A217" s="0" t="s">
        <v>556</v>
      </c>
      <c r="B217" s="0" t="s">
        <v>366</v>
      </c>
      <c r="C217" s="0" t="s">
        <v>406</v>
      </c>
      <c r="D217" s="0" t="s">
        <v>366</v>
      </c>
    </row>
    <row r="218">
      <c r="A218" s="0" t="s">
        <v>325</v>
      </c>
      <c r="B218" s="0" t="s">
        <v>366</v>
      </c>
      <c r="C218" s="0" t="s">
        <v>361</v>
      </c>
      <c r="D218" s="0" t="s">
        <v>366</v>
      </c>
    </row>
    <row r="219">
      <c r="A219" s="0" t="s">
        <v>326</v>
      </c>
      <c r="B219" s="0" t="s">
        <v>505</v>
      </c>
      <c r="C219" s="0" t="s">
        <v>375</v>
      </c>
      <c r="D219" s="0" t="s">
        <v>375</v>
      </c>
    </row>
    <row r="220">
      <c r="A220" s="0" t="s">
        <v>327</v>
      </c>
      <c r="B220" s="0" t="s">
        <v>369</v>
      </c>
      <c r="C220" s="0" t="s">
        <v>557</v>
      </c>
      <c r="D220" s="0" t="s">
        <v>557</v>
      </c>
      <c r="E220" s="0" t="s">
        <v>33</v>
      </c>
      <c r="F220" s="0" t="s">
        <v>33</v>
      </c>
    </row>
    <row r="221">
      <c r="A221" s="0" t="s">
        <v>328</v>
      </c>
      <c r="B221" s="0" t="s">
        <v>369</v>
      </c>
      <c r="C221" s="0" t="s">
        <v>33</v>
      </c>
      <c r="D221" s="0" t="s">
        <v>33</v>
      </c>
      <c r="E221" s="0" t="s">
        <v>33</v>
      </c>
      <c r="F221" s="0" t="s">
        <v>33</v>
      </c>
    </row>
    <row r="222">
      <c r="A222" s="0" t="s">
        <v>558</v>
      </c>
      <c r="B222" s="0" t="s">
        <v>377</v>
      </c>
      <c r="C222" s="0" t="s">
        <v>361</v>
      </c>
      <c r="D222" s="0" t="s">
        <v>377</v>
      </c>
    </row>
    <row r="223">
      <c r="A223" s="0" t="s">
        <v>329</v>
      </c>
      <c r="B223" s="0" t="s">
        <v>377</v>
      </c>
      <c r="C223" s="0" t="s">
        <v>377</v>
      </c>
      <c r="D223" s="0" t="s">
        <v>361</v>
      </c>
    </row>
    <row r="224">
      <c r="A224" s="0" t="s">
        <v>330</v>
      </c>
      <c r="B224" s="0" t="s">
        <v>369</v>
      </c>
      <c r="C224" s="0" t="s">
        <v>375</v>
      </c>
      <c r="D224" s="0" t="s">
        <v>375</v>
      </c>
    </row>
    <row r="225">
      <c r="A225" s="0" t="s">
        <v>331</v>
      </c>
      <c r="B225" s="0" t="s">
        <v>366</v>
      </c>
      <c r="C225" s="0" t="s">
        <v>539</v>
      </c>
    </row>
    <row r="226">
      <c r="A226" s="0" t="s">
        <v>559</v>
      </c>
      <c r="B226" s="0" t="s">
        <v>375</v>
      </c>
    </row>
    <row r="227">
      <c r="A227" s="0" t="s">
        <v>332</v>
      </c>
      <c r="B227" s="0" t="s">
        <v>361</v>
      </c>
    </row>
    <row r="228">
      <c r="A228" s="0" t="s">
        <v>560</v>
      </c>
      <c r="B228" s="0" t="s">
        <v>375</v>
      </c>
      <c r="C228" s="0" t="s">
        <v>361</v>
      </c>
    </row>
    <row r="229">
      <c r="A229" s="0" t="s">
        <v>333</v>
      </c>
      <c r="B229" s="0" t="s">
        <v>377</v>
      </c>
      <c r="C229" s="0" t="s">
        <v>361</v>
      </c>
    </row>
    <row r="230">
      <c r="A230" s="0" t="s">
        <v>334</v>
      </c>
      <c r="B230" s="0" t="s">
        <v>377</v>
      </c>
      <c r="C230" s="0" t="s">
        <v>377</v>
      </c>
      <c r="D230" s="0" t="s">
        <v>361</v>
      </c>
    </row>
    <row r="231">
      <c r="A231" s="0" t="s">
        <v>561</v>
      </c>
      <c r="B231" s="0" t="s">
        <v>375</v>
      </c>
      <c r="C231" s="0" t="s">
        <v>361</v>
      </c>
      <c r="D231" s="0" t="s">
        <v>375</v>
      </c>
    </row>
    <row r="232">
      <c r="A232" s="0" t="s">
        <v>335</v>
      </c>
      <c r="B232" s="0" t="s">
        <v>377</v>
      </c>
      <c r="C232" s="0" t="s">
        <v>377</v>
      </c>
      <c r="D232" s="0" t="s">
        <v>361</v>
      </c>
    </row>
    <row r="233">
      <c r="A233" s="0" t="s">
        <v>336</v>
      </c>
      <c r="B233" s="0" t="s">
        <v>377</v>
      </c>
      <c r="C233" s="0" t="s">
        <v>377</v>
      </c>
      <c r="D233" s="0" t="s">
        <v>361</v>
      </c>
    </row>
    <row r="234">
      <c r="A234" s="0" t="s">
        <v>562</v>
      </c>
      <c r="B234" s="0" t="s">
        <v>361</v>
      </c>
      <c r="C234" s="0" t="s">
        <v>377</v>
      </c>
    </row>
    <row r="235">
      <c r="A235" s="0" t="s">
        <v>563</v>
      </c>
      <c r="B235" s="0" t="s">
        <v>361</v>
      </c>
      <c r="C235" s="0" t="s">
        <v>377</v>
      </c>
    </row>
    <row r="236">
      <c r="A236" s="0" t="s">
        <v>564</v>
      </c>
      <c r="B236" s="0" t="s">
        <v>365</v>
      </c>
      <c r="C236" s="0" t="s">
        <v>366</v>
      </c>
    </row>
    <row r="237">
      <c r="A237" s="0" t="s">
        <v>565</v>
      </c>
      <c r="B237" s="0" t="s">
        <v>566</v>
      </c>
    </row>
    <row r="238">
      <c r="A238" s="0" t="s">
        <v>567</v>
      </c>
      <c r="B238" s="0" t="s">
        <v>511</v>
      </c>
      <c r="C238" s="0" t="s">
        <v>511</v>
      </c>
      <c r="D238" s="0" t="s">
        <v>375</v>
      </c>
      <c r="E238" s="0" t="s">
        <v>375</v>
      </c>
    </row>
    <row r="239">
      <c r="A239" s="0" t="s">
        <v>337</v>
      </c>
      <c r="B239" s="0" t="s">
        <v>361</v>
      </c>
    </row>
    <row r="240">
      <c r="A240" s="0" t="s">
        <v>338</v>
      </c>
      <c r="B240" s="0" t="s">
        <v>366</v>
      </c>
    </row>
    <row r="241">
      <c r="A241" s="0" t="s">
        <v>339</v>
      </c>
      <c r="B241" s="0" t="s">
        <v>366</v>
      </c>
    </row>
    <row r="242">
      <c r="A242" s="0" t="s">
        <v>340</v>
      </c>
      <c r="B242" s="0" t="s">
        <v>366</v>
      </c>
    </row>
    <row r="243">
      <c r="A243" s="0" t="s">
        <v>568</v>
      </c>
      <c r="B243" s="0" t="s">
        <v>375</v>
      </c>
    </row>
    <row r="244">
      <c r="A244" s="0" t="s">
        <v>341</v>
      </c>
      <c r="B244" s="0" t="s">
        <v>415</v>
      </c>
      <c r="C244" s="0" t="s">
        <v>366</v>
      </c>
      <c r="D244" s="0" t="s">
        <v>415</v>
      </c>
      <c r="E244" s="0" t="s">
        <v>366</v>
      </c>
    </row>
    <row r="245">
      <c r="A245" s="0" t="s">
        <v>342</v>
      </c>
      <c r="B245" s="0" t="s">
        <v>406</v>
      </c>
      <c r="C245" s="0" t="s">
        <v>406</v>
      </c>
    </row>
    <row r="246">
      <c r="A246" s="0" t="s">
        <v>569</v>
      </c>
      <c r="B246" s="0" t="s">
        <v>415</v>
      </c>
      <c r="C246" s="0" t="s">
        <v>366</v>
      </c>
    </row>
    <row r="247">
      <c r="A247" s="0" t="s">
        <v>343</v>
      </c>
      <c r="B247" s="0" t="s">
        <v>366</v>
      </c>
      <c r="C247" s="0" t="s">
        <v>415</v>
      </c>
      <c r="D247" s="0" t="s">
        <v>366</v>
      </c>
    </row>
    <row r="248">
      <c r="A248" s="0" t="s">
        <v>344</v>
      </c>
      <c r="B248" s="0" t="s">
        <v>366</v>
      </c>
      <c r="C248" s="0" t="s">
        <v>366</v>
      </c>
      <c r="D248" s="0" t="s">
        <v>415</v>
      </c>
    </row>
    <row r="249">
      <c r="A249" s="0" t="s">
        <v>570</v>
      </c>
      <c r="B249" s="0" t="s">
        <v>511</v>
      </c>
      <c r="C249" s="0" t="s">
        <v>511</v>
      </c>
      <c r="D249" s="0" t="s">
        <v>511</v>
      </c>
      <c r="E249" s="0" t="s">
        <v>33</v>
      </c>
      <c r="F249" s="0" t="s">
        <v>33</v>
      </c>
      <c r="G249" s="0" t="s">
        <v>33</v>
      </c>
      <c r="H249" s="0" t="s">
        <v>33</v>
      </c>
      <c r="I249" s="0" t="s">
        <v>33</v>
      </c>
      <c r="J249" s="0" t="s">
        <v>33</v>
      </c>
    </row>
    <row r="250">
      <c r="A250" s="0" t="s">
        <v>345</v>
      </c>
      <c r="B250" s="0" t="s">
        <v>511</v>
      </c>
      <c r="C250" s="0" t="s">
        <v>511</v>
      </c>
      <c r="D250" s="0" t="s">
        <v>33</v>
      </c>
      <c r="E250" s="0" t="s">
        <v>33</v>
      </c>
      <c r="F250" s="0" t="s">
        <v>33</v>
      </c>
      <c r="G250" s="0" t="s">
        <v>33</v>
      </c>
    </row>
    <row r="251">
      <c r="A251" s="0" t="s">
        <v>347</v>
      </c>
      <c r="B251" s="0" t="s">
        <v>511</v>
      </c>
      <c r="C251" s="0" t="s">
        <v>511</v>
      </c>
      <c r="D251" s="0" t="s">
        <v>554</v>
      </c>
      <c r="E251" s="0" t="s">
        <v>554</v>
      </c>
      <c r="F251" s="0" t="s">
        <v>539</v>
      </c>
      <c r="G251" s="0" t="s">
        <v>371</v>
      </c>
      <c r="H251" s="0" t="s">
        <v>371</v>
      </c>
      <c r="I251" s="0" t="s">
        <v>539</v>
      </c>
    </row>
    <row r="252">
      <c r="A252" s="0" t="s">
        <v>348</v>
      </c>
      <c r="B252" s="0" t="s">
        <v>511</v>
      </c>
      <c r="C252" s="0" t="s">
        <v>511</v>
      </c>
      <c r="D252" s="0" t="s">
        <v>554</v>
      </c>
      <c r="E252" s="0" t="s">
        <v>554</v>
      </c>
      <c r="F252" s="0" t="s">
        <v>539</v>
      </c>
      <c r="G252" s="0" t="s">
        <v>371</v>
      </c>
      <c r="H252" s="0" t="s">
        <v>539</v>
      </c>
      <c r="I252" s="0" t="s">
        <v>371</v>
      </c>
    </row>
    <row r="253">
      <c r="A253" s="0" t="s">
        <v>349</v>
      </c>
      <c r="B253" s="0" t="s">
        <v>511</v>
      </c>
      <c r="C253" s="0" t="s">
        <v>554</v>
      </c>
      <c r="D253" s="0" t="s">
        <v>554</v>
      </c>
      <c r="E253" s="0" t="s">
        <v>33</v>
      </c>
      <c r="F253" s="0" t="s">
        <v>33</v>
      </c>
    </row>
    <row r="254">
      <c r="A254" s="0" t="s">
        <v>350</v>
      </c>
      <c r="B254" s="0" t="s">
        <v>511</v>
      </c>
      <c r="C254" s="0" t="s">
        <v>33</v>
      </c>
      <c r="D254" s="0" t="s">
        <v>33</v>
      </c>
      <c r="E254" s="0" t="s">
        <v>33</v>
      </c>
      <c r="F254" s="0" t="s">
        <v>33</v>
      </c>
    </row>
    <row r="255">
      <c r="A255" s="0" t="s">
        <v>351</v>
      </c>
      <c r="B255" s="0" t="s">
        <v>511</v>
      </c>
      <c r="C255" s="0" t="s">
        <v>33</v>
      </c>
      <c r="D255" s="0" t="s">
        <v>33</v>
      </c>
      <c r="E255" s="0" t="s">
        <v>33</v>
      </c>
      <c r="F255" s="0" t="s">
        <v>33</v>
      </c>
    </row>
    <row r="256">
      <c r="A256" s="0" t="s">
        <v>571</v>
      </c>
      <c r="B256" s="0" t="s">
        <v>511</v>
      </c>
      <c r="C256" s="0" t="s">
        <v>511</v>
      </c>
      <c r="D256" s="0" t="s">
        <v>33</v>
      </c>
      <c r="E256" s="0" t="s">
        <v>371</v>
      </c>
      <c r="F256" s="0" t="s">
        <v>371</v>
      </c>
      <c r="G256" s="0" t="s">
        <v>33</v>
      </c>
    </row>
    <row r="257">
      <c r="A257" s="0" t="s">
        <v>352</v>
      </c>
      <c r="B257" s="0" t="s">
        <v>415</v>
      </c>
      <c r="C257" s="0" t="s">
        <v>377</v>
      </c>
      <c r="D257" s="0" t="s">
        <v>377</v>
      </c>
    </row>
    <row r="258">
      <c r="A258" s="0" t="s">
        <v>353</v>
      </c>
      <c r="B258" s="0" t="s">
        <v>366</v>
      </c>
      <c r="C258" s="0" t="s">
        <v>415</v>
      </c>
      <c r="D258" s="0" t="s">
        <v>366</v>
      </c>
      <c r="E258" s="0" t="s">
        <v>415</v>
      </c>
    </row>
    <row r="259">
      <c r="A259" s="0" t="s">
        <v>354</v>
      </c>
      <c r="B259" s="0" t="s">
        <v>361</v>
      </c>
      <c r="C259" s="0" t="s">
        <v>366</v>
      </c>
      <c r="D259" s="0" t="s">
        <v>366</v>
      </c>
    </row>
    <row r="260">
      <c r="A260" s="0" t="s">
        <v>355</v>
      </c>
      <c r="B260" s="0" t="s">
        <v>361</v>
      </c>
      <c r="C260" s="0" t="s">
        <v>366</v>
      </c>
      <c r="D260" s="0" t="s">
        <v>366</v>
      </c>
    </row>
    <row r="261">
      <c r="A261" s="0" t="s">
        <v>572</v>
      </c>
      <c r="B261" s="0" t="s">
        <v>369</v>
      </c>
      <c r="C261" s="0" t="s">
        <v>375</v>
      </c>
      <c r="D261" s="0" t="s">
        <v>375</v>
      </c>
    </row>
    <row r="262">
      <c r="A262" s="0" t="s">
        <v>356</v>
      </c>
      <c r="B262" s="0" t="s">
        <v>369</v>
      </c>
      <c r="C262" s="0" t="s">
        <v>369</v>
      </c>
      <c r="D262" s="0" t="s">
        <v>375</v>
      </c>
      <c r="E262" s="0" t="s">
        <v>375</v>
      </c>
      <c r="F262" s="0" t="s">
        <v>375</v>
      </c>
      <c r="G262" s="0" t="s">
        <v>375</v>
      </c>
    </row>
    <row r="263">
      <c r="A263" s="0" t="s">
        <v>573</v>
      </c>
      <c r="B263" s="0" t="s">
        <v>366</v>
      </c>
      <c r="C263" s="0" t="s">
        <v>406</v>
      </c>
      <c r="D263" s="0" t="s">
        <v>366</v>
      </c>
      <c r="E263" s="0" t="s">
        <v>406</v>
      </c>
    </row>
    <row r="264">
      <c r="A264" s="0" t="s">
        <v>357</v>
      </c>
      <c r="B264" s="0" t="s">
        <v>386</v>
      </c>
      <c r="C264" s="0" t="s">
        <v>380</v>
      </c>
      <c r="D264" s="0" t="s">
        <v>386</v>
      </c>
      <c r="E264" s="0" t="s">
        <v>380</v>
      </c>
      <c r="F264" s="0" t="s">
        <v>449</v>
      </c>
    </row>
    <row r="265">
      <c r="A265" s="0" t="s">
        <v>358</v>
      </c>
      <c r="B265" s="0" t="s">
        <v>33</v>
      </c>
    </row>
    <row r="266">
      <c r="A266" s="0" t="s">
        <v>359</v>
      </c>
      <c r="B266" s="0" t="s">
        <v>33</v>
      </c>
    </row>
    <row r="267">
      <c r="A267" s="0" t="s">
        <v>574</v>
      </c>
      <c r="B267" s="0" t="s">
        <v>33</v>
      </c>
      <c r="C267" s="0" t="s">
        <v>33</v>
      </c>
    </row>
    <row r="268">
      <c r="A268" s="0" t="s">
        <v>360</v>
      </c>
      <c r="B268" s="0" t="s">
        <v>366</v>
      </c>
    </row>
    <row r="269">
      <c r="A269" s="0" t="s">
        <v>575</v>
      </c>
      <c r="B269" s="0" t="s">
        <v>544</v>
      </c>
    </row>
  </sheetData>
  <headerFooter/>
</worksheet>
</file>

<file path=xl/worksheets/sheet32.xml><?xml version="1.0" encoding="utf-8"?>
<worksheet xmlns:r="http://schemas.openxmlformats.org/officeDocument/2006/relationships" xmlns="http://schemas.openxmlformats.org/spreadsheetml/2006/main" xmlns:xr="http://schemas.microsoft.com/office/spreadsheetml/2014/revision" xmlns:mc="http://schemas.openxmlformats.org/markup-compatibility/2006" mc:Ignorable="xr">
  <sheetPr codeName="AntennasPortName"/>
  <dimension ref="A1:J269"/>
  <sheetViews>
    <sheetView workbookViewId="0"/>
  </sheetViews>
  <sheetFormatPr defaultRowHeight="15"/>
  <sheetData>
    <row r="1">
      <c r="A1" s="0" t="s">
        <v>246</v>
      </c>
      <c r="B1" s="0" t="s">
        <v>965</v>
      </c>
      <c r="C1" s="0" t="s">
        <v>966</v>
      </c>
    </row>
    <row r="2">
      <c r="A2" s="0" t="s">
        <v>247</v>
      </c>
      <c r="B2" s="0" t="s">
        <v>967</v>
      </c>
      <c r="C2" s="0" t="s">
        <v>968</v>
      </c>
    </row>
    <row r="3">
      <c r="A3" s="0" t="s">
        <v>363</v>
      </c>
      <c r="B3" s="0" t="s">
        <v>544</v>
      </c>
    </row>
    <row r="4">
      <c r="A4" s="0" t="s">
        <v>364</v>
      </c>
      <c r="B4" s="0" t="s">
        <v>544</v>
      </c>
      <c r="C4" s="0" t="s">
        <v>544</v>
      </c>
    </row>
    <row r="5">
      <c r="A5" s="0" t="s">
        <v>367</v>
      </c>
      <c r="B5" s="0" t="s">
        <v>544</v>
      </c>
      <c r="C5" s="0" t="s">
        <v>544</v>
      </c>
      <c r="D5" s="0" t="s">
        <v>544</v>
      </c>
    </row>
    <row r="6">
      <c r="A6" s="0" t="s">
        <v>368</v>
      </c>
      <c r="B6" s="0" t="s">
        <v>969</v>
      </c>
      <c r="C6" s="0" t="s">
        <v>970</v>
      </c>
      <c r="D6" s="0" t="s">
        <v>971</v>
      </c>
      <c r="E6" s="0" t="s">
        <v>972</v>
      </c>
    </row>
    <row r="7">
      <c r="A7" s="0" t="s">
        <v>370</v>
      </c>
      <c r="B7" s="0" t="s">
        <v>972</v>
      </c>
      <c r="C7" s="0" t="s">
        <v>970</v>
      </c>
      <c r="D7" s="0" t="s">
        <v>971</v>
      </c>
      <c r="E7" s="0" t="s">
        <v>969</v>
      </c>
    </row>
    <row r="8">
      <c r="A8" s="0" t="s">
        <v>372</v>
      </c>
      <c r="B8" s="0" t="s">
        <v>973</v>
      </c>
      <c r="C8" s="0" t="s">
        <v>970</v>
      </c>
      <c r="D8" s="0" t="s">
        <v>969</v>
      </c>
      <c r="E8" s="0" t="s">
        <v>971</v>
      </c>
      <c r="F8" s="0" t="s">
        <v>972</v>
      </c>
    </row>
    <row r="9">
      <c r="A9" s="0" t="s">
        <v>373</v>
      </c>
      <c r="B9" s="0" t="s">
        <v>974</v>
      </c>
      <c r="C9" s="0" t="s">
        <v>973</v>
      </c>
      <c r="D9" s="0" t="s">
        <v>970</v>
      </c>
      <c r="E9" s="0" t="s">
        <v>969</v>
      </c>
      <c r="F9" s="0" t="s">
        <v>971</v>
      </c>
      <c r="G9" s="0" t="s">
        <v>972</v>
      </c>
    </row>
    <row r="10">
      <c r="A10" s="0" t="s">
        <v>248</v>
      </c>
      <c r="B10" s="0" t="s">
        <v>975</v>
      </c>
      <c r="C10" s="0" t="s">
        <v>976</v>
      </c>
      <c r="D10" s="0" t="s">
        <v>977</v>
      </c>
      <c r="E10" s="0" t="s">
        <v>978</v>
      </c>
      <c r="F10" s="0" t="s">
        <v>979</v>
      </c>
    </row>
    <row r="11">
      <c r="A11" s="0" t="s">
        <v>376</v>
      </c>
      <c r="B11" s="0" t="s">
        <v>544</v>
      </c>
      <c r="C11" s="0" t="s">
        <v>544</v>
      </c>
      <c r="D11" s="0" t="s">
        <v>544</v>
      </c>
      <c r="E11" s="0" t="s">
        <v>544</v>
      </c>
      <c r="F11" s="0" t="s">
        <v>544</v>
      </c>
    </row>
    <row r="12">
      <c r="A12" s="0" t="s">
        <v>378</v>
      </c>
      <c r="B12" s="0" t="s">
        <v>544</v>
      </c>
    </row>
    <row r="13">
      <c r="A13" s="0" t="s">
        <v>379</v>
      </c>
      <c r="B13" s="0" t="s">
        <v>544</v>
      </c>
    </row>
    <row r="14">
      <c r="A14" s="0" t="s">
        <v>381</v>
      </c>
      <c r="B14" s="0" t="s">
        <v>544</v>
      </c>
    </row>
    <row r="15">
      <c r="A15" s="0" t="s">
        <v>382</v>
      </c>
      <c r="B15" s="0" t="s">
        <v>544</v>
      </c>
    </row>
    <row r="16">
      <c r="A16" s="0" t="s">
        <v>383</v>
      </c>
      <c r="B16" s="0" t="s">
        <v>544</v>
      </c>
    </row>
    <row r="17">
      <c r="A17" s="0" t="s">
        <v>385</v>
      </c>
      <c r="B17" s="0" t="s">
        <v>544</v>
      </c>
    </row>
    <row r="18">
      <c r="A18" s="0" t="s">
        <v>387</v>
      </c>
      <c r="B18" s="0" t="s">
        <v>544</v>
      </c>
    </row>
    <row r="19">
      <c r="A19" s="0" t="s">
        <v>388</v>
      </c>
      <c r="B19" s="0" t="s">
        <v>544</v>
      </c>
    </row>
    <row r="20">
      <c r="A20" s="0" t="s">
        <v>390</v>
      </c>
      <c r="B20" s="0" t="s">
        <v>544</v>
      </c>
    </row>
    <row r="21">
      <c r="A21" s="0" t="s">
        <v>392</v>
      </c>
      <c r="B21" s="0" t="s">
        <v>544</v>
      </c>
    </row>
    <row r="22">
      <c r="A22" s="0" t="s">
        <v>394</v>
      </c>
      <c r="B22" s="0" t="s">
        <v>544</v>
      </c>
    </row>
    <row r="23">
      <c r="A23" s="0" t="s">
        <v>396</v>
      </c>
      <c r="B23" s="0" t="s">
        <v>544</v>
      </c>
    </row>
    <row r="24">
      <c r="A24" s="0" t="s">
        <v>398</v>
      </c>
      <c r="B24" s="0" t="s">
        <v>544</v>
      </c>
    </row>
    <row r="25">
      <c r="A25" s="0" t="s">
        <v>400</v>
      </c>
      <c r="B25" s="0" t="s">
        <v>544</v>
      </c>
    </row>
    <row r="26">
      <c r="A26" s="0" t="s">
        <v>401</v>
      </c>
      <c r="B26" s="0" t="s">
        <v>544</v>
      </c>
    </row>
    <row r="27">
      <c r="A27" s="0" t="s">
        <v>403</v>
      </c>
      <c r="B27" s="0" t="s">
        <v>544</v>
      </c>
    </row>
    <row r="28">
      <c r="A28" s="0" t="s">
        <v>405</v>
      </c>
      <c r="B28" s="0" t="s">
        <v>544</v>
      </c>
    </row>
    <row r="29">
      <c r="A29" s="0" t="s">
        <v>407</v>
      </c>
      <c r="B29" s="0" t="s">
        <v>544</v>
      </c>
    </row>
    <row r="30">
      <c r="A30" s="0" t="s">
        <v>408</v>
      </c>
      <c r="B30" s="0" t="s">
        <v>544</v>
      </c>
    </row>
    <row r="31">
      <c r="A31" s="0" t="s">
        <v>409</v>
      </c>
      <c r="B31" s="0" t="s">
        <v>544</v>
      </c>
    </row>
    <row r="32">
      <c r="A32" s="0" t="s">
        <v>410</v>
      </c>
      <c r="B32" s="0" t="s">
        <v>544</v>
      </c>
    </row>
    <row r="33">
      <c r="A33" s="0" t="s">
        <v>411</v>
      </c>
      <c r="B33" s="0" t="s">
        <v>544</v>
      </c>
    </row>
    <row r="34">
      <c r="A34" s="0" t="s">
        <v>412</v>
      </c>
      <c r="B34" s="0" t="s">
        <v>544</v>
      </c>
    </row>
    <row r="35">
      <c r="A35" s="0" t="s">
        <v>413</v>
      </c>
      <c r="B35" s="0" t="s">
        <v>544</v>
      </c>
    </row>
    <row r="36">
      <c r="A36" s="0" t="s">
        <v>414</v>
      </c>
      <c r="B36" s="0" t="s">
        <v>544</v>
      </c>
    </row>
    <row r="37">
      <c r="A37" s="0" t="s">
        <v>416</v>
      </c>
      <c r="B37" s="0" t="s">
        <v>544</v>
      </c>
    </row>
    <row r="38">
      <c r="A38" s="0" t="s">
        <v>417</v>
      </c>
      <c r="B38" s="0" t="s">
        <v>544</v>
      </c>
    </row>
    <row r="39">
      <c r="A39" s="0" t="s">
        <v>418</v>
      </c>
      <c r="B39" s="0" t="s">
        <v>544</v>
      </c>
    </row>
    <row r="40">
      <c r="A40" s="0" t="s">
        <v>419</v>
      </c>
      <c r="B40" s="0" t="s">
        <v>544</v>
      </c>
    </row>
    <row r="41">
      <c r="A41" s="0" t="s">
        <v>420</v>
      </c>
      <c r="B41" s="0" t="s">
        <v>544</v>
      </c>
    </row>
    <row r="42">
      <c r="A42" s="0" t="s">
        <v>421</v>
      </c>
      <c r="B42" s="0" t="s">
        <v>544</v>
      </c>
    </row>
    <row r="43">
      <c r="A43" s="0" t="s">
        <v>422</v>
      </c>
      <c r="B43" s="0" t="s">
        <v>544</v>
      </c>
    </row>
    <row r="44">
      <c r="A44" s="0" t="s">
        <v>424</v>
      </c>
      <c r="B44" s="0" t="s">
        <v>544</v>
      </c>
    </row>
    <row r="45">
      <c r="A45" s="0" t="s">
        <v>425</v>
      </c>
      <c r="B45" s="0" t="s">
        <v>544</v>
      </c>
    </row>
    <row r="46">
      <c r="A46" s="0" t="s">
        <v>426</v>
      </c>
      <c r="B46" s="0" t="s">
        <v>544</v>
      </c>
    </row>
    <row r="47">
      <c r="A47" s="0" t="s">
        <v>427</v>
      </c>
      <c r="B47" s="0" t="s">
        <v>544</v>
      </c>
    </row>
    <row r="48">
      <c r="A48" s="0" t="s">
        <v>428</v>
      </c>
      <c r="B48" s="0" t="s">
        <v>544</v>
      </c>
    </row>
    <row r="49">
      <c r="A49" s="0" t="s">
        <v>430</v>
      </c>
      <c r="B49" s="0" t="s">
        <v>544</v>
      </c>
    </row>
    <row r="50">
      <c r="A50" s="0" t="s">
        <v>432</v>
      </c>
      <c r="B50" s="0" t="s">
        <v>544</v>
      </c>
    </row>
    <row r="51">
      <c r="A51" s="0" t="s">
        <v>249</v>
      </c>
      <c r="B51" s="0" t="s">
        <v>544</v>
      </c>
    </row>
    <row r="52">
      <c r="A52" s="0" t="s">
        <v>435</v>
      </c>
      <c r="B52" s="0" t="s">
        <v>544</v>
      </c>
    </row>
    <row r="53">
      <c r="A53" s="0" t="s">
        <v>437</v>
      </c>
      <c r="B53" s="0" t="s">
        <v>544</v>
      </c>
    </row>
    <row r="54">
      <c r="A54" s="0" t="s">
        <v>438</v>
      </c>
      <c r="B54" s="0" t="s">
        <v>544</v>
      </c>
    </row>
    <row r="55">
      <c r="A55" s="0" t="s">
        <v>439</v>
      </c>
      <c r="B55" s="0" t="s">
        <v>544</v>
      </c>
    </row>
    <row r="56">
      <c r="A56" s="0" t="s">
        <v>440</v>
      </c>
      <c r="B56" s="0" t="s">
        <v>544</v>
      </c>
    </row>
    <row r="57">
      <c r="A57" s="0" t="s">
        <v>250</v>
      </c>
      <c r="B57" s="0" t="s">
        <v>544</v>
      </c>
    </row>
    <row r="58">
      <c r="A58" s="0" t="s">
        <v>442</v>
      </c>
      <c r="B58" s="0" t="s">
        <v>544</v>
      </c>
    </row>
    <row r="59">
      <c r="A59" s="0" t="s">
        <v>444</v>
      </c>
      <c r="B59" s="0" t="s">
        <v>544</v>
      </c>
      <c r="C59" s="0" t="s">
        <v>544</v>
      </c>
    </row>
    <row r="60">
      <c r="A60" s="0" t="s">
        <v>445</v>
      </c>
      <c r="B60" s="0" t="s">
        <v>544</v>
      </c>
      <c r="C60" s="0" t="s">
        <v>544</v>
      </c>
      <c r="D60" s="0" t="s">
        <v>544</v>
      </c>
    </row>
    <row r="61">
      <c r="A61" s="0" t="s">
        <v>251</v>
      </c>
      <c r="B61" s="0" t="s">
        <v>544</v>
      </c>
      <c r="C61" s="0" t="s">
        <v>544</v>
      </c>
    </row>
    <row r="62">
      <c r="A62" s="0" t="s">
        <v>446</v>
      </c>
      <c r="B62" s="0" t="s">
        <v>544</v>
      </c>
      <c r="C62" s="0" t="s">
        <v>544</v>
      </c>
    </row>
    <row r="63">
      <c r="A63" s="0" t="s">
        <v>252</v>
      </c>
      <c r="B63" s="0" t="s">
        <v>544</v>
      </c>
      <c r="C63" s="0" t="s">
        <v>544</v>
      </c>
    </row>
    <row r="64">
      <c r="A64" s="0" t="s">
        <v>447</v>
      </c>
      <c r="B64" s="0" t="s">
        <v>544</v>
      </c>
      <c r="C64" s="0" t="s">
        <v>544</v>
      </c>
    </row>
    <row r="65">
      <c r="A65" s="0" t="s">
        <v>253</v>
      </c>
      <c r="B65" s="0" t="s">
        <v>544</v>
      </c>
      <c r="C65" s="0" t="s">
        <v>544</v>
      </c>
    </row>
    <row r="66">
      <c r="A66" s="0" t="s">
        <v>254</v>
      </c>
      <c r="B66" s="0" t="s">
        <v>544</v>
      </c>
      <c r="C66" s="0" t="s">
        <v>544</v>
      </c>
    </row>
    <row r="67">
      <c r="A67" s="0" t="s">
        <v>255</v>
      </c>
      <c r="B67" s="0" t="s">
        <v>544</v>
      </c>
      <c r="C67" s="0" t="s">
        <v>544</v>
      </c>
    </row>
    <row r="68">
      <c r="A68" s="0" t="s">
        <v>448</v>
      </c>
      <c r="B68" s="0" t="s">
        <v>544</v>
      </c>
      <c r="C68" s="0" t="s">
        <v>544</v>
      </c>
      <c r="D68" s="0" t="s">
        <v>544</v>
      </c>
    </row>
    <row r="69">
      <c r="A69" s="0" t="s">
        <v>256</v>
      </c>
      <c r="B69" s="0" t="s">
        <v>544</v>
      </c>
      <c r="C69" s="0" t="s">
        <v>544</v>
      </c>
      <c r="D69" s="0" t="s">
        <v>544</v>
      </c>
    </row>
    <row r="70">
      <c r="A70" s="0" t="s">
        <v>450</v>
      </c>
      <c r="B70" s="0" t="s">
        <v>544</v>
      </c>
      <c r="C70" s="0" t="s">
        <v>544</v>
      </c>
      <c r="D70" s="0" t="s">
        <v>544</v>
      </c>
    </row>
    <row r="71">
      <c r="A71" s="0" t="s">
        <v>451</v>
      </c>
      <c r="B71" s="0" t="s">
        <v>544</v>
      </c>
      <c r="C71" s="0" t="s">
        <v>544</v>
      </c>
      <c r="D71" s="0" t="s">
        <v>544</v>
      </c>
    </row>
    <row r="72">
      <c r="A72" s="0" t="s">
        <v>452</v>
      </c>
      <c r="B72" s="0" t="s">
        <v>544</v>
      </c>
      <c r="C72" s="0" t="s">
        <v>544</v>
      </c>
      <c r="D72" s="0" t="s">
        <v>544</v>
      </c>
    </row>
    <row r="73">
      <c r="A73" s="0" t="s">
        <v>453</v>
      </c>
      <c r="B73" s="0" t="s">
        <v>544</v>
      </c>
    </row>
    <row r="74">
      <c r="A74" s="0" t="s">
        <v>455</v>
      </c>
      <c r="B74" s="0" t="s">
        <v>544</v>
      </c>
      <c r="C74" s="0" t="s">
        <v>544</v>
      </c>
    </row>
    <row r="75">
      <c r="A75" s="0" t="s">
        <v>257</v>
      </c>
      <c r="B75" s="0" t="s">
        <v>544</v>
      </c>
      <c r="C75" s="0" t="s">
        <v>544</v>
      </c>
    </row>
    <row r="76">
      <c r="A76" s="0" t="s">
        <v>456</v>
      </c>
      <c r="B76" s="0" t="s">
        <v>544</v>
      </c>
    </row>
    <row r="77">
      <c r="A77" s="0" t="s">
        <v>457</v>
      </c>
      <c r="B77" s="0" t="s">
        <v>544</v>
      </c>
    </row>
    <row r="78">
      <c r="A78" s="0" t="s">
        <v>459</v>
      </c>
      <c r="B78" s="0" t="s">
        <v>544</v>
      </c>
    </row>
    <row r="79">
      <c r="A79" s="0" t="s">
        <v>460</v>
      </c>
      <c r="B79" s="0" t="s">
        <v>544</v>
      </c>
    </row>
    <row r="80">
      <c r="A80" s="0" t="s">
        <v>462</v>
      </c>
      <c r="B80" s="0" t="s">
        <v>544</v>
      </c>
    </row>
    <row r="81">
      <c r="A81" s="0" t="s">
        <v>464</v>
      </c>
      <c r="B81" s="0" t="s">
        <v>544</v>
      </c>
      <c r="C81" s="0" t="s">
        <v>544</v>
      </c>
    </row>
    <row r="82">
      <c r="A82" s="0" t="s">
        <v>258</v>
      </c>
      <c r="B82" s="0" t="s">
        <v>544</v>
      </c>
      <c r="C82" s="0" t="s">
        <v>544</v>
      </c>
      <c r="D82" s="0" t="s">
        <v>544</v>
      </c>
    </row>
    <row r="83">
      <c r="A83" s="0" t="s">
        <v>465</v>
      </c>
      <c r="B83" s="0" t="s">
        <v>544</v>
      </c>
      <c r="C83" s="0" t="s">
        <v>544</v>
      </c>
      <c r="D83" s="0" t="s">
        <v>544</v>
      </c>
    </row>
    <row r="84">
      <c r="A84" s="0" t="s">
        <v>259</v>
      </c>
      <c r="B84" s="0" t="s">
        <v>544</v>
      </c>
      <c r="C84" s="0" t="s">
        <v>544</v>
      </c>
      <c r="D84" s="0" t="s">
        <v>544</v>
      </c>
    </row>
    <row r="85">
      <c r="A85" s="0" t="s">
        <v>260</v>
      </c>
      <c r="B85" s="0" t="s">
        <v>544</v>
      </c>
      <c r="C85" s="0" t="s">
        <v>544</v>
      </c>
      <c r="D85" s="0" t="s">
        <v>544</v>
      </c>
    </row>
    <row r="86">
      <c r="A86" s="0" t="s">
        <v>261</v>
      </c>
      <c r="B86" s="0" t="s">
        <v>544</v>
      </c>
      <c r="C86" s="0" t="s">
        <v>544</v>
      </c>
      <c r="D86" s="0" t="s">
        <v>544</v>
      </c>
    </row>
    <row r="87">
      <c r="A87" s="0" t="s">
        <v>466</v>
      </c>
      <c r="B87" s="0" t="s">
        <v>544</v>
      </c>
    </row>
    <row r="88">
      <c r="A88" s="0" t="s">
        <v>467</v>
      </c>
      <c r="B88" s="0" t="s">
        <v>544</v>
      </c>
    </row>
    <row r="89">
      <c r="A89" s="0" t="s">
        <v>262</v>
      </c>
      <c r="B89" s="0" t="s">
        <v>544</v>
      </c>
    </row>
    <row r="90">
      <c r="A90" s="0" t="s">
        <v>263</v>
      </c>
      <c r="B90" s="0" t="s">
        <v>544</v>
      </c>
    </row>
    <row r="91">
      <c r="A91" s="0" t="s">
        <v>468</v>
      </c>
      <c r="B91" s="0" t="s">
        <v>544</v>
      </c>
    </row>
    <row r="92">
      <c r="A92" s="0" t="s">
        <v>264</v>
      </c>
      <c r="B92" s="0" t="s">
        <v>544</v>
      </c>
    </row>
    <row r="93">
      <c r="A93" s="0" t="s">
        <v>469</v>
      </c>
      <c r="B93" s="0" t="s">
        <v>544</v>
      </c>
    </row>
    <row r="94">
      <c r="A94" s="0" t="s">
        <v>470</v>
      </c>
      <c r="B94" s="0" t="s">
        <v>544</v>
      </c>
    </row>
    <row r="95">
      <c r="A95" s="0" t="s">
        <v>471</v>
      </c>
      <c r="B95" s="0" t="s">
        <v>544</v>
      </c>
    </row>
    <row r="96">
      <c r="A96" s="0" t="s">
        <v>472</v>
      </c>
      <c r="B96" s="0" t="s">
        <v>544</v>
      </c>
    </row>
    <row r="97">
      <c r="A97" s="0" t="s">
        <v>474</v>
      </c>
      <c r="B97" s="0" t="s">
        <v>544</v>
      </c>
    </row>
    <row r="98">
      <c r="A98" s="0" t="s">
        <v>265</v>
      </c>
      <c r="B98" s="0" t="s">
        <v>544</v>
      </c>
    </row>
    <row r="99">
      <c r="A99" s="0" t="s">
        <v>475</v>
      </c>
      <c r="B99" s="0" t="s">
        <v>544</v>
      </c>
    </row>
    <row r="100">
      <c r="A100" s="0" t="s">
        <v>477</v>
      </c>
      <c r="B100" s="0" t="s">
        <v>544</v>
      </c>
      <c r="C100" s="0" t="s">
        <v>544</v>
      </c>
      <c r="D100" s="0" t="s">
        <v>544</v>
      </c>
    </row>
    <row r="101">
      <c r="A101" s="0" t="s">
        <v>478</v>
      </c>
      <c r="B101" s="0" t="s">
        <v>544</v>
      </c>
    </row>
    <row r="102">
      <c r="A102" s="0" t="s">
        <v>479</v>
      </c>
      <c r="B102" s="0" t="s">
        <v>544</v>
      </c>
      <c r="C102" s="0" t="s">
        <v>544</v>
      </c>
    </row>
    <row r="103">
      <c r="A103" s="0" t="s">
        <v>266</v>
      </c>
      <c r="B103" s="0" t="s">
        <v>544</v>
      </c>
      <c r="C103" s="0" t="s">
        <v>544</v>
      </c>
    </row>
    <row r="104">
      <c r="A104" s="0" t="s">
        <v>480</v>
      </c>
      <c r="B104" s="0" t="s">
        <v>544</v>
      </c>
      <c r="C104" s="0" t="s">
        <v>544</v>
      </c>
    </row>
    <row r="105">
      <c r="A105" s="0" t="s">
        <v>267</v>
      </c>
      <c r="B105" s="0" t="s">
        <v>544</v>
      </c>
    </row>
    <row r="106">
      <c r="A106" s="0" t="s">
        <v>481</v>
      </c>
      <c r="B106" s="0" t="s">
        <v>971</v>
      </c>
      <c r="C106" s="0" t="s">
        <v>969</v>
      </c>
    </row>
    <row r="107">
      <c r="A107" s="0" t="s">
        <v>482</v>
      </c>
      <c r="B107" s="0" t="s">
        <v>544</v>
      </c>
    </row>
    <row r="108">
      <c r="A108" s="0" t="s">
        <v>484</v>
      </c>
      <c r="B108" s="0" t="s">
        <v>544</v>
      </c>
      <c r="C108" s="0" t="s">
        <v>544</v>
      </c>
    </row>
    <row r="109">
      <c r="A109" s="0" t="s">
        <v>485</v>
      </c>
      <c r="B109" s="0" t="s">
        <v>971</v>
      </c>
      <c r="C109" s="0" t="s">
        <v>972</v>
      </c>
    </row>
    <row r="110">
      <c r="A110" s="0" t="s">
        <v>268</v>
      </c>
      <c r="B110" s="0" t="s">
        <v>972</v>
      </c>
      <c r="C110" s="0" t="s">
        <v>971</v>
      </c>
    </row>
    <row r="111">
      <c r="A111" s="0" t="s">
        <v>486</v>
      </c>
      <c r="B111" s="0" t="s">
        <v>544</v>
      </c>
    </row>
    <row r="112">
      <c r="A112" s="0" t="s">
        <v>488</v>
      </c>
      <c r="B112" s="0" t="s">
        <v>544</v>
      </c>
    </row>
    <row r="113">
      <c r="A113" s="0" t="s">
        <v>489</v>
      </c>
      <c r="B113" s="0" t="s">
        <v>971</v>
      </c>
      <c r="C113" s="0" t="s">
        <v>969</v>
      </c>
    </row>
    <row r="114">
      <c r="A114" s="0" t="s">
        <v>490</v>
      </c>
      <c r="B114" s="0" t="s">
        <v>544</v>
      </c>
      <c r="C114" s="0" t="s">
        <v>544</v>
      </c>
      <c r="D114" s="0" t="s">
        <v>544</v>
      </c>
    </row>
    <row r="115">
      <c r="A115" s="0" t="s">
        <v>269</v>
      </c>
      <c r="B115" s="0" t="s">
        <v>972</v>
      </c>
      <c r="C115" s="0" t="s">
        <v>971</v>
      </c>
      <c r="D115" s="0" t="s">
        <v>969</v>
      </c>
    </row>
    <row r="116">
      <c r="A116" s="0" t="s">
        <v>491</v>
      </c>
      <c r="B116" s="0" t="s">
        <v>544</v>
      </c>
      <c r="C116" s="0" t="s">
        <v>544</v>
      </c>
      <c r="D116" s="0" t="s">
        <v>544</v>
      </c>
    </row>
    <row r="117">
      <c r="A117" s="0" t="s">
        <v>270</v>
      </c>
      <c r="B117" s="0" t="s">
        <v>972</v>
      </c>
      <c r="C117" s="0" t="s">
        <v>971</v>
      </c>
      <c r="D117" s="0" t="s">
        <v>969</v>
      </c>
    </row>
    <row r="118">
      <c r="A118" s="0" t="s">
        <v>492</v>
      </c>
      <c r="B118" s="0" t="s">
        <v>544</v>
      </c>
    </row>
    <row r="119">
      <c r="A119" s="0" t="s">
        <v>494</v>
      </c>
      <c r="B119" s="0" t="s">
        <v>544</v>
      </c>
    </row>
    <row r="120">
      <c r="A120" s="0" t="s">
        <v>496</v>
      </c>
      <c r="B120" s="0" t="s">
        <v>544</v>
      </c>
    </row>
    <row r="121">
      <c r="A121" s="0" t="s">
        <v>497</v>
      </c>
      <c r="B121" s="0" t="s">
        <v>544</v>
      </c>
      <c r="C121" s="0" t="s">
        <v>544</v>
      </c>
    </row>
    <row r="122">
      <c r="A122" s="0" t="s">
        <v>498</v>
      </c>
      <c r="B122" s="0" t="s">
        <v>544</v>
      </c>
      <c r="C122" s="0" t="s">
        <v>544</v>
      </c>
      <c r="D122" s="0" t="s">
        <v>544</v>
      </c>
      <c r="E122" s="0" t="s">
        <v>544</v>
      </c>
    </row>
    <row r="123">
      <c r="A123" s="0" t="s">
        <v>499</v>
      </c>
      <c r="B123" s="0" t="s">
        <v>980</v>
      </c>
      <c r="C123" s="0" t="s">
        <v>970</v>
      </c>
      <c r="D123" s="0" t="s">
        <v>981</v>
      </c>
      <c r="E123" s="0" t="s">
        <v>972</v>
      </c>
    </row>
    <row r="124">
      <c r="A124" s="0" t="s">
        <v>500</v>
      </c>
      <c r="B124" s="0" t="s">
        <v>544</v>
      </c>
    </row>
    <row r="125">
      <c r="A125" s="0" t="s">
        <v>502</v>
      </c>
      <c r="B125" s="0" t="s">
        <v>544</v>
      </c>
    </row>
    <row r="126">
      <c r="A126" s="0" t="s">
        <v>504</v>
      </c>
      <c r="B126" s="0" t="s">
        <v>972</v>
      </c>
      <c r="C126" s="0" t="s">
        <v>969</v>
      </c>
      <c r="D126" s="0" t="s">
        <v>971</v>
      </c>
    </row>
    <row r="127">
      <c r="A127" s="0" t="s">
        <v>506</v>
      </c>
      <c r="B127" s="0" t="s">
        <v>972</v>
      </c>
      <c r="C127" s="0" t="s">
        <v>971</v>
      </c>
      <c r="D127" s="0" t="s">
        <v>969</v>
      </c>
    </row>
    <row r="128">
      <c r="A128" s="0" t="s">
        <v>271</v>
      </c>
      <c r="B128" s="0" t="s">
        <v>972</v>
      </c>
      <c r="C128" s="0" t="s">
        <v>971</v>
      </c>
      <c r="D128" s="0" t="s">
        <v>969</v>
      </c>
      <c r="E128" s="0" t="s">
        <v>973</v>
      </c>
      <c r="F128" s="0" t="s">
        <v>974</v>
      </c>
    </row>
    <row r="129">
      <c r="A129" s="0" t="s">
        <v>507</v>
      </c>
      <c r="B129" s="0" t="s">
        <v>972</v>
      </c>
      <c r="C129" s="0" t="s">
        <v>970</v>
      </c>
      <c r="D129" s="0" t="s">
        <v>971</v>
      </c>
      <c r="E129" s="0" t="s">
        <v>969</v>
      </c>
      <c r="F129" s="0" t="s">
        <v>973</v>
      </c>
      <c r="G129" s="0" t="s">
        <v>974</v>
      </c>
    </row>
    <row r="130">
      <c r="A130" s="0" t="s">
        <v>509</v>
      </c>
      <c r="B130" s="0" t="s">
        <v>972</v>
      </c>
      <c r="C130" s="0" t="s">
        <v>970</v>
      </c>
    </row>
    <row r="131">
      <c r="A131" s="0" t="s">
        <v>510</v>
      </c>
      <c r="B131" s="0" t="s">
        <v>972</v>
      </c>
      <c r="C131" s="0" t="s">
        <v>970</v>
      </c>
      <c r="D131" s="0" t="s">
        <v>971</v>
      </c>
      <c r="E131" s="0" t="s">
        <v>969</v>
      </c>
    </row>
    <row r="132">
      <c r="A132" s="0" t="s">
        <v>512</v>
      </c>
      <c r="B132" s="0" t="s">
        <v>973</v>
      </c>
      <c r="C132" s="0" t="s">
        <v>974</v>
      </c>
      <c r="D132" s="0" t="s">
        <v>970</v>
      </c>
      <c r="E132" s="0" t="s">
        <v>972</v>
      </c>
      <c r="F132" s="0" t="s">
        <v>971</v>
      </c>
      <c r="G132" s="0" t="s">
        <v>969</v>
      </c>
    </row>
    <row r="133">
      <c r="A133" s="0" t="s">
        <v>513</v>
      </c>
      <c r="B133" s="0" t="s">
        <v>972</v>
      </c>
      <c r="C133" s="0" t="s">
        <v>970</v>
      </c>
      <c r="D133" s="0" t="s">
        <v>971</v>
      </c>
      <c r="E133" s="0" t="s">
        <v>969</v>
      </c>
      <c r="F133" s="0" t="s">
        <v>973</v>
      </c>
      <c r="G133" s="0" t="s">
        <v>974</v>
      </c>
    </row>
    <row r="134">
      <c r="A134" s="0" t="s">
        <v>514</v>
      </c>
      <c r="B134" s="0" t="s">
        <v>972</v>
      </c>
      <c r="C134" s="0" t="s">
        <v>971</v>
      </c>
      <c r="D134" s="0" t="s">
        <v>969</v>
      </c>
      <c r="E134" s="0" t="s">
        <v>973</v>
      </c>
    </row>
    <row r="135">
      <c r="A135" s="0" t="s">
        <v>515</v>
      </c>
      <c r="B135" s="0" t="s">
        <v>972</v>
      </c>
      <c r="C135" s="0" t="s">
        <v>971</v>
      </c>
      <c r="D135" s="0" t="s">
        <v>969</v>
      </c>
      <c r="E135" s="0" t="s">
        <v>973</v>
      </c>
      <c r="F135" s="0" t="s">
        <v>974</v>
      </c>
    </row>
    <row r="136">
      <c r="A136" s="0" t="s">
        <v>516</v>
      </c>
      <c r="B136" s="0" t="s">
        <v>972</v>
      </c>
      <c r="C136" s="0" t="s">
        <v>970</v>
      </c>
      <c r="D136" s="0" t="s">
        <v>971</v>
      </c>
      <c r="E136" s="0" t="s">
        <v>969</v>
      </c>
      <c r="F136" s="0" t="s">
        <v>973</v>
      </c>
      <c r="G136" s="0" t="s">
        <v>974</v>
      </c>
    </row>
    <row r="137">
      <c r="A137" s="0" t="s">
        <v>518</v>
      </c>
      <c r="B137" s="0" t="s">
        <v>972</v>
      </c>
      <c r="C137" s="0" t="s">
        <v>970</v>
      </c>
      <c r="D137" s="0" t="s">
        <v>971</v>
      </c>
      <c r="E137" s="0" t="s">
        <v>969</v>
      </c>
    </row>
    <row r="138">
      <c r="A138" s="0" t="s">
        <v>519</v>
      </c>
      <c r="B138" s="0" t="s">
        <v>972</v>
      </c>
      <c r="C138" s="0" t="s">
        <v>970</v>
      </c>
      <c r="D138" s="0" t="s">
        <v>971</v>
      </c>
      <c r="E138" s="0" t="s">
        <v>969</v>
      </c>
    </row>
    <row r="139">
      <c r="A139" s="0" t="s">
        <v>520</v>
      </c>
      <c r="B139" s="0" t="s">
        <v>972</v>
      </c>
      <c r="C139" s="0" t="s">
        <v>970</v>
      </c>
      <c r="D139" s="0" t="s">
        <v>971</v>
      </c>
      <c r="E139" s="0" t="s">
        <v>969</v>
      </c>
      <c r="F139" s="0" t="s">
        <v>973</v>
      </c>
      <c r="G139" s="0" t="s">
        <v>974</v>
      </c>
    </row>
    <row r="140">
      <c r="A140" s="0" t="s">
        <v>521</v>
      </c>
      <c r="B140" s="0" t="s">
        <v>972</v>
      </c>
      <c r="C140" s="0" t="s">
        <v>970</v>
      </c>
      <c r="D140" s="0" t="s">
        <v>971</v>
      </c>
      <c r="E140" s="0" t="s">
        <v>969</v>
      </c>
      <c r="F140" s="0" t="s">
        <v>973</v>
      </c>
      <c r="G140" s="0" t="s">
        <v>974</v>
      </c>
    </row>
    <row r="141">
      <c r="A141" s="0" t="s">
        <v>272</v>
      </c>
      <c r="B141" s="0" t="s">
        <v>982</v>
      </c>
      <c r="C141" s="0" t="s">
        <v>983</v>
      </c>
      <c r="D141" s="0" t="s">
        <v>984</v>
      </c>
      <c r="E141" s="0" t="s">
        <v>985</v>
      </c>
      <c r="F141" s="0" t="s">
        <v>986</v>
      </c>
      <c r="G141" s="0" t="s">
        <v>987</v>
      </c>
    </row>
    <row r="142">
      <c r="A142" s="0" t="s">
        <v>273</v>
      </c>
      <c r="B142" s="0" t="s">
        <v>982</v>
      </c>
      <c r="C142" s="0" t="s">
        <v>983</v>
      </c>
      <c r="D142" s="0" t="s">
        <v>984</v>
      </c>
      <c r="E142" s="0" t="s">
        <v>985</v>
      </c>
      <c r="F142" s="0" t="s">
        <v>986</v>
      </c>
      <c r="G142" s="0" t="s">
        <v>987</v>
      </c>
    </row>
    <row r="143">
      <c r="A143" s="0" t="s">
        <v>523</v>
      </c>
      <c r="B143" s="0" t="s">
        <v>26</v>
      </c>
      <c r="C143" s="0" t="s">
        <v>27</v>
      </c>
      <c r="D143" s="0" t="s">
        <v>28</v>
      </c>
      <c r="E143" s="0" t="s">
        <v>988</v>
      </c>
      <c r="F143" s="0" t="s">
        <v>989</v>
      </c>
      <c r="G143" s="0" t="s">
        <v>990</v>
      </c>
      <c r="H143" s="0" t="s">
        <v>987</v>
      </c>
    </row>
    <row r="144">
      <c r="A144" s="0" t="s">
        <v>525</v>
      </c>
      <c r="B144" s="0" t="s">
        <v>26</v>
      </c>
      <c r="C144" s="0" t="s">
        <v>27</v>
      </c>
      <c r="D144" s="0" t="s">
        <v>28</v>
      </c>
      <c r="E144" s="0" t="s">
        <v>988</v>
      </c>
      <c r="F144" s="0" t="s">
        <v>989</v>
      </c>
      <c r="G144" s="0" t="s">
        <v>990</v>
      </c>
      <c r="H144" s="0" t="s">
        <v>987</v>
      </c>
    </row>
    <row r="145">
      <c r="A145" s="0" t="s">
        <v>274</v>
      </c>
      <c r="B145" s="0" t="s">
        <v>544</v>
      </c>
    </row>
    <row r="146">
      <c r="A146" s="0" t="s">
        <v>526</v>
      </c>
      <c r="B146" s="0" t="s">
        <v>544</v>
      </c>
    </row>
    <row r="147">
      <c r="A147" s="0" t="s">
        <v>527</v>
      </c>
      <c r="B147" s="0" t="s">
        <v>991</v>
      </c>
    </row>
    <row r="148">
      <c r="A148" s="0" t="s">
        <v>528</v>
      </c>
      <c r="B148" s="0" t="s">
        <v>991</v>
      </c>
    </row>
    <row r="149">
      <c r="A149" s="0" t="s">
        <v>178</v>
      </c>
      <c r="B149" s="0" t="s">
        <v>544</v>
      </c>
    </row>
    <row r="150">
      <c r="A150" s="0" t="s">
        <v>275</v>
      </c>
      <c r="B150" s="0" t="s">
        <v>544</v>
      </c>
    </row>
    <row r="151">
      <c r="A151" s="0" t="s">
        <v>168</v>
      </c>
      <c r="B151" s="0" t="s">
        <v>544</v>
      </c>
    </row>
    <row r="152">
      <c r="A152" s="0" t="s">
        <v>276</v>
      </c>
      <c r="B152" s="0" t="s">
        <v>544</v>
      </c>
    </row>
    <row r="153">
      <c r="A153" s="0" t="s">
        <v>277</v>
      </c>
      <c r="B153" s="0" t="s">
        <v>544</v>
      </c>
    </row>
    <row r="154">
      <c r="A154" s="0" t="s">
        <v>531</v>
      </c>
      <c r="B154" s="0" t="s">
        <v>972</v>
      </c>
      <c r="C154" s="0" t="s">
        <v>971</v>
      </c>
    </row>
    <row r="155">
      <c r="A155" s="0" t="s">
        <v>278</v>
      </c>
      <c r="B155" s="0" t="s">
        <v>544</v>
      </c>
      <c r="C155" s="0" t="s">
        <v>544</v>
      </c>
    </row>
    <row r="156">
      <c r="A156" s="0" t="s">
        <v>279</v>
      </c>
      <c r="B156" s="0" t="s">
        <v>26</v>
      </c>
      <c r="C156" s="0" t="s">
        <v>27</v>
      </c>
    </row>
    <row r="157">
      <c r="A157" s="0" t="s">
        <v>280</v>
      </c>
      <c r="B157" s="0" t="s">
        <v>991</v>
      </c>
      <c r="C157" s="0" t="s">
        <v>992</v>
      </c>
    </row>
    <row r="158">
      <c r="A158" s="0" t="s">
        <v>281</v>
      </c>
      <c r="B158" s="0" t="s">
        <v>991</v>
      </c>
      <c r="C158" s="0" t="s">
        <v>992</v>
      </c>
    </row>
    <row r="159">
      <c r="A159" s="0" t="s">
        <v>282</v>
      </c>
      <c r="B159" s="0" t="s">
        <v>28</v>
      </c>
      <c r="C159" s="0" t="s">
        <v>29</v>
      </c>
    </row>
    <row r="160">
      <c r="A160" s="0" t="s">
        <v>283</v>
      </c>
      <c r="B160" s="0" t="s">
        <v>982</v>
      </c>
      <c r="C160" s="0" t="s">
        <v>993</v>
      </c>
      <c r="D160" s="0" t="s">
        <v>983</v>
      </c>
      <c r="E160" s="0" t="s">
        <v>984</v>
      </c>
      <c r="F160" s="0" t="s">
        <v>985</v>
      </c>
      <c r="G160" s="0" t="s">
        <v>986</v>
      </c>
    </row>
    <row r="161">
      <c r="A161" s="0" t="s">
        <v>284</v>
      </c>
      <c r="B161" s="0" t="s">
        <v>994</v>
      </c>
      <c r="C161" s="0" t="s">
        <v>26</v>
      </c>
      <c r="D161" s="0" t="s">
        <v>995</v>
      </c>
      <c r="E161" s="0" t="s">
        <v>996</v>
      </c>
      <c r="F161" s="0" t="s">
        <v>997</v>
      </c>
      <c r="G161" s="0" t="s">
        <v>998</v>
      </c>
      <c r="H161" s="0" t="s">
        <v>999</v>
      </c>
      <c r="I161" s="0" t="s">
        <v>1000</v>
      </c>
    </row>
    <row r="162">
      <c r="A162" s="0" t="s">
        <v>533</v>
      </c>
      <c r="B162" s="0" t="s">
        <v>26</v>
      </c>
      <c r="C162" s="0" t="s">
        <v>27</v>
      </c>
      <c r="D162" s="0" t="s">
        <v>995</v>
      </c>
      <c r="E162" s="0" t="s">
        <v>1000</v>
      </c>
      <c r="F162" s="0" t="s">
        <v>1001</v>
      </c>
      <c r="G162" s="0" t="s">
        <v>1002</v>
      </c>
      <c r="H162" s="0" t="s">
        <v>1003</v>
      </c>
      <c r="I162" s="0" t="s">
        <v>1004</v>
      </c>
    </row>
    <row r="163">
      <c r="A163" s="0" t="s">
        <v>285</v>
      </c>
      <c r="B163" s="0" t="s">
        <v>997</v>
      </c>
      <c r="C163" s="0" t="s">
        <v>1005</v>
      </c>
      <c r="D163" s="0" t="s">
        <v>982</v>
      </c>
      <c r="E163" s="0" t="s">
        <v>1000</v>
      </c>
      <c r="F163" s="0" t="s">
        <v>995</v>
      </c>
    </row>
    <row r="164">
      <c r="A164" s="0" t="s">
        <v>534</v>
      </c>
      <c r="B164" s="0" t="s">
        <v>972</v>
      </c>
      <c r="C164" s="0" t="s">
        <v>970</v>
      </c>
      <c r="D164" s="0" t="s">
        <v>971</v>
      </c>
      <c r="E164" s="0" t="s">
        <v>969</v>
      </c>
    </row>
    <row r="165">
      <c r="A165" s="0" t="s">
        <v>286</v>
      </c>
      <c r="B165" s="0" t="s">
        <v>26</v>
      </c>
      <c r="C165" s="0" t="s">
        <v>27</v>
      </c>
      <c r="D165" s="0" t="s">
        <v>28</v>
      </c>
      <c r="E165" s="0" t="s">
        <v>29</v>
      </c>
    </row>
    <row r="166">
      <c r="A166" s="0" t="s">
        <v>287</v>
      </c>
      <c r="B166" s="0" t="s">
        <v>26</v>
      </c>
      <c r="C166" s="0" t="s">
        <v>27</v>
      </c>
      <c r="D166" s="0" t="s">
        <v>28</v>
      </c>
      <c r="E166" s="0" t="s">
        <v>29</v>
      </c>
    </row>
    <row r="167">
      <c r="A167" s="0" t="s">
        <v>288</v>
      </c>
      <c r="B167" s="0" t="s">
        <v>544</v>
      </c>
      <c r="C167" s="0" t="s">
        <v>544</v>
      </c>
      <c r="D167" s="0" t="s">
        <v>544</v>
      </c>
      <c r="E167" s="0" t="s">
        <v>544</v>
      </c>
    </row>
    <row r="168">
      <c r="A168" s="0" t="s">
        <v>289</v>
      </c>
      <c r="B168" s="0" t="s">
        <v>29</v>
      </c>
      <c r="C168" s="0" t="s">
        <v>27</v>
      </c>
      <c r="D168" s="0" t="s">
        <v>26</v>
      </c>
      <c r="E168" s="0" t="s">
        <v>28</v>
      </c>
    </row>
    <row r="169">
      <c r="A169" s="0" t="s">
        <v>7</v>
      </c>
      <c r="B169" s="0" t="s">
        <v>26</v>
      </c>
      <c r="C169" s="0" t="s">
        <v>27</v>
      </c>
      <c r="D169" s="0" t="s">
        <v>28</v>
      </c>
      <c r="E169" s="0" t="s">
        <v>29</v>
      </c>
    </row>
    <row r="170">
      <c r="A170" s="0" t="s">
        <v>290</v>
      </c>
      <c r="B170" s="0" t="s">
        <v>991</v>
      </c>
      <c r="C170" s="0" t="s">
        <v>1006</v>
      </c>
      <c r="D170" s="0" t="s">
        <v>1007</v>
      </c>
      <c r="E170" s="0" t="s">
        <v>1008</v>
      </c>
    </row>
    <row r="171">
      <c r="A171" s="0" t="s">
        <v>536</v>
      </c>
      <c r="B171" s="0" t="s">
        <v>26</v>
      </c>
      <c r="C171" s="0" t="s">
        <v>27</v>
      </c>
      <c r="D171" s="0" t="s">
        <v>28</v>
      </c>
      <c r="E171" s="0" t="s">
        <v>29</v>
      </c>
    </row>
    <row r="172">
      <c r="A172" s="0" t="s">
        <v>291</v>
      </c>
      <c r="B172" s="0" t="s">
        <v>982</v>
      </c>
      <c r="C172" s="0" t="s">
        <v>1009</v>
      </c>
      <c r="D172" s="0" t="s">
        <v>1010</v>
      </c>
      <c r="E172" s="0" t="s">
        <v>28</v>
      </c>
    </row>
    <row r="173">
      <c r="A173" s="0" t="s">
        <v>292</v>
      </c>
      <c r="B173" s="0" t="s">
        <v>995</v>
      </c>
      <c r="C173" s="0" t="s">
        <v>1000</v>
      </c>
      <c r="D173" s="0" t="s">
        <v>26</v>
      </c>
      <c r="E173" s="0" t="s">
        <v>1011</v>
      </c>
      <c r="F173" s="0" t="s">
        <v>1012</v>
      </c>
      <c r="G173" s="0" t="s">
        <v>27</v>
      </c>
    </row>
    <row r="174">
      <c r="A174" s="0" t="s">
        <v>293</v>
      </c>
      <c r="B174" s="0" t="s">
        <v>26</v>
      </c>
      <c r="C174" s="0" t="s">
        <v>27</v>
      </c>
      <c r="D174" s="0" t="s">
        <v>995</v>
      </c>
      <c r="E174" s="0" t="s">
        <v>1000</v>
      </c>
      <c r="F174" s="0" t="s">
        <v>1012</v>
      </c>
      <c r="G174" s="0" t="s">
        <v>1011</v>
      </c>
    </row>
    <row r="175">
      <c r="A175" s="0" t="s">
        <v>294</v>
      </c>
      <c r="B175" s="0" t="s">
        <v>1000</v>
      </c>
      <c r="C175" s="0" t="s">
        <v>995</v>
      </c>
      <c r="D175" s="0" t="s">
        <v>26</v>
      </c>
      <c r="E175" s="0" t="s">
        <v>1012</v>
      </c>
      <c r="F175" s="0" t="s">
        <v>1011</v>
      </c>
      <c r="G175" s="0" t="s">
        <v>27</v>
      </c>
    </row>
    <row r="176">
      <c r="A176" s="0" t="s">
        <v>295</v>
      </c>
      <c r="B176" s="0" t="s">
        <v>26</v>
      </c>
      <c r="C176" s="0" t="s">
        <v>27</v>
      </c>
      <c r="D176" s="0" t="s">
        <v>995</v>
      </c>
      <c r="E176" s="0" t="s">
        <v>1000</v>
      </c>
      <c r="F176" s="0" t="s">
        <v>1012</v>
      </c>
      <c r="G176" s="0" t="s">
        <v>1011</v>
      </c>
    </row>
    <row r="177">
      <c r="A177" s="0" t="s">
        <v>296</v>
      </c>
      <c r="B177" s="0" t="s">
        <v>26</v>
      </c>
      <c r="C177" s="0" t="s">
        <v>27</v>
      </c>
      <c r="D177" s="0" t="s">
        <v>995</v>
      </c>
      <c r="E177" s="0" t="s">
        <v>1000</v>
      </c>
      <c r="F177" s="0" t="s">
        <v>1012</v>
      </c>
      <c r="G177" s="0" t="s">
        <v>1011</v>
      </c>
    </row>
    <row r="178">
      <c r="A178" s="0" t="s">
        <v>297</v>
      </c>
      <c r="B178" s="0" t="s">
        <v>1013</v>
      </c>
      <c r="C178" s="0" t="s">
        <v>28</v>
      </c>
      <c r="D178" s="0" t="s">
        <v>982</v>
      </c>
      <c r="E178" s="0" t="s">
        <v>1014</v>
      </c>
      <c r="F178" s="0" t="s">
        <v>996</v>
      </c>
      <c r="G178" s="0" t="s">
        <v>993</v>
      </c>
    </row>
    <row r="179">
      <c r="A179" s="0" t="s">
        <v>298</v>
      </c>
      <c r="B179" s="0" t="s">
        <v>1013</v>
      </c>
      <c r="C179" s="0" t="s">
        <v>28</v>
      </c>
      <c r="D179" s="0" t="s">
        <v>982</v>
      </c>
      <c r="E179" s="0" t="s">
        <v>1014</v>
      </c>
      <c r="F179" s="0" t="s">
        <v>1015</v>
      </c>
      <c r="G179" s="0" t="s">
        <v>993</v>
      </c>
    </row>
    <row r="180">
      <c r="A180" s="0" t="s">
        <v>299</v>
      </c>
      <c r="B180" s="0" t="s">
        <v>26</v>
      </c>
      <c r="C180" s="0" t="s">
        <v>27</v>
      </c>
      <c r="D180" s="0" t="s">
        <v>995</v>
      </c>
      <c r="E180" s="0" t="s">
        <v>1000</v>
      </c>
      <c r="F180" s="0" t="s">
        <v>1012</v>
      </c>
      <c r="G180" s="0" t="s">
        <v>1011</v>
      </c>
    </row>
    <row r="181">
      <c r="A181" s="0" t="s">
        <v>540</v>
      </c>
      <c r="B181" s="0" t="s">
        <v>972</v>
      </c>
      <c r="C181" s="0" t="s">
        <v>970</v>
      </c>
      <c r="D181" s="0" t="s">
        <v>971</v>
      </c>
      <c r="E181" s="0" t="s">
        <v>969</v>
      </c>
      <c r="F181" s="0" t="s">
        <v>973</v>
      </c>
      <c r="G181" s="0" t="s">
        <v>974</v>
      </c>
    </row>
    <row r="182">
      <c r="A182" s="0" t="s">
        <v>300</v>
      </c>
      <c r="B182" s="0" t="s">
        <v>26</v>
      </c>
      <c r="C182" s="0" t="s">
        <v>28</v>
      </c>
      <c r="D182" s="0" t="s">
        <v>988</v>
      </c>
      <c r="E182" s="0" t="s">
        <v>989</v>
      </c>
      <c r="F182" s="0" t="s">
        <v>990</v>
      </c>
      <c r="G182" s="0" t="s">
        <v>1016</v>
      </c>
    </row>
    <row r="183">
      <c r="A183" s="0" t="s">
        <v>301</v>
      </c>
      <c r="B183" s="0" t="s">
        <v>544</v>
      </c>
    </row>
    <row r="184">
      <c r="A184" s="0" t="s">
        <v>541</v>
      </c>
      <c r="B184" s="0" t="s">
        <v>1017</v>
      </c>
      <c r="C184" s="0" t="s">
        <v>1018</v>
      </c>
      <c r="D184" s="0" t="s">
        <v>1019</v>
      </c>
      <c r="E184" s="0" t="s">
        <v>1020</v>
      </c>
    </row>
    <row r="185">
      <c r="A185" s="0" t="s">
        <v>542</v>
      </c>
      <c r="B185" s="0" t="s">
        <v>991</v>
      </c>
      <c r="C185" s="0" t="s">
        <v>1007</v>
      </c>
      <c r="D185" s="0" t="s">
        <v>1008</v>
      </c>
    </row>
    <row r="186">
      <c r="A186" s="0" t="s">
        <v>302</v>
      </c>
      <c r="B186" s="0" t="s">
        <v>29</v>
      </c>
      <c r="C186" s="0" t="s">
        <v>982</v>
      </c>
      <c r="D186" s="0" t="s">
        <v>28</v>
      </c>
    </row>
    <row r="187">
      <c r="A187" s="0" t="s">
        <v>303</v>
      </c>
      <c r="B187" s="0" t="s">
        <v>29</v>
      </c>
      <c r="C187" s="0" t="s">
        <v>982</v>
      </c>
      <c r="D187" s="0" t="s">
        <v>28</v>
      </c>
    </row>
    <row r="188">
      <c r="A188" s="0" t="s">
        <v>304</v>
      </c>
      <c r="B188" s="0" t="s">
        <v>991</v>
      </c>
      <c r="C188" s="0" t="s">
        <v>1007</v>
      </c>
      <c r="D188" s="0" t="s">
        <v>1008</v>
      </c>
    </row>
    <row r="189">
      <c r="A189" s="0" t="s">
        <v>305</v>
      </c>
      <c r="B189" s="0" t="s">
        <v>28</v>
      </c>
      <c r="C189" s="0" t="s">
        <v>982</v>
      </c>
      <c r="D189" s="0" t="s">
        <v>29</v>
      </c>
    </row>
    <row r="190">
      <c r="A190" s="0" t="s">
        <v>543</v>
      </c>
      <c r="B190" s="0" t="s">
        <v>972</v>
      </c>
      <c r="C190" s="0" t="s">
        <v>971</v>
      </c>
      <c r="D190" s="0" t="s">
        <v>969</v>
      </c>
    </row>
    <row r="191">
      <c r="A191" s="0" t="s">
        <v>306</v>
      </c>
      <c r="B191" s="0" t="s">
        <v>544</v>
      </c>
    </row>
    <row r="192">
      <c r="A192" s="0" t="s">
        <v>307</v>
      </c>
      <c r="B192" s="0" t="s">
        <v>544</v>
      </c>
      <c r="C192" s="0" t="s">
        <v>544</v>
      </c>
    </row>
    <row r="193">
      <c r="A193" s="0" t="s">
        <v>545</v>
      </c>
      <c r="B193" s="0" t="s">
        <v>544</v>
      </c>
      <c r="C193" s="0" t="s">
        <v>544</v>
      </c>
      <c r="D193" s="0" t="s">
        <v>544</v>
      </c>
    </row>
    <row r="194">
      <c r="A194" s="0" t="s">
        <v>308</v>
      </c>
      <c r="B194" s="0" t="s">
        <v>544</v>
      </c>
    </row>
    <row r="195">
      <c r="A195" s="0" t="s">
        <v>309</v>
      </c>
      <c r="B195" s="0" t="s">
        <v>544</v>
      </c>
    </row>
    <row r="196">
      <c r="A196" s="0" t="s">
        <v>310</v>
      </c>
      <c r="B196" s="0" t="s">
        <v>544</v>
      </c>
      <c r="C196" s="0" t="s">
        <v>544</v>
      </c>
    </row>
    <row r="197">
      <c r="A197" s="0" t="s">
        <v>311</v>
      </c>
      <c r="B197" s="0" t="s">
        <v>544</v>
      </c>
      <c r="C197" s="0" t="s">
        <v>544</v>
      </c>
    </row>
    <row r="198">
      <c r="A198" s="0" t="s">
        <v>312</v>
      </c>
      <c r="B198" s="0" t="s">
        <v>1021</v>
      </c>
      <c r="C198" s="0" t="s">
        <v>1022</v>
      </c>
      <c r="D198" s="0" t="s">
        <v>1023</v>
      </c>
    </row>
    <row r="199">
      <c r="A199" s="0" t="s">
        <v>313</v>
      </c>
      <c r="B199" s="0" t="s">
        <v>544</v>
      </c>
      <c r="C199" s="0" t="s">
        <v>544</v>
      </c>
    </row>
    <row r="200">
      <c r="A200" s="0" t="s">
        <v>547</v>
      </c>
      <c r="B200" s="0" t="s">
        <v>544</v>
      </c>
      <c r="C200" s="0" t="s">
        <v>544</v>
      </c>
      <c r="D200" s="0" t="s">
        <v>544</v>
      </c>
    </row>
    <row r="201">
      <c r="A201" s="0" t="s">
        <v>314</v>
      </c>
      <c r="B201" s="0" t="s">
        <v>972</v>
      </c>
      <c r="C201" s="0" t="s">
        <v>971</v>
      </c>
      <c r="D201" s="0" t="s">
        <v>969</v>
      </c>
    </row>
    <row r="202">
      <c r="A202" s="0" t="s">
        <v>315</v>
      </c>
      <c r="B202" s="0" t="s">
        <v>544</v>
      </c>
    </row>
    <row r="203">
      <c r="A203" s="0" t="s">
        <v>316</v>
      </c>
      <c r="B203" s="0" t="s">
        <v>544</v>
      </c>
    </row>
    <row r="204">
      <c r="A204" s="0" t="s">
        <v>317</v>
      </c>
      <c r="B204" s="0" t="s">
        <v>544</v>
      </c>
    </row>
    <row r="205">
      <c r="A205" s="0" t="s">
        <v>318</v>
      </c>
      <c r="B205" s="0" t="s">
        <v>544</v>
      </c>
    </row>
    <row r="206">
      <c r="A206" s="0" t="s">
        <v>548</v>
      </c>
      <c r="B206" s="0" t="s">
        <v>544</v>
      </c>
    </row>
    <row r="207">
      <c r="A207" s="0" t="s">
        <v>549</v>
      </c>
      <c r="B207" s="0" t="s">
        <v>544</v>
      </c>
      <c r="C207" s="0" t="s">
        <v>544</v>
      </c>
    </row>
    <row r="208">
      <c r="A208" s="0" t="s">
        <v>550</v>
      </c>
      <c r="B208" s="0" t="s">
        <v>544</v>
      </c>
    </row>
    <row r="209">
      <c r="A209" s="0" t="s">
        <v>319</v>
      </c>
      <c r="B209" s="0" t="s">
        <v>544</v>
      </c>
    </row>
    <row r="210">
      <c r="A210" s="0" t="s">
        <v>320</v>
      </c>
      <c r="B210" s="0" t="s">
        <v>1024</v>
      </c>
      <c r="C210" s="0" t="s">
        <v>1025</v>
      </c>
      <c r="D210" s="0" t="s">
        <v>1026</v>
      </c>
    </row>
    <row r="211">
      <c r="A211" s="0" t="s">
        <v>551</v>
      </c>
      <c r="B211" s="0" t="s">
        <v>969</v>
      </c>
      <c r="C211" s="0" t="s">
        <v>972</v>
      </c>
      <c r="D211" s="0" t="s">
        <v>971</v>
      </c>
    </row>
    <row r="212">
      <c r="A212" s="0" t="s">
        <v>321</v>
      </c>
      <c r="B212" s="0" t="s">
        <v>544</v>
      </c>
    </row>
    <row r="213">
      <c r="A213" s="0" t="s">
        <v>553</v>
      </c>
      <c r="B213" s="0" t="s">
        <v>972</v>
      </c>
      <c r="C213" s="0" t="s">
        <v>1027</v>
      </c>
      <c r="D213" s="0" t="s">
        <v>1028</v>
      </c>
      <c r="E213" s="0" t="s">
        <v>971</v>
      </c>
      <c r="F213" s="0" t="s">
        <v>969</v>
      </c>
    </row>
    <row r="214">
      <c r="A214" s="0" t="s">
        <v>322</v>
      </c>
      <c r="B214" s="0" t="s">
        <v>544</v>
      </c>
    </row>
    <row r="215">
      <c r="A215" s="0" t="s">
        <v>323</v>
      </c>
      <c r="B215" s="0" t="s">
        <v>544</v>
      </c>
    </row>
    <row r="216">
      <c r="A216" s="0" t="s">
        <v>324</v>
      </c>
      <c r="B216" s="0" t="s">
        <v>972</v>
      </c>
      <c r="C216" s="0" t="s">
        <v>981</v>
      </c>
    </row>
    <row r="217">
      <c r="A217" s="0" t="s">
        <v>556</v>
      </c>
      <c r="B217" s="0" t="s">
        <v>544</v>
      </c>
      <c r="C217" s="0" t="s">
        <v>544</v>
      </c>
      <c r="D217" s="0" t="s">
        <v>544</v>
      </c>
    </row>
    <row r="218">
      <c r="A218" s="0" t="s">
        <v>325</v>
      </c>
      <c r="B218" s="0" t="s">
        <v>544</v>
      </c>
      <c r="C218" s="0" t="s">
        <v>544</v>
      </c>
      <c r="D218" s="0" t="s">
        <v>544</v>
      </c>
    </row>
    <row r="219">
      <c r="A219" s="0" t="s">
        <v>326</v>
      </c>
      <c r="B219" s="0" t="s">
        <v>972</v>
      </c>
      <c r="C219" s="0" t="s">
        <v>971</v>
      </c>
      <c r="D219" s="0" t="s">
        <v>969</v>
      </c>
    </row>
    <row r="220">
      <c r="A220" s="0" t="s">
        <v>327</v>
      </c>
      <c r="B220" s="0" t="s">
        <v>972</v>
      </c>
      <c r="C220" s="0" t="s">
        <v>971</v>
      </c>
      <c r="D220" s="0" t="s">
        <v>969</v>
      </c>
      <c r="E220" s="0" t="s">
        <v>973</v>
      </c>
      <c r="F220" s="0" t="s">
        <v>974</v>
      </c>
    </row>
    <row r="221">
      <c r="A221" s="0" t="s">
        <v>328</v>
      </c>
      <c r="B221" s="0" t="s">
        <v>972</v>
      </c>
      <c r="C221" s="0" t="s">
        <v>971</v>
      </c>
      <c r="D221" s="0" t="s">
        <v>969</v>
      </c>
      <c r="E221" s="0" t="s">
        <v>973</v>
      </c>
      <c r="F221" s="0" t="s">
        <v>974</v>
      </c>
    </row>
    <row r="222">
      <c r="A222" s="0" t="s">
        <v>558</v>
      </c>
      <c r="B222" s="0" t="s">
        <v>544</v>
      </c>
      <c r="C222" s="0" t="s">
        <v>544</v>
      </c>
      <c r="D222" s="0" t="s">
        <v>544</v>
      </c>
    </row>
    <row r="223">
      <c r="A223" s="0" t="s">
        <v>329</v>
      </c>
      <c r="B223" s="0" t="s">
        <v>544</v>
      </c>
      <c r="C223" s="0" t="s">
        <v>544</v>
      </c>
      <c r="D223" s="0" t="s">
        <v>544</v>
      </c>
    </row>
    <row r="224">
      <c r="A224" s="0" t="s">
        <v>330</v>
      </c>
      <c r="B224" s="0" t="s">
        <v>972</v>
      </c>
      <c r="C224" s="0" t="s">
        <v>971</v>
      </c>
      <c r="D224" s="0" t="s">
        <v>969</v>
      </c>
    </row>
    <row r="225">
      <c r="A225" s="0" t="s">
        <v>331</v>
      </c>
      <c r="B225" s="0" t="s">
        <v>981</v>
      </c>
      <c r="C225" s="0" t="s">
        <v>971</v>
      </c>
    </row>
    <row r="226">
      <c r="A226" s="0" t="s">
        <v>559</v>
      </c>
      <c r="B226" s="0" t="s">
        <v>544</v>
      </c>
    </row>
    <row r="227">
      <c r="A227" s="0" t="s">
        <v>332</v>
      </c>
      <c r="B227" s="0" t="s">
        <v>544</v>
      </c>
    </row>
    <row r="228">
      <c r="A228" s="0" t="s">
        <v>560</v>
      </c>
      <c r="B228" s="0" t="s">
        <v>544</v>
      </c>
      <c r="C228" s="0" t="s">
        <v>544</v>
      </c>
    </row>
    <row r="229">
      <c r="A229" s="0" t="s">
        <v>333</v>
      </c>
      <c r="B229" s="0" t="s">
        <v>544</v>
      </c>
      <c r="C229" s="0" t="s">
        <v>544</v>
      </c>
    </row>
    <row r="230">
      <c r="A230" s="0" t="s">
        <v>334</v>
      </c>
      <c r="B230" s="0" t="s">
        <v>544</v>
      </c>
      <c r="C230" s="0" t="s">
        <v>544</v>
      </c>
      <c r="D230" s="0" t="s">
        <v>544</v>
      </c>
    </row>
    <row r="231">
      <c r="A231" s="0" t="s">
        <v>561</v>
      </c>
      <c r="B231" s="0" t="s">
        <v>544</v>
      </c>
      <c r="C231" s="0" t="s">
        <v>544</v>
      </c>
      <c r="D231" s="0" t="s">
        <v>544</v>
      </c>
    </row>
    <row r="232">
      <c r="A232" s="0" t="s">
        <v>335</v>
      </c>
      <c r="B232" s="0" t="s">
        <v>544</v>
      </c>
      <c r="C232" s="0" t="s">
        <v>544</v>
      </c>
      <c r="D232" s="0" t="s">
        <v>544</v>
      </c>
    </row>
    <row r="233">
      <c r="A233" s="0" t="s">
        <v>336</v>
      </c>
      <c r="B233" s="0" t="s">
        <v>1029</v>
      </c>
      <c r="C233" s="0" t="s">
        <v>1030</v>
      </c>
      <c r="D233" s="0" t="s">
        <v>544</v>
      </c>
    </row>
    <row r="234">
      <c r="A234" s="0" t="s">
        <v>562</v>
      </c>
      <c r="B234" s="0" t="s">
        <v>544</v>
      </c>
      <c r="C234" s="0" t="s">
        <v>544</v>
      </c>
    </row>
    <row r="235">
      <c r="A235" s="0" t="s">
        <v>563</v>
      </c>
      <c r="B235" s="0" t="s">
        <v>544</v>
      </c>
      <c r="C235" s="0" t="s">
        <v>544</v>
      </c>
    </row>
    <row r="236">
      <c r="A236" s="0" t="s">
        <v>564</v>
      </c>
      <c r="B236" s="0" t="s">
        <v>544</v>
      </c>
      <c r="C236" s="0" t="s">
        <v>544</v>
      </c>
    </row>
    <row r="237">
      <c r="A237" s="0" t="s">
        <v>565</v>
      </c>
      <c r="B237" s="0" t="s">
        <v>544</v>
      </c>
    </row>
    <row r="238">
      <c r="A238" s="0" t="s">
        <v>567</v>
      </c>
      <c r="B238" s="0" t="s">
        <v>972</v>
      </c>
      <c r="C238" s="0" t="s">
        <v>970</v>
      </c>
      <c r="D238" s="0" t="s">
        <v>971</v>
      </c>
      <c r="E238" s="0" t="s">
        <v>969</v>
      </c>
    </row>
    <row r="239">
      <c r="A239" s="0" t="s">
        <v>337</v>
      </c>
      <c r="B239" s="0" t="s">
        <v>544</v>
      </c>
    </row>
    <row r="240">
      <c r="A240" s="0" t="s">
        <v>338</v>
      </c>
      <c r="B240" s="0" t="s">
        <v>544</v>
      </c>
    </row>
    <row r="241">
      <c r="A241" s="0" t="s">
        <v>339</v>
      </c>
      <c r="B241" s="0" t="s">
        <v>544</v>
      </c>
    </row>
    <row r="242">
      <c r="A242" s="0" t="s">
        <v>340</v>
      </c>
      <c r="B242" s="0" t="s">
        <v>544</v>
      </c>
    </row>
    <row r="243">
      <c r="A243" s="0" t="s">
        <v>568</v>
      </c>
      <c r="B243" s="0" t="s">
        <v>544</v>
      </c>
    </row>
    <row r="244">
      <c r="A244" s="0" t="s">
        <v>341</v>
      </c>
      <c r="B244" s="0" t="s">
        <v>544</v>
      </c>
      <c r="C244" s="0" t="s">
        <v>544</v>
      </c>
      <c r="D244" s="0" t="s">
        <v>544</v>
      </c>
      <c r="E244" s="0" t="s">
        <v>544</v>
      </c>
    </row>
    <row r="245">
      <c r="A245" s="0" t="s">
        <v>342</v>
      </c>
      <c r="B245" s="0" t="s">
        <v>544</v>
      </c>
      <c r="C245" s="0" t="s">
        <v>544</v>
      </c>
    </row>
    <row r="246">
      <c r="A246" s="0" t="s">
        <v>569</v>
      </c>
      <c r="B246" s="0" t="s">
        <v>544</v>
      </c>
      <c r="C246" s="0" t="s">
        <v>544</v>
      </c>
    </row>
    <row r="247">
      <c r="A247" s="0" t="s">
        <v>343</v>
      </c>
      <c r="B247" s="0" t="s">
        <v>544</v>
      </c>
      <c r="C247" s="0" t="s">
        <v>544</v>
      </c>
      <c r="D247" s="0" t="s">
        <v>544</v>
      </c>
    </row>
    <row r="248">
      <c r="A248" s="0" t="s">
        <v>344</v>
      </c>
      <c r="B248" s="0" t="s">
        <v>544</v>
      </c>
      <c r="C248" s="0" t="s">
        <v>544</v>
      </c>
      <c r="D248" s="0" t="s">
        <v>544</v>
      </c>
    </row>
    <row r="249">
      <c r="A249" s="0" t="s">
        <v>570</v>
      </c>
      <c r="B249" s="0" t="s">
        <v>972</v>
      </c>
      <c r="C249" s="0" t="s">
        <v>970</v>
      </c>
      <c r="D249" s="0" t="s">
        <v>1031</v>
      </c>
      <c r="E249" s="0" t="s">
        <v>971</v>
      </c>
      <c r="F249" s="0" t="s">
        <v>969</v>
      </c>
      <c r="G249" s="0" t="s">
        <v>973</v>
      </c>
      <c r="H249" s="0" t="s">
        <v>974</v>
      </c>
      <c r="I249" s="0" t="s">
        <v>1032</v>
      </c>
      <c r="J249" s="0" t="s">
        <v>1033</v>
      </c>
    </row>
    <row r="250">
      <c r="A250" s="0" t="s">
        <v>345</v>
      </c>
      <c r="B250" s="0" t="s">
        <v>972</v>
      </c>
      <c r="C250" s="0" t="s">
        <v>970</v>
      </c>
      <c r="D250" s="0" t="s">
        <v>971</v>
      </c>
      <c r="E250" s="0" t="s">
        <v>969</v>
      </c>
      <c r="F250" s="0" t="s">
        <v>973</v>
      </c>
      <c r="G250" s="0" t="s">
        <v>974</v>
      </c>
    </row>
    <row r="251">
      <c r="A251" s="0" t="s">
        <v>347</v>
      </c>
      <c r="B251" s="0" t="s">
        <v>972</v>
      </c>
      <c r="C251" s="0" t="s">
        <v>970</v>
      </c>
      <c r="D251" s="0" t="s">
        <v>981</v>
      </c>
      <c r="E251" s="0" t="s">
        <v>980</v>
      </c>
      <c r="F251" s="0" t="s">
        <v>971</v>
      </c>
      <c r="G251" s="0" t="s">
        <v>969</v>
      </c>
      <c r="H251" s="0" t="s">
        <v>973</v>
      </c>
      <c r="I251" s="0" t="s">
        <v>974</v>
      </c>
    </row>
    <row r="252">
      <c r="A252" s="0" t="s">
        <v>348</v>
      </c>
      <c r="B252" s="0" t="s">
        <v>972</v>
      </c>
      <c r="C252" s="0" t="s">
        <v>970</v>
      </c>
      <c r="D252" s="0" t="s">
        <v>981</v>
      </c>
      <c r="E252" s="0" t="s">
        <v>980</v>
      </c>
      <c r="F252" s="0" t="s">
        <v>971</v>
      </c>
      <c r="G252" s="0" t="s">
        <v>969</v>
      </c>
      <c r="H252" s="0" t="s">
        <v>973</v>
      </c>
      <c r="I252" s="0" t="s">
        <v>974</v>
      </c>
    </row>
    <row r="253">
      <c r="A253" s="0" t="s">
        <v>349</v>
      </c>
      <c r="B253" s="0" t="s">
        <v>972</v>
      </c>
      <c r="C253" s="0" t="s">
        <v>1027</v>
      </c>
      <c r="D253" s="0" t="s">
        <v>1028</v>
      </c>
      <c r="E253" s="0" t="s">
        <v>971</v>
      </c>
      <c r="F253" s="0" t="s">
        <v>969</v>
      </c>
    </row>
    <row r="254">
      <c r="A254" s="0" t="s">
        <v>350</v>
      </c>
      <c r="B254" s="0" t="s">
        <v>972</v>
      </c>
      <c r="C254" s="0" t="s">
        <v>1034</v>
      </c>
      <c r="D254" s="0" t="s">
        <v>1035</v>
      </c>
      <c r="E254" s="0" t="s">
        <v>1036</v>
      </c>
      <c r="F254" s="0" t="s">
        <v>1037</v>
      </c>
    </row>
    <row r="255">
      <c r="A255" s="0" t="s">
        <v>351</v>
      </c>
      <c r="B255" s="0" t="s">
        <v>972</v>
      </c>
      <c r="C255" s="0" t="s">
        <v>1034</v>
      </c>
      <c r="D255" s="0" t="s">
        <v>1035</v>
      </c>
      <c r="E255" s="0" t="s">
        <v>1036</v>
      </c>
      <c r="F255" s="0" t="s">
        <v>1037</v>
      </c>
    </row>
    <row r="256">
      <c r="A256" s="0" t="s">
        <v>571</v>
      </c>
      <c r="B256" s="0" t="s">
        <v>972</v>
      </c>
      <c r="C256" s="0" t="s">
        <v>970</v>
      </c>
      <c r="D256" s="0" t="s">
        <v>971</v>
      </c>
      <c r="E256" s="0" t="s">
        <v>969</v>
      </c>
      <c r="F256" s="0" t="s">
        <v>973</v>
      </c>
      <c r="G256" s="0" t="s">
        <v>974</v>
      </c>
    </row>
    <row r="257">
      <c r="A257" s="0" t="s">
        <v>352</v>
      </c>
      <c r="B257" s="0" t="s">
        <v>544</v>
      </c>
      <c r="C257" s="0" t="s">
        <v>544</v>
      </c>
      <c r="D257" s="0" t="s">
        <v>544</v>
      </c>
    </row>
    <row r="258">
      <c r="A258" s="0" t="s">
        <v>353</v>
      </c>
      <c r="B258" s="0" t="s">
        <v>544</v>
      </c>
      <c r="C258" s="0" t="s">
        <v>544</v>
      </c>
      <c r="D258" s="0" t="s">
        <v>544</v>
      </c>
      <c r="E258" s="0" t="s">
        <v>544</v>
      </c>
    </row>
    <row r="259">
      <c r="A259" s="0" t="s">
        <v>354</v>
      </c>
      <c r="B259" s="0" t="s">
        <v>972</v>
      </c>
      <c r="C259" s="0" t="s">
        <v>981</v>
      </c>
      <c r="D259" s="0" t="s">
        <v>980</v>
      </c>
    </row>
    <row r="260">
      <c r="A260" s="0" t="s">
        <v>355</v>
      </c>
      <c r="B260" s="0" t="s">
        <v>972</v>
      </c>
      <c r="C260" s="0" t="s">
        <v>981</v>
      </c>
      <c r="D260" s="0" t="s">
        <v>980</v>
      </c>
    </row>
    <row r="261">
      <c r="A261" s="0" t="s">
        <v>572</v>
      </c>
      <c r="B261" s="0" t="s">
        <v>972</v>
      </c>
      <c r="C261" s="0" t="s">
        <v>971</v>
      </c>
      <c r="D261" s="0" t="s">
        <v>969</v>
      </c>
    </row>
    <row r="262">
      <c r="A262" s="0" t="s">
        <v>356</v>
      </c>
      <c r="B262" s="0" t="s">
        <v>972</v>
      </c>
      <c r="C262" s="0" t="s">
        <v>970</v>
      </c>
      <c r="D262" s="0" t="s">
        <v>971</v>
      </c>
      <c r="E262" s="0" t="s">
        <v>969</v>
      </c>
      <c r="F262" s="0" t="s">
        <v>973</v>
      </c>
      <c r="G262" s="0" t="s">
        <v>974</v>
      </c>
    </row>
    <row r="263">
      <c r="A263" s="0" t="s">
        <v>573</v>
      </c>
      <c r="B263" s="0" t="s">
        <v>544</v>
      </c>
      <c r="C263" s="0" t="s">
        <v>544</v>
      </c>
      <c r="D263" s="0" t="s">
        <v>544</v>
      </c>
      <c r="E263" s="0" t="s">
        <v>544</v>
      </c>
    </row>
    <row r="264">
      <c r="A264" s="0" t="s">
        <v>357</v>
      </c>
      <c r="B264" s="0" t="s">
        <v>544</v>
      </c>
      <c r="C264" s="0" t="s">
        <v>544</v>
      </c>
      <c r="D264" s="0" t="s">
        <v>544</v>
      </c>
      <c r="E264" s="0" t="s">
        <v>544</v>
      </c>
      <c r="F264" s="0" t="s">
        <v>544</v>
      </c>
    </row>
    <row r="265">
      <c r="A265" s="0" t="s">
        <v>358</v>
      </c>
      <c r="B265" s="0" t="s">
        <v>544</v>
      </c>
    </row>
    <row r="266">
      <c r="A266" s="0" t="s">
        <v>359</v>
      </c>
      <c r="B266" s="0" t="s">
        <v>544</v>
      </c>
    </row>
    <row r="267">
      <c r="A267" s="0" t="s">
        <v>574</v>
      </c>
      <c r="B267" s="0" t="s">
        <v>971</v>
      </c>
      <c r="C267" s="0" t="s">
        <v>969</v>
      </c>
    </row>
    <row r="268">
      <c r="A268" s="0" t="s">
        <v>360</v>
      </c>
      <c r="B268" s="0" t="s">
        <v>544</v>
      </c>
    </row>
    <row r="269">
      <c r="A269" s="0" t="s">
        <v>575</v>
      </c>
      <c r="B269" s="0" t="s">
        <v>544</v>
      </c>
    </row>
  </sheetData>
  <headerFooter/>
</worksheet>
</file>

<file path=xl/worksheets/sheet33.xml><?xml version="1.0" encoding="utf-8"?>
<worksheet xmlns:r="http://schemas.openxmlformats.org/officeDocument/2006/relationships" xmlns="http://schemas.openxmlformats.org/spreadsheetml/2006/main" xmlns:xr="http://schemas.microsoft.com/office/spreadsheetml/2014/revision" xmlns:mc="http://schemas.openxmlformats.org/markup-compatibility/2006" mc:Ignorable="xr">
  <sheetPr codeName="RRUs"/>
  <dimension ref="A1:A29"/>
  <sheetViews>
    <sheetView workbookViewId="0"/>
  </sheetViews>
  <sheetFormatPr defaultRowHeight="15"/>
  <sheetData>
    <row r="1">
      <c r="A1" s="0" t="s">
        <v>1038</v>
      </c>
    </row>
    <row r="2">
      <c r="A2" s="0" t="s">
        <v>1039</v>
      </c>
    </row>
    <row r="3">
      <c r="A3" s="0" t="s">
        <v>1040</v>
      </c>
    </row>
    <row r="4">
      <c r="A4" s="0" t="s">
        <v>1041</v>
      </c>
    </row>
    <row r="5">
      <c r="A5" s="0" t="s">
        <v>1042</v>
      </c>
    </row>
    <row r="6">
      <c r="A6" s="0" t="s">
        <v>54</v>
      </c>
    </row>
    <row r="7">
      <c r="A7" s="0" t="s">
        <v>1043</v>
      </c>
    </row>
    <row r="8">
      <c r="A8" s="0" t="s">
        <v>1044</v>
      </c>
    </row>
    <row r="9">
      <c r="A9" s="0" t="s">
        <v>1045</v>
      </c>
    </row>
    <row r="10">
      <c r="A10" s="0" t="s">
        <v>1046</v>
      </c>
    </row>
    <row r="11">
      <c r="A11" s="0" t="s">
        <v>1047</v>
      </c>
    </row>
    <row r="12">
      <c r="A12" s="0" t="s">
        <v>1048</v>
      </c>
    </row>
    <row r="13">
      <c r="A13" s="0" t="s">
        <v>1049</v>
      </c>
    </row>
    <row r="14">
      <c r="A14" s="0" t="s">
        <v>1050</v>
      </c>
    </row>
    <row r="15">
      <c r="A15" s="0" t="s">
        <v>1051</v>
      </c>
    </row>
    <row r="16">
      <c r="A16" s="0" t="s">
        <v>1052</v>
      </c>
    </row>
    <row r="17">
      <c r="A17" s="0" t="s">
        <v>614</v>
      </c>
    </row>
    <row r="18">
      <c r="A18" s="0" t="s">
        <v>1053</v>
      </c>
    </row>
    <row r="19">
      <c r="A19" s="0" t="s">
        <v>1054</v>
      </c>
    </row>
    <row r="20">
      <c r="A20" s="0" t="s">
        <v>1055</v>
      </c>
    </row>
    <row r="21">
      <c r="A21" s="0" t="s">
        <v>1056</v>
      </c>
    </row>
    <row r="22">
      <c r="A22" s="0" t="s">
        <v>53</v>
      </c>
    </row>
    <row r="23">
      <c r="A23" s="0" t="s">
        <v>52</v>
      </c>
    </row>
    <row r="24">
      <c r="A24" s="0" t="s">
        <v>1057</v>
      </c>
    </row>
    <row r="25">
      <c r="A25" s="0" t="s">
        <v>1058</v>
      </c>
    </row>
    <row r="26">
      <c r="A26" s="0" t="s">
        <v>1059</v>
      </c>
    </row>
    <row r="27">
      <c r="A27" s="0" t="s">
        <v>1060</v>
      </c>
    </row>
    <row r="28">
      <c r="A28" s="0" t="s">
        <v>1061</v>
      </c>
    </row>
    <row r="29">
      <c r="A29" s="0" t="s">
        <v>60</v>
      </c>
    </row>
  </sheetData>
  <headerFooter/>
</worksheet>
</file>

<file path=xl/worksheets/sheet34.xml><?xml version="1.0" encoding="utf-8"?>
<worksheet xmlns:r="http://schemas.openxmlformats.org/officeDocument/2006/relationships" xmlns="http://schemas.openxmlformats.org/spreadsheetml/2006/main" xmlns:xr="http://schemas.microsoft.com/office/spreadsheetml/2014/revision" xmlns:mc="http://schemas.openxmlformats.org/markup-compatibility/2006" mc:Ignorable="xr">
  <sheetPr codeName="Combiners"/>
  <dimension ref="A1:A44"/>
  <sheetViews>
    <sheetView workbookViewId="0"/>
  </sheetViews>
  <sheetFormatPr defaultRowHeight="15"/>
  <sheetData>
    <row r="1">
      <c r="A1" s="0" t="s">
        <v>1062</v>
      </c>
    </row>
    <row r="2">
      <c r="A2" s="0" t="s">
        <v>1063</v>
      </c>
    </row>
    <row r="3">
      <c r="A3" s="0" t="s">
        <v>1064</v>
      </c>
    </row>
    <row r="4">
      <c r="A4" s="0" t="s">
        <v>1065</v>
      </c>
    </row>
    <row r="5">
      <c r="A5" s="0" t="s">
        <v>1066</v>
      </c>
    </row>
    <row r="6">
      <c r="A6" s="0" t="s">
        <v>1067</v>
      </c>
    </row>
    <row r="7">
      <c r="A7" s="0" t="s">
        <v>1068</v>
      </c>
    </row>
    <row r="8">
      <c r="A8" s="0" t="s">
        <v>1069</v>
      </c>
    </row>
    <row r="9">
      <c r="A9" s="0" t="s">
        <v>1070</v>
      </c>
    </row>
    <row r="10">
      <c r="A10" s="0" t="s">
        <v>1071</v>
      </c>
    </row>
    <row r="11">
      <c r="A11" s="0" t="s">
        <v>1072</v>
      </c>
    </row>
    <row r="12">
      <c r="A12" s="0" t="s">
        <v>1073</v>
      </c>
    </row>
    <row r="13">
      <c r="A13" s="0" t="s">
        <v>1074</v>
      </c>
    </row>
    <row r="14">
      <c r="A14" s="0" t="s">
        <v>1075</v>
      </c>
    </row>
    <row r="15">
      <c r="A15" s="0" t="s">
        <v>1076</v>
      </c>
    </row>
    <row r="16">
      <c r="A16" s="0" t="s">
        <v>1077</v>
      </c>
    </row>
    <row r="17">
      <c r="A17" s="0" t="s">
        <v>1078</v>
      </c>
    </row>
    <row r="18">
      <c r="A18" s="0" t="s">
        <v>1079</v>
      </c>
    </row>
    <row r="19">
      <c r="A19" s="0" t="s">
        <v>1080</v>
      </c>
    </row>
    <row r="20">
      <c r="A20" s="0" t="s">
        <v>1081</v>
      </c>
    </row>
    <row r="21">
      <c r="A21" s="0" t="s">
        <v>1082</v>
      </c>
    </row>
    <row r="22">
      <c r="A22" s="0" t="s">
        <v>1083</v>
      </c>
    </row>
    <row r="23">
      <c r="A23" s="0" t="s">
        <v>1084</v>
      </c>
    </row>
    <row r="24">
      <c r="A24" s="0" t="s">
        <v>1085</v>
      </c>
    </row>
    <row r="25">
      <c r="A25" s="0" t="s">
        <v>1086</v>
      </c>
    </row>
    <row r="26">
      <c r="A26" s="0" t="s">
        <v>1087</v>
      </c>
    </row>
    <row r="27">
      <c r="A27" s="0" t="s">
        <v>1088</v>
      </c>
    </row>
    <row r="28">
      <c r="A28" s="0" t="s">
        <v>1089</v>
      </c>
    </row>
    <row r="29">
      <c r="A29" s="0" t="s">
        <v>1090</v>
      </c>
    </row>
    <row r="30">
      <c r="A30" s="0" t="s">
        <v>1091</v>
      </c>
    </row>
    <row r="31">
      <c r="A31" s="0" t="s">
        <v>1092</v>
      </c>
    </row>
    <row r="32">
      <c r="A32" s="0" t="s">
        <v>1093</v>
      </c>
    </row>
    <row r="33">
      <c r="A33" s="0" t="s">
        <v>1094</v>
      </c>
    </row>
    <row r="34">
      <c r="A34" s="0" t="s">
        <v>1095</v>
      </c>
    </row>
    <row r="35">
      <c r="A35" s="0" t="s">
        <v>1096</v>
      </c>
    </row>
    <row r="36">
      <c r="A36" s="0" t="s">
        <v>1097</v>
      </c>
    </row>
    <row r="37">
      <c r="A37" s="0" t="s">
        <v>1098</v>
      </c>
    </row>
    <row r="38">
      <c r="A38" s="0" t="s">
        <v>1099</v>
      </c>
    </row>
    <row r="39">
      <c r="A39" s="0" t="s">
        <v>1100</v>
      </c>
    </row>
    <row r="40">
      <c r="A40" s="0" t="s">
        <v>729</v>
      </c>
    </row>
    <row r="41">
      <c r="A41" s="0" t="s">
        <v>745</v>
      </c>
    </row>
    <row r="42">
      <c r="A42" s="0" t="s">
        <v>1101</v>
      </c>
    </row>
    <row r="43">
      <c r="A43" s="0" t="s">
        <v>60</v>
      </c>
    </row>
    <row r="44">
      <c r="A44" s="0" t="s">
        <v>1102</v>
      </c>
    </row>
  </sheetData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Common</vt:lpstr>
      <vt:lpstr>Sector 1</vt:lpstr>
      <vt:lpstr>Sector 2</vt:lpstr>
      <vt:lpstr>Sector 3</vt:lpstr>
      <vt:lpstr>Sector 4</vt:lpstr>
      <vt:lpstr>Sector 5</vt:lpstr>
      <vt:lpstr>Sector 6</vt:lpstr>
      <vt:lpstr>Sector 7</vt:lpstr>
      <vt:lpstr>Sector 8</vt:lpstr>
      <vt:lpstr>Sector 9</vt:lpstr>
      <vt:lpstr>Equipment BOM</vt:lpstr>
      <vt:lpstr>Site List</vt:lpstr>
      <vt:lpstr>Antennas Scrap Info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Stefan Velinov</cp:lastModifiedBy>
  <cp:lastPrinted>2016-12-02T09:09:24Z</cp:lastPrinted>
  <dcterms:created xsi:type="dcterms:W3CDTF">2016-04-08T09:50:24Z</dcterms:created>
  <dcterms:modified xsi:type="dcterms:W3CDTF">2023-10-09T06:56:14Z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2768f796-9400-4b68-a5dd-e1fad25f2364_Enabled">
    <vt:lpwstr>true</vt:lpwstr>
  </property>
  <property fmtid="{D5CDD505-2E9C-101B-9397-08002B2CF9AE}" pid="3" name="MSIP_Label_2768f796-9400-4b68-a5dd-e1fad25f2364_SetDate">
    <vt:lpwstr>2022-05-11T07:48:08Z</vt:lpwstr>
  </property>
  <property fmtid="{D5CDD505-2E9C-101B-9397-08002B2CF9AE}" pid="4" name="MSIP_Label_2768f796-9400-4b68-a5dd-e1fad25f2364_Method">
    <vt:lpwstr>Standard</vt:lpwstr>
  </property>
  <property fmtid="{D5CDD505-2E9C-101B-9397-08002B2CF9AE}" pid="5" name="MSIP_Label_2768f796-9400-4b68-a5dd-e1fad25f2364_Name">
    <vt:lpwstr>2768f796-9400-4b68-a5dd-e1fad25f2364</vt:lpwstr>
  </property>
  <property fmtid="{D5CDD505-2E9C-101B-9397-08002B2CF9AE}" pid="6" name="MSIP_Label_2768f796-9400-4b68-a5dd-e1fad25f2364_SiteId">
    <vt:lpwstr>2e318a00-b44f-4acd-ade2-4c9e434f9644</vt:lpwstr>
  </property>
  <property fmtid="{D5CDD505-2E9C-101B-9397-08002B2CF9AE}" pid="7" name="MSIP_Label_2768f796-9400-4b68-a5dd-e1fad25f2364_ActionId">
    <vt:lpwstr>6ad2551a-e110-4caa-a895-adbfdf2fb66b</vt:lpwstr>
  </property>
  <property fmtid="{D5CDD505-2E9C-101B-9397-08002B2CF9AE}" pid="8" name="MSIP_Label_2768f796-9400-4b68-a5dd-e1fad25f2364_ContentBits">
    <vt:lpwstr>0</vt:lpwstr>
  </property>
</Properties>
</file>