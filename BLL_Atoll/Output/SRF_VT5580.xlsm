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xml" Extension="xml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  <Override ContentType="application/vnd.openxmlformats-officedocument.theme+xml" PartName="/xl/theme/theme1.xml"/>
  <Override ContentType="application/vnd.openxmlformats-officedocument.spreadsheetml.styles+xml" PartName="/xl/styles.xml"/>
  <Override ContentType="application/vnd.openxmlformats-officedocument.spreadsheetml.worksheet+xml" PartName="/xl/worksheets/sheet3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table+xml" PartName="/xl/tables/table1.xml"/>
  <Override ContentType="application/vnd.openxmlformats-officedocument.spreadsheetml.table+xml" PartName="/xl/tables/table2.xml"/>
  <Override ContentType="application/vnd.openxmlformats-officedocument.spreadsheetml.sharedStrings+xml" PartName="/xl/sharedStrings.xml"/>
  <Override ContentType="application/vnd.ms-office.vbaProject" PartName="/xl/vbaProject.bin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custom-properties+xml" PartName="/docProps/custom.xml"/>
  <Override ContentType="application/vnd.openxmlformats-officedocument.spreadsheetml.worksheet+xml" PartName="/xl/worksheets/sheet32.xml"/>
  <Override ContentType="application/vnd.openxmlformats-officedocument.spreadsheetml.worksheet+xml" PartName="/xl/worksheets/sheet33.xml"/>
  <Override ContentType="application/vnd.openxmlformats-officedocument.spreadsheetml.worksheet+xml" PartName="/xl/worksheets/sheet34.xml"/>
</Types>
</file>

<file path=_rels/.rels><?xml version="1.0" encoding="UTF-8" standalone="yes"?>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s\SV\Shiva_5G_Atoll\Shiva_5G\BLL_Atoll\Resources\"/>
    </mc:Choice>
  </mc:AlternateContent>
  <bookViews>
    <workbookView xWindow="-120" yWindow="-120" windowWidth="27270" windowHeight="16440" tabRatio="866" activeTab="10"/>
  </bookViews>
  <sheets>
    <sheet name="Common" sheetId="13" r:id="rId1"/>
    <sheet name="Sector 1" sheetId="8" r:id="rId2"/>
    <sheet name="Sector 2" sheetId="11" r:id="rId3"/>
    <sheet name="Sector 3" sheetId="12" r:id="rId4"/>
    <sheet name="Sector 4" sheetId="14" state="hidden" r:id="rId5"/>
    <sheet name="Sector 5" sheetId="24" state="hidden" r:id="rId6"/>
    <sheet name="Sector 6" sheetId="25" state="hidden" r:id="rId7"/>
    <sheet name="Sector 7" sheetId="26" state="hidden" r:id="rId8"/>
    <sheet name="Sector 8" sheetId="27" state="hidden" r:id="rId9"/>
    <sheet name="Sector 9" sheetId="28" state="hidden" r:id="rId10"/>
    <sheet name="Equipment BOM" sheetId="23" r:id="rId11"/>
    <sheet name="Site List" sheetId="29" r:id="rId12"/>
    <sheet name="Antennas Scrap Info" sheetId="30" state="hidden" r:id="rId13"/>
    <sheet name="Antennas" sheetId="31" r:id="rId19" state="hidden"/>
    <sheet name="AntennasPortName" sheetId="32" r:id="rId20" state="hidden"/>
    <sheet name="RRUs" sheetId="33" r:id="rId21" state="hidden"/>
    <sheet name="Combiners" sheetId="34" r:id="rId22" state="hidden"/>
  </sheets>
  <functionGroups builtInGroupCount="18"/>
  <definedNames>
    <definedName name="BSC">#REF!</definedName>
    <definedName name="Candidate">#REF!</definedName>
    <definedName name="GSM_equip_type">#REF!</definedName>
    <definedName name="Install_type">#REF!</definedName>
    <definedName name="revision">#REF!</definedName>
    <definedName name="RNC">#REF!</definedName>
    <definedName name="Structure_type">#REF!</definedName>
    <definedName name="_xlnm._FilterDatabase" localSheetId="1" hidden="1">'Sector 1'!#REF!</definedName>
    <definedName name="BSC" localSheetId="1">#REF!</definedName>
    <definedName name="Candidate" localSheetId="1">#REF!</definedName>
    <definedName name="GSM_equip_type" localSheetId="1">#REF!</definedName>
    <definedName name="Install_type" localSheetId="1">#REF!</definedName>
    <definedName name="revision" localSheetId="1">#REF!</definedName>
    <definedName name="RNC" localSheetId="1">#REF!</definedName>
    <definedName name="Structure_type" localSheetId="1">#REF!</definedName>
    <definedName name="_xlnm._FilterDatabase" localSheetId="2" hidden="1">'Sector 2'!#REF!</definedName>
    <definedName name="BSC" localSheetId="2">#REF!</definedName>
    <definedName name="Candidate" localSheetId="2">#REF!</definedName>
    <definedName name="GSM_equip_type" localSheetId="2">#REF!</definedName>
    <definedName name="Install_type" localSheetId="2">#REF!</definedName>
    <definedName name="revision" localSheetId="2">#REF!</definedName>
    <definedName name="RNC" localSheetId="2">#REF!</definedName>
    <definedName name="Structure_type" localSheetId="2">#REF!</definedName>
    <definedName name="_xlnm._FilterDatabase" localSheetId="3" hidden="1">'Sector 3'!#REF!</definedName>
    <definedName name="BSC" localSheetId="3">#REF!</definedName>
    <definedName name="Candidate" localSheetId="3">#REF!</definedName>
    <definedName name="GSM_equip_type" localSheetId="3">#REF!</definedName>
    <definedName name="Install_type" localSheetId="3">#REF!</definedName>
    <definedName name="revision" localSheetId="3">#REF!</definedName>
    <definedName name="RNC" localSheetId="3">#REF!</definedName>
    <definedName name="Structure_type" localSheetId="3">#REF!</definedName>
    <definedName name="_xlnm._FilterDatabase" localSheetId="4" hidden="1">'Sector 4'!#REF!</definedName>
    <definedName name="BSC" localSheetId="4">#REF!</definedName>
    <definedName name="Candidate" localSheetId="4">#REF!</definedName>
    <definedName name="GSM_equip_type" localSheetId="4">#REF!</definedName>
    <definedName name="Install_type" localSheetId="4">#REF!</definedName>
    <definedName name="revision" localSheetId="4">#REF!</definedName>
    <definedName name="RNC" localSheetId="4">#REF!</definedName>
    <definedName name="Structure_type" localSheetId="4">#REF!</definedName>
    <definedName name="_xlnm._FilterDatabase" localSheetId="10" hidden="1">'Equipment BOM'!$A$1:$D$234</definedName>
  </definedNames>
  <calcPr calcId="152511" fullCalcOnLoad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<sst xmlns="http://schemas.openxmlformats.org/spreadsheetml/2006/main" count="1103" uniqueCount="1103">
  <si>
    <t>Sector 3</t>
  </si>
  <si>
    <t>Antenna #</t>
  </si>
  <si>
    <t>Pole Current</t>
  </si>
  <si>
    <t>Pole New</t>
  </si>
  <si>
    <t>Azimuth Current</t>
  </si>
  <si>
    <t>Azimuth New</t>
  </si>
  <si>
    <t xml:space="preserve">AntennaType Current </t>
  </si>
  <si>
    <t>ASI4518R10v18</t>
  </si>
  <si>
    <t xml:space="preserve">AntennaType New </t>
  </si>
  <si>
    <t>AntennaMount Current</t>
  </si>
  <si>
    <t>STK</t>
  </si>
  <si>
    <t>AntennaMount New</t>
  </si>
  <si>
    <t>AGL Current</t>
  </si>
  <si>
    <t>AGL New</t>
  </si>
  <si>
    <t>ARTL Current</t>
  </si>
  <si>
    <t>ARTL New</t>
  </si>
  <si>
    <t>MechanicalTilt Current</t>
  </si>
  <si>
    <t>MechanicalTilt New</t>
  </si>
  <si>
    <t>Antenna port #</t>
  </si>
  <si>
    <t>1-2</t>
  </si>
  <si>
    <t>3-4</t>
  </si>
  <si>
    <t>5-6</t>
  </si>
  <si>
    <t>7-8</t>
  </si>
  <si>
    <t>9-10</t>
  </si>
  <si>
    <t>11-12</t>
  </si>
  <si>
    <t>PortName Current</t>
  </si>
  <si>
    <t>Lr1</t>
  </si>
  <si>
    <t>Rr2</t>
  </si>
  <si>
    <t>LBy1</t>
  </si>
  <si>
    <t>LTy2</t>
  </si>
  <si>
    <t>RBy3</t>
  </si>
  <si>
    <t>RTy4</t>
  </si>
  <si>
    <t>PortName New</t>
  </si>
  <si>
    <t>BandRange Current</t>
  </si>
  <si>
    <t>690-960</t>
  </si>
  <si>
    <t>1695-2690</t>
  </si>
  <si>
    <t>BandRange New</t>
  </si>
  <si>
    <t>Port occupancy</t>
  </si>
  <si>
    <t>Collocation party</t>
  </si>
  <si>
    <t>Technology Current</t>
  </si>
  <si>
    <t>Free</t>
  </si>
  <si>
    <t>L G U</t>
  </si>
  <si>
    <t>L DSS</t>
  </si>
  <si>
    <t>U L DSS</t>
  </si>
  <si>
    <t>Technology New</t>
  </si>
  <si>
    <t>Etilt Current</t>
  </si>
  <si>
    <t>Etilt New</t>
  </si>
  <si>
    <t>RET Current</t>
  </si>
  <si>
    <t>RET New</t>
  </si>
  <si>
    <t>Feeder_Type Current</t>
  </si>
  <si>
    <t>RRU TOP JUMPER</t>
  </si>
  <si>
    <t>Feeder_Type New</t>
  </si>
  <si>
    <t>Feeder_Length Current</t>
  </si>
  <si>
    <t>Feeder_Length New</t>
  </si>
  <si>
    <t>RRU_Type Current</t>
  </si>
  <si>
    <t>5519et-9</t>
  </si>
  <si>
    <t>5513AC</t>
  </si>
  <si>
    <t>5513DB</t>
  </si>
  <si>
    <t>RRU_Type New</t>
  </si>
  <si>
    <t>TMA Type Current</t>
  </si>
  <si>
    <t>No</t>
  </si>
  <si>
    <t>TMA Type New</t>
  </si>
  <si>
    <t>Combiner_Splitter Current</t>
  </si>
  <si>
    <t>None</t>
  </si>
  <si>
    <t>Combiner_Splitter New</t>
  </si>
  <si>
    <t>Sec_Combiner_Splitter Current</t>
  </si>
  <si>
    <t>Sec_Combiner_Splitter New</t>
  </si>
  <si>
    <r xmlns="http://schemas.openxmlformats.org/spreadsheetml/2006/main">
      <t>Request</t>
    </r>
    <r xmlns="http://schemas.openxmlformats.org/spreadsheetml/2006/main">
      <rPr>
        <b/>
        <sz val="12"/>
        <color theme="0"/>
        <rFont val="Calibri"/>
        <family val="2"/>
        <charset val="204"/>
        <scheme val="minor"/>
      </rPr>
      <t>_</t>
    </r>
    <r xmlns="http://schemas.openxmlformats.org/spreadsheetml/2006/main">
      <rPr>
        <b/>
        <sz val="12"/>
        <color rgb="FFFF0000"/>
        <rFont val="Calibri"/>
        <family val="2"/>
        <scheme val="minor"/>
      </rPr>
      <t>Remarks</t>
    </r>
  </si>
  <si>
    <t>Sector 1</t>
  </si>
  <si>
    <t>Sector 2</t>
  </si>
  <si>
    <t>SiteID</t>
  </si>
  <si>
    <t>VT5580</t>
  </si>
  <si>
    <t>Cell#</t>
  </si>
  <si>
    <t>TRX#</t>
  </si>
  <si>
    <t>Candidate</t>
  </si>
  <si>
    <t>B</t>
  </si>
  <si>
    <t>Current</t>
  </si>
  <si>
    <t>New</t>
  </si>
  <si>
    <r xmlns="http://schemas.openxmlformats.org/spreadsheetml/2006/main">
      <t>Document</t>
    </r>
    <r xmlns="http://schemas.openxmlformats.org/spreadsheetml/2006/main">
      <rPr>
        <sz val="16"/>
        <color theme="0"/>
        <rFont val="Arial"/>
        <family val="2"/>
        <charset val="204"/>
      </rPr>
      <t>_</t>
    </r>
    <r xmlns="http://schemas.openxmlformats.org/spreadsheetml/2006/main">
      <rPr>
        <sz val="16"/>
        <rFont val="Arial"/>
        <family val="2"/>
      </rPr>
      <t>Type</t>
    </r>
  </si>
  <si>
    <t>SRF</t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</si>
  <si>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90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</si>
  <si>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9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</si>
  <si>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</si>
  <si>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</si>
  <si>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900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</si>
  <si>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900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</si>
  <si>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</si>
  <si>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GSM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</si>
  <si>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</si>
  <si>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</si>
  <si>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1800</t>
    </r>
  </si>
  <si>
    <r xmlns="http://schemas.openxmlformats.org/spreadsheetml/2006/main">
      <t>DSS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1800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</si>
  <si>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</si>
  <si>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UMTS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</si>
  <si>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rFont val="Arial"/>
        <family val="2"/>
      </rPr>
      <t>2100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</si>
  <si>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</rPr>
      <t>2100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</si>
  <si>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theme="1"/>
        <rFont val="Arial"/>
        <family val="2"/>
        <charset val="204"/>
      </rPr>
      <t>260</t>
    </r>
    <r xmlns="http://schemas.openxmlformats.org/spreadsheetml/2006/main">
      <rPr>
        <sz val="10"/>
        <rFont val="Arial"/>
        <family val="2"/>
      </rPr>
      <t>0</t>
    </r>
  </si>
  <si>
    <r xmlns="http://schemas.openxmlformats.org/spreadsheetml/2006/main">
      <t>LTE</t>
    </r>
    <r xmlns="http://schemas.openxmlformats.org/spreadsheetml/2006/main">
      <rPr>
        <sz val="10"/>
        <color theme="0"/>
        <rFont val="Arial"/>
        <family val="2"/>
        <charset val="204"/>
      </rPr>
      <t>_</t>
    </r>
    <r xmlns="http://schemas.openxmlformats.org/spreadsheetml/2006/main">
      <rPr>
        <sz val="10"/>
        <color rgb="FFFF0000"/>
        <rFont val="Arial"/>
        <family val="2"/>
        <charset val="204"/>
      </rPr>
      <t>26</t>
    </r>
    <r xmlns="http://schemas.openxmlformats.org/spreadsheetml/2006/main">
      <rPr>
        <sz val="10"/>
        <color rgb="FFFF0000"/>
        <rFont val="Arial"/>
        <family val="2"/>
      </rPr>
      <t>00</t>
    </r>
    <r xmlns="http://schemas.openxmlformats.org/spreadsheetml/2006/main">
      <rPr>
        <sz val="10"/>
        <color theme="0"/>
        <rFont val="Arial"/>
        <family val="2"/>
        <charset val="204"/>
      </rPr>
      <t>N</t>
    </r>
  </si>
  <si>
    <t>NR-TDD 3600</t>
  </si>
  <si>
    <t>NR-TDD 3600N</t>
  </si>
  <si>
    <t>SRF №</t>
  </si>
  <si>
    <t>DateTime</t>
  </si>
  <si>
    <t>2023-11-06</t>
  </si>
  <si>
    <t>Revision</t>
  </si>
  <si>
    <t>SiteName</t>
  </si>
  <si>
    <t>Mogilyov_Bulsatcom</t>
  </si>
  <si>
    <t>Sector 4</t>
  </si>
  <si>
    <t>SiteAddress</t>
  </si>
  <si>
    <t>GABROVOstr. Svishtovska, N75</t>
  </si>
  <si>
    <t>Sector 5</t>
  </si>
  <si>
    <t>SiteOwner</t>
  </si>
  <si>
    <t>TAWAL</t>
  </si>
  <si>
    <t>Sector 6</t>
  </si>
  <si>
    <t>ColocationType</t>
  </si>
  <si>
    <t>NO</t>
  </si>
  <si>
    <t>Sector 7</t>
  </si>
  <si>
    <t>Latitude</t>
  </si>
  <si>
    <t>Sector 8</t>
  </si>
  <si>
    <t>Longitude</t>
  </si>
  <si>
    <t>Sector 9</t>
  </si>
  <si>
    <t>StructureType</t>
  </si>
  <si>
    <t>RT</t>
  </si>
  <si>
    <t>StructureHeight</t>
  </si>
  <si>
    <t>BSC</t>
  </si>
  <si>
    <t>BSC2</t>
  </si>
  <si>
    <t>RNC</t>
  </si>
  <si>
    <t>RNC2</t>
  </si>
  <si>
    <t>CabinetType</t>
  </si>
  <si>
    <t>TRF</t>
  </si>
  <si>
    <t>Project</t>
  </si>
  <si>
    <t>Process</t>
  </si>
  <si>
    <t>RF_Engineer</t>
  </si>
  <si>
    <t>Iva.E.Todorova</t>
  </si>
  <si>
    <t>Mobile</t>
  </si>
  <si>
    <t>+359879856756</t>
  </si>
  <si>
    <t>Email</t>
  </si>
  <si>
    <t>Iva.E.Todorova@vivacom.bg</t>
  </si>
  <si>
    <t xml:space="preserve"> BOM Code</t>
  </si>
  <si>
    <t>SAP Number</t>
  </si>
  <si>
    <t>Type</t>
  </si>
  <si>
    <t>Module</t>
  </si>
  <si>
    <t>Reuse/replace</t>
  </si>
  <si>
    <t>Action</t>
  </si>
  <si>
    <t>De-installation Week</t>
  </si>
  <si>
    <t>Expected Quantity</t>
  </si>
  <si>
    <t>Actual Quantity</t>
  </si>
  <si>
    <t>Remark</t>
  </si>
  <si>
    <t>02311APA</t>
  </si>
  <si>
    <t>RF 1800M</t>
  </si>
  <si>
    <t>RRU3953</t>
  </si>
  <si>
    <t>Reuse</t>
  </si>
  <si>
    <t>dismantled must be returned to SH03 in Schenker against rezervation No.</t>
  </si>
  <si>
    <t>Including 3 PCS bracket and power connector</t>
  </si>
  <si>
    <t>02311PRD</t>
  </si>
  <si>
    <t>RRU5905</t>
  </si>
  <si>
    <t>02311BBK</t>
  </si>
  <si>
    <t>RRU3953w</t>
  </si>
  <si>
    <t>02311UWH</t>
  </si>
  <si>
    <t>RRU5904</t>
  </si>
  <si>
    <t>02311QFY</t>
  </si>
  <si>
    <t>RF 2100M</t>
  </si>
  <si>
    <t>02312CME</t>
  </si>
  <si>
    <t>RF 2600M</t>
  </si>
  <si>
    <t>RRU5304</t>
  </si>
  <si>
    <t>02311HEF</t>
  </si>
  <si>
    <t>RRU3281</t>
  </si>
  <si>
    <t>02311KVB</t>
  </si>
  <si>
    <t>RRU3268</t>
  </si>
  <si>
    <t>02312CHP</t>
  </si>
  <si>
    <t>RF 3500M</t>
  </si>
  <si>
    <t>AAU5613</t>
  </si>
  <si>
    <t>02312DWE</t>
  </si>
  <si>
    <t>AAU5313</t>
  </si>
  <si>
    <t>02311HVE</t>
  </si>
  <si>
    <t>RF 900M</t>
  </si>
  <si>
    <t>02310MNS</t>
  </si>
  <si>
    <t>RRU3936</t>
  </si>
  <si>
    <t>02312BCY</t>
  </si>
  <si>
    <t>02311DYP</t>
  </si>
  <si>
    <t>RF 1800+2100M</t>
  </si>
  <si>
    <t>AAU3940</t>
  </si>
  <si>
    <t>(1) Plastic cap</t>
  </si>
  <si>
    <t>03058542</t>
  </si>
  <si>
    <t>BBP/MPT</t>
  </si>
  <si>
    <t>UMPTg2</t>
  </si>
  <si>
    <t>(2) Standard M10 nut</t>
  </si>
  <si>
    <t>03022HEJ</t>
  </si>
  <si>
    <t>UBBPd3</t>
  </si>
  <si>
    <t>(3) Spring washer</t>
  </si>
  <si>
    <t>03022HEL</t>
  </si>
  <si>
    <t>UBBPd5</t>
  </si>
  <si>
    <t>(4) Thick flat washer</t>
  </si>
  <si>
    <t>03022HEM</t>
  </si>
  <si>
    <t>UBBPd6</t>
  </si>
  <si>
    <t>(5) Square-neck bolt</t>
  </si>
  <si>
    <t>03058707</t>
  </si>
  <si>
    <t>UBBPg2a</t>
  </si>
  <si>
    <t>(6) Hoist clamp on the main bracket</t>
  </si>
  <si>
    <t>02310WYG</t>
  </si>
  <si>
    <t>BBU</t>
  </si>
  <si>
    <t>BBU3910</t>
  </si>
  <si>
    <t>including 1 UPEUd，1 PCS power cable</t>
  </si>
  <si>
    <t>(7) Main bracket</t>
  </si>
  <si>
    <t>no SAP No</t>
  </si>
  <si>
    <t xml:space="preserve">dismantled to be decomposed </t>
  </si>
  <si>
    <t>including 2 UPEUd，2 PCS power cable- to be decomposed</t>
  </si>
  <si>
    <t>(8) Inner hexagon screw</t>
  </si>
  <si>
    <t>02311VBK</t>
  </si>
  <si>
    <t>BBU5900</t>
  </si>
  <si>
    <t>including 1 UPEUe，1 PCS power cable</t>
  </si>
  <si>
    <t>(9) Pole installation bracket</t>
  </si>
  <si>
    <t>including 2 UPEUe，2 PCS power cable- to be decomposed</t>
  </si>
  <si>
    <t>(10) Auxiliary bracket</t>
  </si>
  <si>
    <t>02310SFM</t>
  </si>
  <si>
    <t>UPEUd</t>
  </si>
  <si>
    <t xml:space="preserve">return of  second UPEUd and 1pcs power cable</t>
  </si>
  <si>
    <t>02310MNR</t>
  </si>
  <si>
    <t>02310UPA</t>
  </si>
  <si>
    <t>RRU3826</t>
  </si>
  <si>
    <t>02319897</t>
  </si>
  <si>
    <t>UPEUc</t>
  </si>
  <si>
    <t>02310KKQ</t>
  </si>
  <si>
    <t>02316791</t>
  </si>
  <si>
    <t>RRU3804</t>
  </si>
  <si>
    <t>02310UNY</t>
  </si>
  <si>
    <t>RRU3824</t>
  </si>
  <si>
    <t>02310HFW</t>
  </si>
  <si>
    <t>RRU3926</t>
  </si>
  <si>
    <t>03054885</t>
  </si>
  <si>
    <t>MPT</t>
  </si>
  <si>
    <t>UMPTb1</t>
  </si>
  <si>
    <t>03054886</t>
  </si>
  <si>
    <t>UMPTb2</t>
  </si>
  <si>
    <t>03022ACJ</t>
  </si>
  <si>
    <t>BBP</t>
  </si>
  <si>
    <t>UBRIb</t>
  </si>
  <si>
    <t>03020KWP</t>
  </si>
  <si>
    <t>WBBPb3</t>
  </si>
  <si>
    <t>03020PSS</t>
  </si>
  <si>
    <t>03021HPR</t>
  </si>
  <si>
    <t>WBBPf4</t>
  </si>
  <si>
    <t>02112722</t>
  </si>
  <si>
    <t>BBU3900</t>
  </si>
  <si>
    <t>PDU</t>
  </si>
  <si>
    <t>antenna</t>
  </si>
  <si>
    <t>Scrap</t>
  </si>
  <si>
    <t>YES</t>
  </si>
  <si>
    <t>2CPX208R-V3</t>
  </si>
  <si>
    <t>2H-33A-R2</t>
  </si>
  <si>
    <t>5LPX1106F</t>
  </si>
  <si>
    <t>742192V01</t>
  </si>
  <si>
    <t>742222V01</t>
  </si>
  <si>
    <t>742264V02</t>
  </si>
  <si>
    <t>742265V02</t>
  </si>
  <si>
    <t>742266V00</t>
  </si>
  <si>
    <t>742266V01</t>
  </si>
  <si>
    <t>742266v02</t>
  </si>
  <si>
    <t>742270v03</t>
  </si>
  <si>
    <t>80010123v03</t>
  </si>
  <si>
    <t>80010291V01</t>
  </si>
  <si>
    <t>80010292V01</t>
  </si>
  <si>
    <t>80010292V02</t>
  </si>
  <si>
    <t>80010292V03</t>
  </si>
  <si>
    <t>80010303V02</t>
  </si>
  <si>
    <t>80010306v02</t>
  </si>
  <si>
    <t>80010307V01</t>
  </si>
  <si>
    <t>80010456V02</t>
  </si>
  <si>
    <t>80010517V01</t>
  </si>
  <si>
    <t>80010634V01</t>
  </si>
  <si>
    <t>80010666V01</t>
  </si>
  <si>
    <t>80010691V01</t>
  </si>
  <si>
    <t>80010692V01</t>
  </si>
  <si>
    <t>80010892V01</t>
  </si>
  <si>
    <t>A094519R2v06</t>
  </si>
  <si>
    <t>A094519R3v06</t>
  </si>
  <si>
    <t>A19452101</t>
  </si>
  <si>
    <t>AAU5339W</t>
  </si>
  <si>
    <t>AAU5639</t>
  </si>
  <si>
    <t>AAU5639W</t>
  </si>
  <si>
    <t>ADU451602v01</t>
  </si>
  <si>
    <t>ADU4517R6v06</t>
  </si>
  <si>
    <t>ADU4518R7v06</t>
  </si>
  <si>
    <t>ADU4518R8v06</t>
  </si>
  <si>
    <t>ADU4521R0v06</t>
  </si>
  <si>
    <t>AMB4519R13v06</t>
  </si>
  <si>
    <t>AOC4518R0v06</t>
  </si>
  <si>
    <t>APE4516R1v06</t>
  </si>
  <si>
    <t>AQU4518R24v06</t>
  </si>
  <si>
    <t>AQU4518R24v18</t>
  </si>
  <si>
    <t>AQU4518R25</t>
  </si>
  <si>
    <t>AQU4518R25v06</t>
  </si>
  <si>
    <t>AQU4518R25v18</t>
  </si>
  <si>
    <t>AQU4518R4v06</t>
  </si>
  <si>
    <t>AQU4518R9v06</t>
  </si>
  <si>
    <t>ASI4517R3v06</t>
  </si>
  <si>
    <t>ASI4517R3v18</t>
  </si>
  <si>
    <t>ASI4518R10v06</t>
  </si>
  <si>
    <t>ASI4518R20v06</t>
  </si>
  <si>
    <t>ASI4518R32v06</t>
  </si>
  <si>
    <t>ASI4518R33v06</t>
  </si>
  <si>
    <t>ASI4518R36v06</t>
  </si>
  <si>
    <t>ASI4518R39v06</t>
  </si>
  <si>
    <t>ASPJ 810 Yagi</t>
  </si>
  <si>
    <t>ATR4518R11v06</t>
  </si>
  <si>
    <t>ATR4518R13v06</t>
  </si>
  <si>
    <t>ATR4518R6</t>
  </si>
  <si>
    <t>ATR4518R6v06</t>
  </si>
  <si>
    <t>B08_0868</t>
  </si>
  <si>
    <t>BTS3911E</t>
  </si>
  <si>
    <t>CELLMAX-D-CPUSE-O</t>
  </si>
  <si>
    <t>CMA_3324</t>
  </si>
  <si>
    <t>CMA_BDHH_6521_E0-6</t>
  </si>
  <si>
    <t>CMA_BTHH_3324_E0-6</t>
  </si>
  <si>
    <t>CMA_BTLBHH_6517</t>
  </si>
  <si>
    <t>CMA_UBDHH_6521_E1-10</t>
  </si>
  <si>
    <t>CMA_UBTLBHH_6517_21_21</t>
  </si>
  <si>
    <t>CMAB_3324_E0-6</t>
  </si>
  <si>
    <t>CMAB_6519</t>
  </si>
  <si>
    <t>CMAB_6520</t>
  </si>
  <si>
    <t>CMAB_6521</t>
  </si>
  <si>
    <t>CMA-TRI6515_correct</t>
  </si>
  <si>
    <t>CMA-UBTLBHH_6516_21_21</t>
  </si>
  <si>
    <t>CMMG-7-60-NJ</t>
  </si>
  <si>
    <t>DAS</t>
  </si>
  <si>
    <t>DB842H35E-SY</t>
  </si>
  <si>
    <t>DBXLH-6565C-VTM</t>
  </si>
  <si>
    <t>ECOMS291</t>
  </si>
  <si>
    <t>ECOMS692V01</t>
  </si>
  <si>
    <t>ECOMS892</t>
  </si>
  <si>
    <t>ECOPB892</t>
  </si>
  <si>
    <t>ECOTB292V03</t>
  </si>
  <si>
    <t>ECOTB692V01</t>
  </si>
  <si>
    <t>ECOUB644V01</t>
  </si>
  <si>
    <t>GL_A79451700v02</t>
  </si>
  <si>
    <t>GL_ADU451807v01</t>
  </si>
  <si>
    <t>GL_ATR451602v06</t>
  </si>
  <si>
    <t>GL_ATR451704v01</t>
  </si>
  <si>
    <t>GL_ATR451704v06</t>
  </si>
  <si>
    <t>LBX-6516DS-VMT</t>
  </si>
  <si>
    <t>MCIN</t>
  </si>
  <si>
    <t>NANO</t>
  </si>
  <si>
    <t>Pico3911B</t>
  </si>
  <si>
    <t>PW6517</t>
  </si>
  <si>
    <t>PW7465</t>
  </si>
  <si>
    <t>PW7782</t>
  </si>
  <si>
    <t>PW7785</t>
  </si>
  <si>
    <t>RRV4-65D-R6</t>
  </si>
  <si>
    <t>RRZZHHTT-65A-R6-BM</t>
  </si>
  <si>
    <t>RRZZHHTT-65B-R6H4</t>
  </si>
  <si>
    <t>RRZZHHTT-65D-R6</t>
  </si>
  <si>
    <t>RVV2NPX310.211R</t>
  </si>
  <si>
    <t>SSC-760244562</t>
  </si>
  <si>
    <t>SSC-760245803</t>
  </si>
  <si>
    <t>TBXLHA-6565C</t>
  </si>
  <si>
    <t>TDQ-809017</t>
  </si>
  <si>
    <t>TNA660A10</t>
  </si>
  <si>
    <t>TNA670A10</t>
  </si>
  <si>
    <t>TNA990A10Rx</t>
  </si>
  <si>
    <t>TTB-Q9017</t>
  </si>
  <si>
    <t>V360QS-C3-3XR</t>
  </si>
  <si>
    <t>V65S-C3-1XR</t>
  </si>
  <si>
    <t>W360-17-x</t>
  </si>
  <si>
    <t>790-960</t>
  </si>
  <si>
    <t>1695-2400</t>
  </si>
  <si>
    <t>3X-V65S-C3-3XR</t>
  </si>
  <si>
    <t>5863903</t>
  </si>
  <si>
    <t>880-960</t>
  </si>
  <si>
    <t>1710-2170</t>
  </si>
  <si>
    <t>5880903</t>
  </si>
  <si>
    <t>5961300</t>
  </si>
  <si>
    <t>698-960</t>
  </si>
  <si>
    <t>5961400</t>
  </si>
  <si>
    <t>1427-2690</t>
  </si>
  <si>
    <t>5970300</t>
  </si>
  <si>
    <t>5980300</t>
  </si>
  <si>
    <t>1995-2690</t>
  </si>
  <si>
    <t>1710-2690</t>
  </si>
  <si>
    <t>5NPX1006F</t>
  </si>
  <si>
    <t>1710-2180</t>
  </si>
  <si>
    <t>732267</t>
  </si>
  <si>
    <t>736347</t>
  </si>
  <si>
    <t>870-960</t>
  </si>
  <si>
    <t>736349</t>
  </si>
  <si>
    <t>736350</t>
  </si>
  <si>
    <t>736854</t>
  </si>
  <si>
    <t>872-960</t>
  </si>
  <si>
    <t>737190</t>
  </si>
  <si>
    <t>1710-1880</t>
  </si>
  <si>
    <t>738187</t>
  </si>
  <si>
    <t>738445</t>
  </si>
  <si>
    <t>824-2170</t>
  </si>
  <si>
    <t>738446</t>
  </si>
  <si>
    <t>824-2171</t>
  </si>
  <si>
    <t>738447</t>
  </si>
  <si>
    <t>694-2690</t>
  </si>
  <si>
    <t>738448</t>
  </si>
  <si>
    <t>694-2691</t>
  </si>
  <si>
    <t>738449</t>
  </si>
  <si>
    <t>870-1880</t>
  </si>
  <si>
    <t>738454</t>
  </si>
  <si>
    <t>1710-2200</t>
  </si>
  <si>
    <t>739489</t>
  </si>
  <si>
    <t>739495</t>
  </si>
  <si>
    <t>1700-1990</t>
  </si>
  <si>
    <t>739496</t>
  </si>
  <si>
    <t>1710-1990</t>
  </si>
  <si>
    <t>739620</t>
  </si>
  <si>
    <t>806-960</t>
  </si>
  <si>
    <t>739622</t>
  </si>
  <si>
    <t>739623</t>
  </si>
  <si>
    <t>739624</t>
  </si>
  <si>
    <t>739630</t>
  </si>
  <si>
    <t>739632</t>
  </si>
  <si>
    <t>739636</t>
  </si>
  <si>
    <t>739637</t>
  </si>
  <si>
    <t>739638</t>
  </si>
  <si>
    <t>824-960</t>
  </si>
  <si>
    <t>739640</t>
  </si>
  <si>
    <t>739649</t>
  </si>
  <si>
    <t>739650</t>
  </si>
  <si>
    <t>739685</t>
  </si>
  <si>
    <t>739686</t>
  </si>
  <si>
    <t>739695</t>
  </si>
  <si>
    <t>741322</t>
  </si>
  <si>
    <t>870-1881</t>
  </si>
  <si>
    <t>741717</t>
  </si>
  <si>
    <t>741718</t>
  </si>
  <si>
    <t>741785</t>
  </si>
  <si>
    <t>741794</t>
  </si>
  <si>
    <t>742047</t>
  </si>
  <si>
    <t>870-1882</t>
  </si>
  <si>
    <t>742149</t>
  </si>
  <si>
    <t>824-2172</t>
  </si>
  <si>
    <t>742192</t>
  </si>
  <si>
    <t>806-2170</t>
  </si>
  <si>
    <t>790-2690</t>
  </si>
  <si>
    <t>742192V02</t>
  </si>
  <si>
    <t>690-2690</t>
  </si>
  <si>
    <t>742210</t>
  </si>
  <si>
    <t>742210V01</t>
  </si>
  <si>
    <t>742211</t>
  </si>
  <si>
    <t>742215</t>
  </si>
  <si>
    <t>790-2170</t>
  </si>
  <si>
    <t>742224</t>
  </si>
  <si>
    <t>824-2174</t>
  </si>
  <si>
    <t>742225</t>
  </si>
  <si>
    <t>742241</t>
  </si>
  <si>
    <t>742265</t>
  </si>
  <si>
    <t>742266</t>
  </si>
  <si>
    <t>742270</t>
  </si>
  <si>
    <t>1920-2170</t>
  </si>
  <si>
    <t>742271</t>
  </si>
  <si>
    <t>742271V03</t>
  </si>
  <si>
    <t>742272</t>
  </si>
  <si>
    <t>742290</t>
  </si>
  <si>
    <t>824-2173</t>
  </si>
  <si>
    <t>80010123</t>
  </si>
  <si>
    <t>80010125</t>
  </si>
  <si>
    <t>80010173</t>
  </si>
  <si>
    <t>870-1885</t>
  </si>
  <si>
    <t>80010204</t>
  </si>
  <si>
    <t>80010248</t>
  </si>
  <si>
    <t>806-2181</t>
  </si>
  <si>
    <t>80010249</t>
  </si>
  <si>
    <t>790-6000</t>
  </si>
  <si>
    <t>80010274</t>
  </si>
  <si>
    <t>80010292</t>
  </si>
  <si>
    <t>80010302</t>
  </si>
  <si>
    <t>80010303</t>
  </si>
  <si>
    <t>80010307</t>
  </si>
  <si>
    <t>80010360</t>
  </si>
  <si>
    <t>80010368</t>
  </si>
  <si>
    <t>80010375</t>
  </si>
  <si>
    <t>80010454</t>
  </si>
  <si>
    <t>806-2180</t>
  </si>
  <si>
    <t>80010456</t>
  </si>
  <si>
    <t>80010465</t>
  </si>
  <si>
    <t>790-2700</t>
  </si>
  <si>
    <t>80010492</t>
  </si>
  <si>
    <t>80010516</t>
  </si>
  <si>
    <t>80010517</t>
  </si>
  <si>
    <t>80010622</t>
  </si>
  <si>
    <t>80010656</t>
  </si>
  <si>
    <t>80010658</t>
  </si>
  <si>
    <t>870-1884</t>
  </si>
  <si>
    <t>80010665</t>
  </si>
  <si>
    <t>80010665V01</t>
  </si>
  <si>
    <t>80010677</t>
  </si>
  <si>
    <t>790-2171</t>
  </si>
  <si>
    <t>80010681</t>
  </si>
  <si>
    <t>80010682</t>
  </si>
  <si>
    <t>80010691</t>
  </si>
  <si>
    <t>80010692</t>
  </si>
  <si>
    <t>80010710</t>
  </si>
  <si>
    <t>790-2701</t>
  </si>
  <si>
    <t>80010748</t>
  </si>
  <si>
    <t>870-1886</t>
  </si>
  <si>
    <t>80010761</t>
  </si>
  <si>
    <t>80010776</t>
  </si>
  <si>
    <t>80010825</t>
  </si>
  <si>
    <t>80010826</t>
  </si>
  <si>
    <t>80010828</t>
  </si>
  <si>
    <t>790-2702</t>
  </si>
  <si>
    <t>80010828V01</t>
  </si>
  <si>
    <t>790-2703</t>
  </si>
  <si>
    <t>80010864</t>
  </si>
  <si>
    <t>689-960</t>
  </si>
  <si>
    <t>80010865</t>
  </si>
  <si>
    <t>80010899</t>
  </si>
  <si>
    <t>698-862</t>
  </si>
  <si>
    <t>80010902</t>
  </si>
  <si>
    <t>80010965</t>
  </si>
  <si>
    <t>694-960</t>
  </si>
  <si>
    <t>80010991</t>
  </si>
  <si>
    <t>80010992</t>
  </si>
  <si>
    <t>80020872</t>
  </si>
  <si>
    <t>80020892</t>
  </si>
  <si>
    <t>80020899</t>
  </si>
  <si>
    <t>1698-2690</t>
  </si>
  <si>
    <t>800372965</t>
  </si>
  <si>
    <t>800372966</t>
  </si>
  <si>
    <t>800372991</t>
  </si>
  <si>
    <t>800372992</t>
  </si>
  <si>
    <t>3300-3800</t>
  </si>
  <si>
    <t>A104521R0v06</t>
  </si>
  <si>
    <t>2300-3800</t>
  </si>
  <si>
    <t>A104521R0v06_NR</t>
  </si>
  <si>
    <t>A26451800v06</t>
  </si>
  <si>
    <t>A704517R0v06</t>
  </si>
  <si>
    <t>A704521R0v06</t>
  </si>
  <si>
    <t>3400-3800</t>
  </si>
  <si>
    <t>3500-3800</t>
  </si>
  <si>
    <t>ADU451200v06</t>
  </si>
  <si>
    <t>690-862</t>
  </si>
  <si>
    <t>AOC4518R6v06</t>
  </si>
  <si>
    <t>AQU4518R23v18</t>
  </si>
  <si>
    <t>790-862</t>
  </si>
  <si>
    <t>AQU4518R61v06</t>
  </si>
  <si>
    <t>590-960</t>
  </si>
  <si>
    <t>1695-2200</t>
  </si>
  <si>
    <t>2490-2690</t>
  </si>
  <si>
    <t>ASI4518R37v06</t>
  </si>
  <si>
    <t>ATD4516R8v07</t>
  </si>
  <si>
    <t>ATR451806</t>
  </si>
  <si>
    <t>ATR4521R0v06</t>
  </si>
  <si>
    <t>NOVAL</t>
  </si>
  <si>
    <t>BTS3911E_2600</t>
  </si>
  <si>
    <t>694-2700</t>
  </si>
  <si>
    <t>CMA_UBDHHH_6521_E1-10</t>
  </si>
  <si>
    <t>CMAB_6521_E0-6</t>
  </si>
  <si>
    <t>CMABDHH_6519_E0-8</t>
  </si>
  <si>
    <t>CMA-TRI6515</t>
  </si>
  <si>
    <t>CMA-UBTLBHH_6517_21_21_OLD</t>
  </si>
  <si>
    <t>694-6000</t>
  </si>
  <si>
    <t>CVV2NPX308.208R</t>
  </si>
  <si>
    <t>1695-2180</t>
  </si>
  <si>
    <t>1710-2160</t>
  </si>
  <si>
    <t>ECOMS290</t>
  </si>
  <si>
    <t xml:space="preserve">1695-2690 </t>
  </si>
  <si>
    <t>ECOTB291V02</t>
  </si>
  <si>
    <t>GL_A26451800v01</t>
  </si>
  <si>
    <t>GL_ADU451712</t>
  </si>
  <si>
    <t>GL_ATR451607</t>
  </si>
  <si>
    <t>Jaybeam_5363603</t>
  </si>
  <si>
    <t>Jaybeam_5363802</t>
  </si>
  <si>
    <t>Jaybeam_5363803</t>
  </si>
  <si>
    <t>K741336</t>
  </si>
  <si>
    <t>870-1883</t>
  </si>
  <si>
    <t>KRE1012338</t>
  </si>
  <si>
    <t>Pico3911B_2600</t>
  </si>
  <si>
    <t>PW7755</t>
  </si>
  <si>
    <t>R3V6-65B-R9</t>
  </si>
  <si>
    <t>SSC-760255412</t>
  </si>
  <si>
    <t>TNA970A10Rx</t>
  </si>
  <si>
    <t>Tong 8</t>
  </si>
  <si>
    <t>VV-65B-R1B</t>
  </si>
  <si>
    <t>FOR DISMANTLING</t>
  </si>
  <si>
    <t>SAP</t>
  </si>
  <si>
    <t>Order from Stock</t>
  </si>
  <si>
    <t>quantity</t>
  </si>
  <si>
    <t>Cabinet</t>
  </si>
  <si>
    <t>BTS3900C OMB CABINET220V AC</t>
  </si>
  <si>
    <t>INSTALL.KIT OMB CAB verC AC</t>
  </si>
  <si>
    <t>BTS3900C OMB CABINET-48V DC</t>
  </si>
  <si>
    <t>INSTALL MATER BTS3900C DC CAB</t>
  </si>
  <si>
    <t>INDOOR MINI BOX 3U</t>
  </si>
  <si>
    <t>PS (2 per BBU)</t>
  </si>
  <si>
    <t>DCDU</t>
  </si>
  <si>
    <t>PS (1*AC-&gt;1*DC)</t>
  </si>
  <si>
    <t>OPM15M AC POWER MODULE</t>
  </si>
  <si>
    <t>PS (1*AC-&gt;4*DC)</t>
  </si>
  <si>
    <t>BL ACDC PWRMODULE OPM50M 3000W</t>
  </si>
  <si>
    <t>BBU3910A3</t>
  </si>
  <si>
    <t>BBU3910A3 (DC -48V)</t>
  </si>
  <si>
    <t>BBU3910A TRUNK CABLE 4E1 20M</t>
  </si>
  <si>
    <t>BBU3910A GE OPT TRANS MAT</t>
  </si>
  <si>
    <t>BBU (w 1*UPEUd)</t>
  </si>
  <si>
    <t>BBU (w/o UPEU)</t>
  </si>
  <si>
    <t>DBS5900 INSTALLATION KIT</t>
  </si>
  <si>
    <t>DBS5900 INST KIT EXPANSION&amp;MOD</t>
  </si>
  <si>
    <t>Installation set for DBS3900</t>
  </si>
  <si>
    <t>TRUNK CABLE 75OHM,4E1,10M</t>
  </si>
  <si>
    <t>ETHERNET CABLE</t>
  </si>
  <si>
    <t>GROUNDING UNIT</t>
  </si>
  <si>
    <t>BBU Control board</t>
  </si>
  <si>
    <t>UMPTB1</t>
  </si>
  <si>
    <t>BBU Control board (TxN over Satelite)</t>
  </si>
  <si>
    <t>BBU Control board (C-band)</t>
  </si>
  <si>
    <t>UMPTga2</t>
  </si>
  <si>
    <t>BBU BB Board</t>
  </si>
  <si>
    <t xml:space="preserve">UBRIb </t>
  </si>
  <si>
    <t>UBBPg1a</t>
  </si>
  <si>
    <t>UBBPg2</t>
  </si>
  <si>
    <t>GPS Antenna</t>
  </si>
  <si>
    <t>GPS ANTENNA/FEEDER PACKAGE</t>
  </si>
  <si>
    <t>AAU</t>
  </si>
  <si>
    <t>AAU3940 1800/2100MHz 2x40W WD7MAAU39400</t>
  </si>
  <si>
    <t>AAU5613 3400/3600MHz</t>
  </si>
  <si>
    <t>RU CABLE PACKAGE for AC AAU LT1PRUCPAC00</t>
  </si>
  <si>
    <t>CPRI OP TR.MATERIAL 9.8G SM LT1PCOTMDC00</t>
  </si>
  <si>
    <t>EJECTOR INSTALL.KIT 235/236 A000EJEKIT00</t>
  </si>
  <si>
    <t>PIGTAIL SM G.652D 3mm 1m OP-FC/PC-1</t>
  </si>
  <si>
    <t>ODM04A BOX WD5E1ODM04</t>
  </si>
  <si>
    <t>RRU</t>
  </si>
  <si>
    <t>RRU5519et</t>
  </si>
  <si>
    <t>RRU5515t</t>
  </si>
  <si>
    <t>RRU3926 (1*80W) 900MHz</t>
  </si>
  <si>
    <t>RRU3936 (1*80W) 900MHz</t>
  </si>
  <si>
    <t>RRU3953 (2*80W) 900MHz</t>
  </si>
  <si>
    <t>RRU5905 (2*80W) 900MHz</t>
  </si>
  <si>
    <t>RRU3936 (1*80W) 1800MHz</t>
  </si>
  <si>
    <t>RRU3953 (2*80W) 1800MHz</t>
  </si>
  <si>
    <t>RRU5905 (2*80W) 1800MHz</t>
  </si>
  <si>
    <t>RRU5505 (2*120W) MM 1800~2100MHz</t>
  </si>
  <si>
    <t>RRU5513</t>
  </si>
  <si>
    <t>RRU (RRU3826_UPA)</t>
  </si>
  <si>
    <t>RRU3826 for WCDMA 2100MHz (80W)</t>
  </si>
  <si>
    <t>RRU (RRU3826_KKQ)</t>
  </si>
  <si>
    <t>RRU3826 for WCDMA 2100 MHz</t>
  </si>
  <si>
    <t>RRU3953 (2*80W) 2100MHz</t>
  </si>
  <si>
    <t>RRU5905 (2*80W) 2100MHz</t>
  </si>
  <si>
    <t>RRU5909</t>
  </si>
  <si>
    <t>RRU5304 (4*60W) 2600MHz</t>
  </si>
  <si>
    <t>RRU5258 (8*30W) 3500MHz</t>
  </si>
  <si>
    <t>RxDiv Cable</t>
  </si>
  <si>
    <t>SINGLE CABLE EXT CONN 2M</t>
  </si>
  <si>
    <t>Chain FO cable</t>
  </si>
  <si>
    <t>OPT.CABLE MM DLC/PC,DLC/PC 2M</t>
  </si>
  <si>
    <t>Chain FO SFP</t>
  </si>
  <si>
    <t>SFP+ 850NM 6.144G LC MMF 0.12KM</t>
  </si>
  <si>
    <t>ESFP,850NM,4.25G MR,-9~0DBM,LC,MM 0.3KM</t>
  </si>
  <si>
    <t>RRU FO 2m</t>
  </si>
  <si>
    <t>OPT.CABLE RRU MM DLC/PC,DLC/PC 2M,7.0MM</t>
  </si>
  <si>
    <t>RRU Cable Package DC GND</t>
  </si>
  <si>
    <t>RRU Cable Package 160W RRU DC GND</t>
  </si>
  <si>
    <t>CPRI OP TR.MAT 4.9G MM 2m OP 2SFP CLMP</t>
  </si>
  <si>
    <t>CPRI OP TR.MAT 4.9G MM OP 2SFP CLMP</t>
  </si>
  <si>
    <r xmlns="http://schemas.openxmlformats.org/spreadsheetml/2006/main">
      <t xml:space="preserve">CPRI OP TR.MAT 4.9G </t>
    </r>
    <r xmlns="http://schemas.openxmlformats.org/spreadsheetml/2006/main">
      <rPr>
        <b/>
        <sz val="9"/>
        <color rgb="FFFF0000"/>
        <rFont val="Calibri"/>
        <family val="2"/>
        <charset val="204"/>
        <scheme val="minor"/>
      </rPr>
      <t>SM</t>
    </r>
    <r xmlns="http://schemas.openxmlformats.org/spreadsheetml/2006/main">
      <rPr>
        <sz val="9"/>
        <rFont val="Calibri"/>
        <family val="2"/>
        <charset val="204"/>
        <scheme val="minor"/>
      </rPr>
      <t xml:space="preserve"> OP 2SFP CLMP</t>
    </r>
  </si>
  <si>
    <t>CPRI OP TR.MAT 9.8G SM OP 2SFP</t>
  </si>
  <si>
    <t>RRU (7-16/7-16)</t>
  </si>
  <si>
    <t>RRU TOP JUMPER FIXED (2pcs set)</t>
  </si>
  <si>
    <t>Jumper CMA (7-16/4.3-10)</t>
  </si>
  <si>
    <t>JUMPER 7-16M/4.3-10М CMA</t>
  </si>
  <si>
    <t>Jumper CMA (4.3-10/4.3-10)</t>
  </si>
  <si>
    <t>JUMPER 4.3-10М/4.3-10М CMA</t>
  </si>
  <si>
    <t>Jumper JMA (7-16/4.3-10)</t>
  </si>
  <si>
    <t>JUMPER 7-16/4.3-10 1/2"FLEXIBLE JMA</t>
  </si>
  <si>
    <t>Jumper JMA (4.3-10/4.3-10)</t>
  </si>
  <si>
    <t>JUMPER 4.3-10/4.3-10 1/2"FLEXIBLE JMA</t>
  </si>
  <si>
    <t>Pico</t>
  </si>
  <si>
    <t>BTS3911B 1800M+2100MHZ WITH ANT</t>
  </si>
  <si>
    <t>02231YYS INSTALLATION MATERIALS BTS3911B</t>
  </si>
  <si>
    <t>PSE MODULE</t>
  </si>
  <si>
    <t>Pico (TxN over Satelite)</t>
  </si>
  <si>
    <t>RGPS MODULE FOR BTS3911B</t>
  </si>
  <si>
    <t>Micro</t>
  </si>
  <si>
    <t>BTS3911E 1800M+2100M with Ant</t>
  </si>
  <si>
    <t>INSTALL.MATs BTS3911E/Book RRU</t>
  </si>
  <si>
    <t>MAST FIXTURE SET BTS3911E 1800M+2100M</t>
  </si>
  <si>
    <t>Micro (external antenna)</t>
  </si>
  <si>
    <t>BTS3911E TOP JUMPER</t>
  </si>
  <si>
    <t>Micro (TxN over Satelite)</t>
  </si>
  <si>
    <t>GPS MODULE FOR BTS3911E</t>
  </si>
  <si>
    <t>Coupler 78210504</t>
  </si>
  <si>
    <t>HYBRID COMBINER 2:1, 698-2690MHz, 7-16 female</t>
  </si>
  <si>
    <t>Coupler 793554</t>
  </si>
  <si>
    <t>3dB Coupler, 800-2200MHz, 7-16 DIN female</t>
  </si>
  <si>
    <t>Coupler 78210525</t>
  </si>
  <si>
    <t xml:space="preserve">3dB COUPLER 698-2690MHz </t>
  </si>
  <si>
    <t xml:space="preserve">Coupler HAT073843500S-03 </t>
  </si>
  <si>
    <t xml:space="preserve">HAT073843500S-03 </t>
  </si>
  <si>
    <t>Mounting 78210526</t>
  </si>
  <si>
    <t>MOUNTING KIT 78210526 for 3DB COUPLER</t>
  </si>
  <si>
    <t>TMA 700/800/900 4.3-10 ATADU2016v06</t>
  </si>
  <si>
    <t>27100137 ATADU2016v06 700-800&amp;900M TMA</t>
  </si>
  <si>
    <t>TMA 880-960MHZ 4.3-10 MI-16331</t>
  </si>
  <si>
    <t>MI-16331</t>
  </si>
  <si>
    <t>TMA 900 78210440</t>
  </si>
  <si>
    <t>Double Unit TMA, 880-915/925-960MHz, 12dB, 7-16 female</t>
  </si>
  <si>
    <t>TMA 900 NSN</t>
  </si>
  <si>
    <t xml:space="preserve">AMP MDGB MHA 900MHz 12dB AISG </t>
  </si>
  <si>
    <t>TMA 900 78210510</t>
  </si>
  <si>
    <t>DTMA-800/900-12-AISG-CWA-78210510</t>
  </si>
  <si>
    <t>TMA 1800/2100 78211106</t>
  </si>
  <si>
    <t>DTMA 1800 UMTS 12-AISG DUPLEX 78211106</t>
  </si>
  <si>
    <t>TMA 1800/2100 78211106v02</t>
  </si>
  <si>
    <t xml:space="preserve">DTMA-1800-UMTS-12-AISG 78211106V02 </t>
  </si>
  <si>
    <t>TMA 1800/2100 78211106v44</t>
  </si>
  <si>
    <t>DTMA-1800-UMTS-12-AISG 78211106V44</t>
  </si>
  <si>
    <t>TMA 1800 78210312</t>
  </si>
  <si>
    <t>Double Unit TMA, 1710-1785/1805-1880MHz, 12dB, 7-16 female</t>
  </si>
  <si>
    <t>TMA 1800-2100MHZ 4.3-10 2ANT MI-12731</t>
  </si>
  <si>
    <t>MI-12731</t>
  </si>
  <si>
    <t>TMA 2600MHZ 4.3-10 MI-12031</t>
  </si>
  <si>
    <t>MI-12031</t>
  </si>
  <si>
    <t>TMA 1800/2100/2600 ATATR2002v06</t>
  </si>
  <si>
    <t>27100134 ATATR2002v06 1800&amp;2100&amp;2600 TMA</t>
  </si>
  <si>
    <t>DB combiner 78210249</t>
  </si>
  <si>
    <t>Double Unit Dual Band Combiner, 806-960/1710-2170MHz, 7-16 female</t>
  </si>
  <si>
    <t>DB combiner 78210681</t>
  </si>
  <si>
    <t>Double Unit Dual Band Combiner, 380-960/1710-2700MHz, 7-16 female</t>
  </si>
  <si>
    <t>DB combiner 78210620</t>
  </si>
  <si>
    <t>Single Unit Dual Band Combiner, 1710-1880/1920-2170MHz, 7-16 female</t>
  </si>
  <si>
    <t>DB combiner 78210621</t>
  </si>
  <si>
    <t>Double Unit Dual Band Combiner, 1710-1880/1920-2170MHz, 7-16 female</t>
  </si>
  <si>
    <t>DB combiner DCB-2-DU-64F-01</t>
  </si>
  <si>
    <t>DUAL COMBINER 1710-1880 1920-2170MHz CMA</t>
  </si>
  <si>
    <t>DB combiner DCB-2BM-64F-02</t>
  </si>
  <si>
    <t>DUAL COMBINER 1710-2180 2300-2700MHz CMA</t>
  </si>
  <si>
    <t>DIPLEXER 1800-2100MHz 4:3-10 MI54642</t>
  </si>
  <si>
    <t>MI54642</t>
  </si>
  <si>
    <t>DB combiner MI20242</t>
  </si>
  <si>
    <t>1710-2180MHz &amp; 2300-2700MHz Diplexer, 4:3-10</t>
  </si>
  <si>
    <t>ACOMT2A07v06</t>
  </si>
  <si>
    <t>27030829 COMBINER ACOMT2A07v06-TC-1800/2100/2600</t>
  </si>
  <si>
    <t>ACOMT2A04v06</t>
  </si>
  <si>
    <t>27030803 COMBINER ACOMT2A04v06 – 900/1800-2100/2600</t>
  </si>
  <si>
    <t>ACOMD2H22v06</t>
  </si>
  <si>
    <t>27030806 COMBINER ACOMD2H22v06 – 900/1800-2600</t>
  </si>
  <si>
    <t>DB combiner ACOMD2L13v06</t>
  </si>
  <si>
    <t>ACOMD2L13v06 DC-1427-2200/2300-2690-10</t>
  </si>
  <si>
    <t>TB combiner 78210630</t>
  </si>
  <si>
    <t>COMBINER TRIPLE 900/1800/2100 S 78210630</t>
  </si>
  <si>
    <t>TB combiner 78210631</t>
  </si>
  <si>
    <t>Double unit triple band combiner, 380-960/1710-1880/1920-2170MHz, 7-16 female (long neck)</t>
  </si>
  <si>
    <t>TRIPLEXER1800/2100/2600 4:3-106P MI21795</t>
  </si>
  <si>
    <t>MI21795</t>
  </si>
  <si>
    <t>4B combiner 78210640</t>
  </si>
  <si>
    <t>COMBINER 4 900/1800/2100/2600 S 78210640</t>
  </si>
  <si>
    <t>4B combiner 78210641</t>
  </si>
  <si>
    <t>COMBINER 4 900/1800/2100/2600 D 78210641</t>
  </si>
  <si>
    <t>Load 78210474 (7/16F)</t>
  </si>
  <si>
    <t xml:space="preserve">LOAD 50 Ohm RF 80W </t>
  </si>
  <si>
    <t>Load 78210473 (4.3-10F)</t>
  </si>
  <si>
    <t>LOAD 50 OHM RF 80W 78210473</t>
  </si>
  <si>
    <t>Load 78410367 (7/16F)</t>
  </si>
  <si>
    <t>LOAD 50Ohm, 1,5W, 7-16 female</t>
  </si>
  <si>
    <t>Load HWL005043100S-SW</t>
  </si>
  <si>
    <t>HWL005043100S-SW</t>
  </si>
  <si>
    <t>Load 75112004V01</t>
  </si>
  <si>
    <t>LOW PIM LOAD 50OHM 200W 75112004V01</t>
  </si>
  <si>
    <t>DC Stop 7/16</t>
  </si>
  <si>
    <t>DC STOP</t>
  </si>
  <si>
    <t>DC Stop ADCSTOP00v06 4.3-10</t>
  </si>
  <si>
    <t>27151012 DC-STOP FOR COMB. ADCSTOP00v06</t>
  </si>
  <si>
    <t>Site Sharing Adaprter (KA)</t>
  </si>
  <si>
    <t>3WAY SITESHARING ADAPTER FLXRET 86010154</t>
  </si>
  <si>
    <t>RET (KA)</t>
  </si>
  <si>
    <t>REMOTE CONTROL UNIT, 86010148V01</t>
  </si>
  <si>
    <t>RET (CMA)</t>
  </si>
  <si>
    <t>RET TILT ADJUSTER, RTAH</t>
  </si>
  <si>
    <t>RET (CMA 3324)</t>
  </si>
  <si>
    <t>RET TILT ADJUSTABLE SLIM CM</t>
  </si>
  <si>
    <t>AISG</t>
  </si>
  <si>
    <t>AISG Cable RRU, 5m</t>
  </si>
  <si>
    <t>AISG chain cable, 0,5m</t>
  </si>
  <si>
    <t>AISG Extension Cable</t>
  </si>
  <si>
    <t>if needed, according to convention</t>
  </si>
  <si>
    <t>Antenna SB 80010456V2</t>
  </si>
  <si>
    <t xml:space="preserve">XPol Panel, 790-960MHz, 2,25M, 30°, 0°-10°T, 20,5 dBi      </t>
  </si>
  <si>
    <t>Antenna SB 80010302</t>
  </si>
  <si>
    <t xml:space="preserve">XPol C-Panel, 806-960MHz, 2,25M, 33°, 0°T, 21 dBi      </t>
  </si>
  <si>
    <t>Antenna SB 80010303V02</t>
  </si>
  <si>
    <t>ANT XPOL PANEL 790–960 80010303v02 CLMP</t>
  </si>
  <si>
    <t>Antenna SB 80010306V02</t>
  </si>
  <si>
    <t>ANT XPOL PANEL 790-960 80010306v2 CLMP</t>
  </si>
  <si>
    <t>Antenna SB 80010307V01</t>
  </si>
  <si>
    <t xml:space="preserve">XPol Panel, 790-960MHz, 2,57M, 65°, 0°-10°T, 18 dBi (clamps)   </t>
  </si>
  <si>
    <t>Antenna SB 80010634V01</t>
  </si>
  <si>
    <t>ANT XPOL PANEL 790–960 80010634v01 CLMP</t>
  </si>
  <si>
    <t>Antenna SB 80010517V01</t>
  </si>
  <si>
    <t>XXpol Panel, 824-960MHz, 2,63M, 65°, 0°-8°T, 17 dBi (clamps)</t>
  </si>
  <si>
    <t>Antenna SB 80010902</t>
  </si>
  <si>
    <t>ANT XPOL 4PORT 698–960 RET 80010902</t>
  </si>
  <si>
    <t>Antenna SB ADU4517R6v06</t>
  </si>
  <si>
    <t>2L</t>
  </si>
  <si>
    <t>Antenna SB CMA-B3324</t>
  </si>
  <si>
    <t>ANT CMA-B/3324/E0 24DBI 1710-2170 W/TILT</t>
  </si>
  <si>
    <t>Antenna SB 80010761</t>
  </si>
  <si>
    <t>ANT XPOL PANEL 1710–2690 80010761 CLMP</t>
  </si>
  <si>
    <t>Antenna SB 80010681</t>
  </si>
  <si>
    <t>ANT XPOL PANEL 1710–2690 80010681 CLMP</t>
  </si>
  <si>
    <t>Antenna SB 742215V01</t>
  </si>
  <si>
    <t>XPol F-Panel, 1710-2200MHz, 1,3M, 65° , 0°-10°T, 18 dBi (clamps)</t>
  </si>
  <si>
    <t>Antenna SB CMA-B6519</t>
  </si>
  <si>
    <t>ANT CMA-B/6519 CELLMAX</t>
  </si>
  <si>
    <t>Antenna SB CMA-B6520</t>
  </si>
  <si>
    <t>ANT CMA-B/6520 CELLMAX</t>
  </si>
  <si>
    <t>Antenna SB CMA-B6521</t>
  </si>
  <si>
    <t>ANT CMA-B/6521/E0-6 21DBI 1710-2170MHZ</t>
  </si>
  <si>
    <t>Antenna SB CMA-BDHH/6521/E0-6</t>
  </si>
  <si>
    <t>ANT CMA-BDHH/6521/E0-6 XXPOL 2x1710-2180</t>
  </si>
  <si>
    <t>Antenna SB CMA-UBDHH/6521/E1-10</t>
  </si>
  <si>
    <t>ANT CMA-UBDHH/6521/E1-10/RET XXPOL</t>
  </si>
  <si>
    <t>Antenna SB 80010682</t>
  </si>
  <si>
    <t>ANT 80010682 4-PORT 2HB 0.9M</t>
  </si>
  <si>
    <t>Antenna SB VV-65B-R1B</t>
  </si>
  <si>
    <t>ANT HB SECTORIZED 4-P x1RET VV-65B-R1B</t>
  </si>
  <si>
    <t>Antenna SB A704521R0v06</t>
  </si>
  <si>
    <t>10033078</t>
  </si>
  <si>
    <t>27011919-002 ANT A704521R0v06 1L 2.6m</t>
  </si>
  <si>
    <t>Antenna SB A704517R0v06</t>
  </si>
  <si>
    <t>10033079</t>
  </si>
  <si>
    <t>27011506-001 ANT A704517R0v06 1L 2.6m</t>
  </si>
  <si>
    <t>Antenna SB ADU4521R0v06</t>
  </si>
  <si>
    <t>ANT 27012476 ADU4521R0v06 2H 4.3</t>
  </si>
  <si>
    <t>Antenna DB 80010123V03</t>
  </si>
  <si>
    <t>ANT XXPOL 790-2180 80010123v03 CLMP</t>
  </si>
  <si>
    <t>Antenna DB 742222V01</t>
  </si>
  <si>
    <t>ANT XXPOL 790–960/1710–2170 (Clamps)</t>
  </si>
  <si>
    <t>Antenna DB 742264V02</t>
  </si>
  <si>
    <t>ANT XXPOL 790/1710-2180 742264v02 CLMP</t>
  </si>
  <si>
    <t>Antenna DB 742265V02</t>
  </si>
  <si>
    <t>ANTXXPOL790-960/1710-2180 742265v02 CLMP</t>
  </si>
  <si>
    <t>Antenna DB 742266</t>
  </si>
  <si>
    <t xml:space="preserve">XXpol A-Panel, 824-960/1710-2180MHz, 2,51M, 65°, 0°-7°T, 17 dBi   </t>
  </si>
  <si>
    <t>Antenna DB 742266V01</t>
  </si>
  <si>
    <t xml:space="preserve">XXpol A-Panel, 790-960/1710-2180MHz, 2,51M, 65°, 0°-7°T, 17 dBi   </t>
  </si>
  <si>
    <t>Antenna DB 742266V02</t>
  </si>
  <si>
    <t xml:space="preserve">XXpol A-Panel, 790-960/1710-2180MHz, 2,51M, 65°, 0°-7°T, 17 dBi (clamps)  </t>
  </si>
  <si>
    <t>Antenna DB 742192V01</t>
  </si>
  <si>
    <t xml:space="preserve">VPol LogPer, 790-2690MHz, 0,78M, 65°, 0°T, 11 dBi  </t>
  </si>
  <si>
    <t>Antenna MB 742270V03</t>
  </si>
  <si>
    <t>ANT XXXPOL 790/1880/2170 742270V03 CLMP</t>
  </si>
  <si>
    <t>Antenna MB 80010292</t>
  </si>
  <si>
    <t xml:space="preserve">XXXpol A-Panel, 806-960/2x1710-2180MHz, 2,6M, 65°, 2°-10°T, 17,5 dBi   </t>
  </si>
  <si>
    <t>Antenna MB 80010292V01</t>
  </si>
  <si>
    <t xml:space="preserve">XXXpol A-Panel, 790-960/2x1710-2180MHz, 2,6M, 65°, 2°-10°T, 17,5 dBi </t>
  </si>
  <si>
    <t>Antenna MB 80010292V02</t>
  </si>
  <si>
    <t>XXXpol A-Panel, 790-960/2x1710-2180MHz, 2,6M, 65°, 2°-10°T, 17,5 dBi (clamps)</t>
  </si>
  <si>
    <t>Antenna MB 80010292V03</t>
  </si>
  <si>
    <t>Antenna MB CMA-BTLBHH/6517/21/21</t>
  </si>
  <si>
    <t>ANT CMA-BTLBHH/6517/21/21 XXPOL HEX-PORT</t>
  </si>
  <si>
    <t>Antenna MB CMA-UBTLBHH/6516/21/21</t>
  </si>
  <si>
    <t>ANT CMA-UBTLBHH/6516/21/21/RET XXXPOL 6P</t>
  </si>
  <si>
    <t>Antenna MB CMA-UBTLBHH/6517/21/21</t>
  </si>
  <si>
    <t>ANT CMA-UBTLBHH/6517/21/21/RET 6-PORT</t>
  </si>
  <si>
    <t>Antenna MB 80010691v01</t>
  </si>
  <si>
    <t>ANT 80010691v01 XXXPOL 698–960/1710–2690 CLAMPS</t>
  </si>
  <si>
    <t>Antenna MB 80010692v01</t>
  </si>
  <si>
    <t>ANT 80010692v01 XXXPOL 698–960/1710–2690 CLAMPS</t>
  </si>
  <si>
    <t>Antenna MB 80010826</t>
  </si>
  <si>
    <t>XXXX POL 790-960/1710-2180</t>
  </si>
  <si>
    <t>Antenna MB 80010864</t>
  </si>
  <si>
    <t>ANT XPOL 698–906 1710-2690 RET 80010864</t>
  </si>
  <si>
    <t>Antenna MB 80010865</t>
  </si>
  <si>
    <t>ANT 6PORT XPOL HPBW RET 80010865</t>
  </si>
  <si>
    <t>Antenna MB 80020872</t>
  </si>
  <si>
    <t>ANT XPOL 8PORT XPOL HPBW RET 80020872</t>
  </si>
  <si>
    <t>Antenna MB 80010666v01</t>
  </si>
  <si>
    <t>ANT XXPOL 698-960/1710-2690 80010666V01</t>
  </si>
  <si>
    <t>Antenna MB 80010992</t>
  </si>
  <si>
    <t>ANT XPOL 12PORT XPOL HPBW RET 80010992</t>
  </si>
  <si>
    <t xml:space="preserve">Antenna MB ADU4518R8v06 </t>
  </si>
  <si>
    <t>1L1H</t>
  </si>
  <si>
    <t>Antenna MB ATR4518R13v06</t>
  </si>
  <si>
    <t>ANT27011805-001 ATR4518R13v06 6P 1L2H4.3 HUAWEI</t>
  </si>
  <si>
    <t>Antenna MB APE4516R1v06</t>
  </si>
  <si>
    <t>ANT 27012334 APE4516R1v06 10P 1L4H 4.3 HUAWEI</t>
  </si>
  <si>
    <t>Antenna MB ASI4518R20v06</t>
  </si>
  <si>
    <t>ANT 27013192 ASI4518R20v06 12P 2L4H 4.3 HUAWEI</t>
  </si>
  <si>
    <t>Antenna MB ASI4517R3v18</t>
  </si>
  <si>
    <t>27012496-003 ANT ASI4517R3v18 2L4H 2m</t>
  </si>
  <si>
    <t>Antenna MB AQU4518R9v06</t>
  </si>
  <si>
    <t>ANT27011264-001 AQU4518R9v06 8P 1L3H4.3 HUAWEI</t>
  </si>
  <si>
    <t>Antenna MB ASI4518R10v18</t>
  </si>
  <si>
    <t>2L4H</t>
  </si>
  <si>
    <t>Antenna MB AQU4518R25v18</t>
  </si>
  <si>
    <t>2L2H</t>
  </si>
  <si>
    <t>Antenna MB AQU4518R61v06</t>
  </si>
  <si>
    <t>27013852 ANT AQU4518R61v06 2L2H mini 2m</t>
  </si>
  <si>
    <t>Antenna MB AQU4518R24v18</t>
  </si>
  <si>
    <t>27011964-005 ANT AQU4518R24v18 2L2H 2m</t>
  </si>
  <si>
    <t>Antenna MB ASI4517R12v06</t>
  </si>
  <si>
    <t>27013703 ANT ASI4517R12v06 2L4H mini 2m</t>
  </si>
  <si>
    <t>Antenna MB A094519R3v06</t>
  </si>
  <si>
    <t>1L4H+C-band 8T8R (one body)</t>
  </si>
  <si>
    <t>Antenna MB A094519R2v06</t>
  </si>
  <si>
    <t>Antenna MB RRV4-65D-R6</t>
  </si>
  <si>
    <t>ANT 12-P x6RET RRV4-65D-R6</t>
  </si>
  <si>
    <t>Antenna IN 80010465</t>
  </si>
  <si>
    <t xml:space="preserve">VVPol Indoor, 806-960/1710-2700MHz, 0,23M, 90°, 0°T, 7 dBi    C</t>
  </si>
  <si>
    <t>Antenna IN 80010677</t>
  </si>
  <si>
    <t>ANT VXPOL 790–960/1710–2700 80010677</t>
  </si>
  <si>
    <t>Antenna IN 80010748</t>
  </si>
  <si>
    <t>ANT OMNI VPOL 876-960/1710-2700 80010748</t>
  </si>
  <si>
    <t>Antenna IN 80010710</t>
  </si>
  <si>
    <t>ANT OMNI VHPOL INDOOR 80010710</t>
  </si>
  <si>
    <t>Antenna IN 80010249</t>
  </si>
  <si>
    <t xml:space="preserve">VPol Indoor, 790-960/1425-3880MHz, 0,26M, 360°, 2 dBi  </t>
  </si>
  <si>
    <t>Antenna IN 738447</t>
  </si>
  <si>
    <t>ANT VPOL BIDIR 694–960/1710–2690 738447</t>
  </si>
  <si>
    <t>Antenna IN 738448</t>
  </si>
  <si>
    <t>ANT VPol BiDir 694–960/1710–2690 738448</t>
  </si>
  <si>
    <t>Antenna IN 738449</t>
  </si>
  <si>
    <t xml:space="preserve">VPol Omni, 870-960/1710-1880MHz, 0,22M, 360°, 0°T, 2 dBi  </t>
  </si>
  <si>
    <t>Antenna IN MIMO</t>
  </si>
  <si>
    <t>MIMO LOW PIM CEILING ANT CMMG-7-60-NJ</t>
  </si>
  <si>
    <t>Antenna Cam 80010776</t>
  </si>
  <si>
    <t>ANT XPOL 12PORT TRiSEC 698/2690</t>
  </si>
  <si>
    <t>Antenna Cam 80010125</t>
  </si>
  <si>
    <t>ANT XPOL TRI-SECTOR SLIMPOLE 80010125</t>
  </si>
  <si>
    <t>Antenna Cam 80010360</t>
  </si>
  <si>
    <t>ANT XPOL TRI-SECTOR PIPE 80010360</t>
  </si>
  <si>
    <t>Antenna Cam CMA-TRI6515</t>
  </si>
  <si>
    <t>ANT CMA-TRI/6515/E2 TUBUS 1710-2180MHZ</t>
  </si>
  <si>
    <t>Antenna Cam ECOMS291</t>
  </si>
  <si>
    <t>TUBUS Xpol A-Panel, 806-960/2x1710-2180MHz, 2,52/0,53M, 65°, 2°-14°T, 16,5 dBi</t>
  </si>
  <si>
    <t>Antenna Cam ECOMS291V02</t>
  </si>
  <si>
    <t>MONOSECTOR ANTENNA ECOMS291V02</t>
  </si>
  <si>
    <t>Antenna Cam ECOMS892</t>
  </si>
  <si>
    <t>ANT ECOMS892 4.3-10 FLEXRET 1xULB 4xUHB</t>
  </si>
  <si>
    <t>Antenna Cam ECOMS692v01</t>
  </si>
  <si>
    <t>ANT ECOMS692v01 1xULB 2xHB</t>
  </si>
  <si>
    <t>Antenna Cam ECOTB292V03</t>
  </si>
  <si>
    <t>TRI-SECTOR PIPE ANTENNA ECOTB292V03</t>
  </si>
  <si>
    <t>Antenna Cam ECOTB692v18</t>
  </si>
  <si>
    <t>ANT ECOTB692v18 1xULB 2xUHB 80010692v01</t>
  </si>
  <si>
    <t>Antenna Cam ECOPB892</t>
  </si>
  <si>
    <t>ANT ECOPB892 7/16F 1хLB,4xHB 80010892</t>
  </si>
  <si>
    <t>ANT ECOPB892V1 7/16F 1хLB,4HB 80010892V1</t>
  </si>
  <si>
    <t>ANT ECOPB892 4.3-10 1хLB,4xHB 80020892</t>
  </si>
  <si>
    <t>Antenna Cam ECOUB644V01</t>
  </si>
  <si>
    <t>ANT ECOUB644V01 ULTRA-BAND TRI-SECTOR</t>
  </si>
  <si>
    <t>Antenna Omni 736349</t>
  </si>
  <si>
    <t>ANTENNA OMNI VPOL 870-960MHz</t>
  </si>
  <si>
    <t>Antenna Omni 738187</t>
  </si>
  <si>
    <t xml:space="preserve">VPol Omni, 1710-1880MHz, 1,56M, 360°, 0°T, 11 dBi  </t>
  </si>
  <si>
    <t>Antenna Omni 737190</t>
  </si>
  <si>
    <t xml:space="preserve">VPol Omni, 1710-1880MHz, 1,56M, 360°, 6°T, 11 dBi  </t>
  </si>
  <si>
    <t>Antenna Omni 738192</t>
  </si>
  <si>
    <t>ANT OMNI VPOL 806–894 738192</t>
  </si>
  <si>
    <t>Antenna Omni 80010274</t>
  </si>
  <si>
    <t>ANT OMNI VPOL 870-960/1920-2170 80010274</t>
  </si>
  <si>
    <t>Antenna Omni 80010745</t>
  </si>
  <si>
    <t>ANT OMNI 698–960/1695–2690 80010745</t>
  </si>
  <si>
    <t>Sectorization Antenna LB</t>
  </si>
  <si>
    <t>ANT LB SECTORED 4-P W/ x2RET 2CPX208R-V3</t>
  </si>
  <si>
    <t>Sectorization Antenna HB</t>
  </si>
  <si>
    <t>ANT HB SECTORIZED 4-P 2H-33A-R2</t>
  </si>
  <si>
    <t>ANT XPOL HB BTHH/3324/E0-6/RET 1710-2180</t>
  </si>
  <si>
    <t>ANT 80010656 4-PORT DUAL-BEAM 2HB 1.3M</t>
  </si>
  <si>
    <t>Sectorization Antenna MB</t>
  </si>
  <si>
    <t>ANT HB SECTORIZED 10-P RVV2NPX310.211R</t>
  </si>
  <si>
    <t>ANT HB SECTORIZED 10-P CVV2NPX308.208R</t>
  </si>
  <si>
    <t>Dismantled equipment to be returned to warehouse</t>
  </si>
  <si>
    <t>R1 +27deg</t>
  </si>
  <si>
    <t>R2 -27deg</t>
  </si>
  <si>
    <t>Y2 +27deg</t>
  </si>
  <si>
    <t>Y1 -27deg</t>
  </si>
  <si>
    <t>Y2</t>
  </si>
  <si>
    <t>R2</t>
  </si>
  <si>
    <t>Y1</t>
  </si>
  <si>
    <t>R1</t>
  </si>
  <si>
    <t>Y3</t>
  </si>
  <si>
    <t>Y4</t>
  </si>
  <si>
    <t>+30deg</t>
  </si>
  <si>
    <t>+15deg</t>
  </si>
  <si>
    <t>0deg</t>
  </si>
  <si>
    <t>-15deg</t>
  </si>
  <si>
    <t>-30deg</t>
  </si>
  <si>
    <t>B2</t>
  </si>
  <si>
    <t>B1</t>
  </si>
  <si>
    <t>r1</t>
  </si>
  <si>
    <t>y1</t>
  </si>
  <si>
    <t>y2</t>
  </si>
  <si>
    <t>y3</t>
  </si>
  <si>
    <t>y4</t>
  </si>
  <si>
    <t>p1</t>
  </si>
  <si>
    <t>Ly1</t>
  </si>
  <si>
    <t>CLy2</t>
  </si>
  <si>
    <t>CRy3</t>
  </si>
  <si>
    <t>Ry4</t>
  </si>
  <si>
    <t>r</t>
  </si>
  <si>
    <t>y</t>
  </si>
  <si>
    <t>Ry2</t>
  </si>
  <si>
    <t>r2</t>
  </si>
  <si>
    <t>Lr2</t>
  </si>
  <si>
    <t>Cy3</t>
  </si>
  <si>
    <t>RBy4</t>
  </si>
  <si>
    <t>Rr3</t>
  </si>
  <si>
    <t>RTy5</t>
  </si>
  <si>
    <t>LBy3</t>
  </si>
  <si>
    <t>CTy4</t>
  </si>
  <si>
    <t>RBy5</t>
  </si>
  <si>
    <t>LTy6</t>
  </si>
  <si>
    <t>RTy3</t>
  </si>
  <si>
    <t>rr</t>
  </si>
  <si>
    <t>yL</t>
  </si>
  <si>
    <t>yyR</t>
  </si>
  <si>
    <t>Rby3</t>
  </si>
  <si>
    <t>RTy2</t>
  </si>
  <si>
    <t>b1</t>
  </si>
  <si>
    <t>Cy2</t>
  </si>
  <si>
    <t>Ry3</t>
  </si>
  <si>
    <t>Rrr2</t>
  </si>
  <si>
    <t>p1R</t>
  </si>
  <si>
    <t>p1CR</t>
  </si>
  <si>
    <t>p1CL</t>
  </si>
  <si>
    <t>p1L</t>
  </si>
  <si>
    <t>Ant2</t>
  </si>
  <si>
    <t>Ant0</t>
  </si>
  <si>
    <t>Ant1</t>
  </si>
  <si>
    <t>ANT2</t>
  </si>
  <si>
    <t>ANT0</t>
  </si>
  <si>
    <t>ANT1</t>
  </si>
  <si>
    <t>B1(+30deg)</t>
  </si>
  <si>
    <t>B2(-30deg)</t>
  </si>
  <si>
    <t>Top</t>
  </si>
  <si>
    <t>Bottom</t>
  </si>
  <si>
    <t>R3</t>
  </si>
  <si>
    <t>Y5</t>
  </si>
  <si>
    <t>Y6</t>
  </si>
  <si>
    <t>Y1 BL</t>
  </si>
  <si>
    <t>Y2 TL</t>
  </si>
  <si>
    <t>Y3 BR</t>
  </si>
  <si>
    <t>Y4 TR</t>
  </si>
  <si>
    <t>3936-9</t>
  </si>
  <si>
    <t>2x3936-9</t>
  </si>
  <si>
    <t>3826</t>
  </si>
  <si>
    <t>2x3826</t>
  </si>
  <si>
    <t>3953-9</t>
  </si>
  <si>
    <t>3953-18</t>
  </si>
  <si>
    <t>3953-21</t>
  </si>
  <si>
    <t>5258</t>
  </si>
  <si>
    <t>5905-9</t>
  </si>
  <si>
    <t>5905-18</t>
  </si>
  <si>
    <t>5905-21</t>
  </si>
  <si>
    <t>5909-21</t>
  </si>
  <si>
    <t>3953-18 3953-21</t>
  </si>
  <si>
    <t>5905-18 5905-21</t>
  </si>
  <si>
    <t>3953-18 5905-21</t>
  </si>
  <si>
    <t>5905-18 3953-21</t>
  </si>
  <si>
    <t>5304AC</t>
  </si>
  <si>
    <t>5304DB</t>
  </si>
  <si>
    <t>5519etAB</t>
  </si>
  <si>
    <t>5519etCD</t>
  </si>
  <si>
    <t>5515t</t>
  </si>
  <si>
    <t>5513AC 5304AC</t>
  </si>
  <si>
    <t>5513DB 5304DB</t>
  </si>
  <si>
    <t>3953-18 3953-21 5304AC</t>
  </si>
  <si>
    <t>3953-18 3953-21 5304DB</t>
  </si>
  <si>
    <t>737304</t>
  </si>
  <si>
    <t>737306</t>
  </si>
  <si>
    <t>792542</t>
  </si>
  <si>
    <t>793006</t>
  </si>
  <si>
    <t>793525</t>
  </si>
  <si>
    <t>793533</t>
  </si>
  <si>
    <t>793554</t>
  </si>
  <si>
    <t>6320627</t>
  </si>
  <si>
    <t>7141775</t>
  </si>
  <si>
    <t>78210246</t>
  </si>
  <si>
    <t>78210249</t>
  </si>
  <si>
    <t>78210500</t>
  </si>
  <si>
    <t>78210504</t>
  </si>
  <si>
    <t>78210525</t>
  </si>
  <si>
    <t>78210526</t>
  </si>
  <si>
    <t>78210532</t>
  </si>
  <si>
    <t>78210534</t>
  </si>
  <si>
    <t>78210620</t>
  </si>
  <si>
    <t>78210621</t>
  </si>
  <si>
    <t>78210623</t>
  </si>
  <si>
    <t>78210631</t>
  </si>
  <si>
    <t>78210640</t>
  </si>
  <si>
    <t>78210641</t>
  </si>
  <si>
    <t>78210681</t>
  </si>
  <si>
    <t>78210805</t>
  </si>
  <si>
    <t>78211110</t>
  </si>
  <si>
    <t>86010017</t>
  </si>
  <si>
    <t>86010018</t>
  </si>
  <si>
    <t>86010019</t>
  </si>
  <si>
    <t>86010101</t>
  </si>
  <si>
    <t>86010103</t>
  </si>
  <si>
    <t>86010105</t>
  </si>
  <si>
    <t>86010136</t>
  </si>
  <si>
    <t>ACOMD2A06v06</t>
  </si>
  <si>
    <t>ACOMD2L13v06</t>
  </si>
  <si>
    <t>DCB-2-04-64F-01</t>
  </si>
  <si>
    <t>DCB-2BM-64F-02</t>
  </si>
  <si>
    <t>HAT073843500S-03</t>
  </si>
  <si>
    <t>MI20242</t>
  </si>
  <si>
    <t>MI50542</t>
  </si>
  <si>
    <t>Unknown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</si>
</sst>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;;@"/>
  </numFmts>
  <fonts count="43"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sz val="12"/>
      <name val="宋体"/>
    </font>
    <font>
      <sz val="12"/>
      <name val="Times New Roman"/>
      <family val="1"/>
    </font>
    <font>
      <sz val="16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name val="Arial"/>
      <family val="2"/>
    </font>
    <font>
      <b/>
      <sz val="12"/>
      <color rgb="FFFF0000"/>
      <name val="Calibri"/>
      <family val="2"/>
      <scheme val="minor"/>
    </font>
    <font>
      <sz val="12"/>
      <name val="Arial"/>
      <family val="2"/>
    </font>
    <font>
      <sz val="12"/>
      <color rgb="FFFF0000"/>
      <name val="Arial"/>
      <family val="2"/>
    </font>
    <font>
      <sz val="12"/>
      <color theme="1"/>
      <name val="Arial"/>
      <family val="2"/>
    </font>
    <font>
      <sz val="14"/>
      <name val="Arial"/>
      <family val="2"/>
    </font>
    <font>
      <b/>
      <sz val="20"/>
      <name val="Arial"/>
      <family val="2"/>
    </font>
    <font>
      <sz val="20"/>
      <name val="Arial"/>
      <family val="2"/>
      <charset val="204"/>
    </font>
    <font>
      <b/>
      <sz val="14"/>
      <name val="Arial"/>
      <family val="2"/>
    </font>
    <font>
      <sz val="14"/>
      <color rgb="FFFF0000"/>
      <name val="Arial"/>
      <family val="2"/>
    </font>
    <font>
      <sz val="14"/>
      <color theme="1"/>
      <name val="Arial"/>
      <family val="2"/>
    </font>
    <font>
      <b/>
      <sz val="11"/>
      <color rgb="FFFF0000"/>
      <name val="Calibri"/>
      <family val="2"/>
      <scheme val="minor"/>
    </font>
    <font>
      <sz val="10"/>
      <color theme="1"/>
      <name val="Arial"/>
      <family val="2"/>
    </font>
    <font>
      <sz val="10"/>
      <color rgb="FFFF0000"/>
      <name val="Arial"/>
      <family val="2"/>
      <charset val="204"/>
    </font>
    <font>
      <sz val="11"/>
      <color theme="1"/>
      <name val="Calibri"/>
      <family val="2"/>
      <charset val="204"/>
      <scheme val="minor"/>
    </font>
    <font>
      <sz val="20"/>
      <color theme="1"/>
      <name val="Arial"/>
      <family val="2"/>
    </font>
    <font>
      <sz val="10"/>
      <name val="Arial"/>
      <family val="2"/>
      <charset val="204"/>
    </font>
    <font>
      <b/>
      <sz val="11"/>
      <color theme="1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9"/>
      <name val="Calibri"/>
      <family val="2"/>
      <charset val="204"/>
      <scheme val="minor"/>
    </font>
    <font>
      <b/>
      <sz val="14"/>
      <color theme="1"/>
      <name val="Arial"/>
      <family val="2"/>
      <charset val="204"/>
    </font>
    <font>
      <b/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3"/>
      <charset val="134"/>
      <scheme val="minor"/>
    </font>
    <font>
      <sz val="11"/>
      <color rgb="FF000000"/>
      <name val="Arial Narrow"/>
      <family val="2"/>
    </font>
    <font>
      <sz val="11"/>
      <color theme="1"/>
      <name val="Calibri"/>
      <family val="2"/>
      <charset val="134"/>
      <scheme val="minor"/>
    </font>
    <font>
      <sz val="11"/>
      <name val="Calibri"/>
      <family val="2"/>
      <charset val="134"/>
      <scheme val="minor"/>
    </font>
    <font>
      <sz val="11"/>
      <name val="Calibri"/>
      <family val="2"/>
      <scheme val="minor"/>
    </font>
    <font>
      <sz val="11"/>
      <name val="Arial Narrow"/>
      <family val="2"/>
    </font>
  </fonts>
  <fills count="7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medium">
        <color theme="1"/>
      </left>
      <right style="medium">
        <color theme="1"/>
      </right>
      <top style="thin">
        <color theme="1"/>
      </top>
      <bottom/>
      <diagonal/>
    </border>
    <border>
      <left style="thin">
        <color theme="1"/>
      </left>
      <right style="medium">
        <color theme="1"/>
      </right>
      <top style="thin">
        <color theme="1"/>
      </top>
      <bottom/>
      <diagonal/>
    </border>
    <border>
      <left style="medium">
        <color theme="1"/>
      </left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/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</borders>
  <cellStyleXfs count="28">
    <xf numFmtId="0" fontId="0" fillId="0" borderId="0"/>
    <xf numFmtId="0" fontId="9" fillId="0" borderId="0"/>
    <xf numFmtId="0" fontId="6" fillId="0" borderId="0"/>
    <xf numFmtId="0" fontId="5" fillId="0" borderId="0"/>
    <xf numFmtId="0" fontId="29" fillId="0" borderId="0"/>
    <xf numFmtId="0" fontId="29" fillId="0" borderId="0"/>
    <xf numFmtId="0" fontId="6" fillId="0" borderId="0"/>
    <xf numFmtId="0" fontId="5" fillId="0" borderId="0"/>
    <xf numFmtId="0" fontId="29" fillId="0" borderId="0"/>
    <xf numFmtId="0" fontId="6" fillId="0" borderId="0"/>
    <xf numFmtId="0" fontId="5" fillId="0" borderId="0"/>
    <xf numFmtId="0" fontId="2" fillId="0" borderId="0"/>
    <xf numFmtId="0" fontId="1" fillId="0" borderId="0"/>
    <xf numFmtId="0" fontId="4" fillId="0" borderId="0"/>
    <xf numFmtId="0" fontId="3" fillId="0" borderId="0"/>
    <xf numFmtId="0" fontId="1" fillId="0" borderId="0"/>
    <xf numFmtId="0" fontId="27" fillId="0" borderId="0"/>
    <xf numFmtId="0" fontId="27" fillId="0" borderId="0"/>
    <xf numFmtId="0" fontId="1" fillId="0" borderId="0"/>
    <xf numFmtId="0" fontId="5" fillId="0" borderId="0"/>
    <xf numFmtId="0" fontId="4" fillId="0" borderId="0"/>
    <xf numFmtId="0" fontId="3" fillId="0" borderId="0"/>
    <xf numFmtId="0" fontId="1" fillId="0" borderId="0"/>
    <xf numFmtId="0" fontId="1" fillId="0" borderId="0"/>
    <xf numFmtId="0" fontId="27" fillId="0" borderId="0"/>
    <xf numFmtId="0" fontId="27" fillId="0" borderId="0"/>
    <xf numFmtId="0" fontId="39" fillId="0" borderId="0"/>
    <xf numFmtId="0" fontId="8" fillId="0" borderId="0"/>
  </cellStyleXfs>
  <cellXfs count="28">
    <xf numFmtId="0" applyNumberFormat="1" fontId="0" applyFont="1" fillId="0" applyFill="1" borderId="0" applyBorder="1" xfId="0" applyProtection="1"/>
    <xf numFmtId="0" applyNumberFormat="1" fontId="0" applyFont="1" fillId="0" applyFill="1" borderId="1" applyBorder="1" xfId="0" applyProtection="1"/>
    <xf numFmtId="0" applyNumberFormat="1" fontId="0" applyFont="1" fillId="0" applyFill="1" borderId="0" applyBorder="1" xfId="0" applyProtection="1"/>
    <xf numFmtId="0" applyNumberFormat="1" fontId="10" applyFont="1" fillId="0" applyFill="1" borderId="1" applyBorder="1" xfId="0" applyProtection="1"/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7" applyFont="1" fillId="0" applyFill="1" borderId="0" applyBorder="1" xfId="0" applyProtection="1"/>
    <xf numFmtId="0" applyNumberFormat="1" fontId="0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horizontal="right"/>
    </xf>
    <xf numFmtId="0" applyNumberFormat="1" fontId="18" applyFont="1" fillId="2" applyFill="1" borderId="22" applyBorder="1" xfId="19" applyProtection="1" applyAlignment="1">
      <alignment horizontal="right" vertical="center"/>
    </xf>
    <xf numFmtId="0" applyNumberFormat="1" fontId="22" applyFont="1" fillId="2" applyFill="1" borderId="6" applyBorder="1" xfId="19" applyProtection="1" applyAlignment="1">
      <alignment horizontal="right" vertical="center"/>
    </xf>
    <xf numFmtId="0" applyNumberFormat="1" fontId="22" applyFont="1" fillId="2" applyFill="1" borderId="5" applyBorder="1" xfId="19" applyProtection="1" applyAlignment="1">
      <alignment horizontal="right" vertical="center"/>
    </xf>
    <xf numFmtId="0" applyNumberFormat="1" fontId="18" applyFont="1" fillId="2" applyFill="1" borderId="30" applyBorder="1" xfId="19" applyProtection="1" applyAlignment="1">
      <alignment horizontal="right" vertical="center"/>
    </xf>
    <xf numFmtId="0" applyNumberFormat="1" fontId="18" applyFont="1" fillId="2" applyFill="1" borderId="20" applyBorder="1" xfId="19" applyProtection="1" applyAlignment="1">
      <alignment horizontal="right" vertical="center"/>
    </xf>
    <xf numFmtId="0" applyNumberFormat="1" fontId="18" applyFont="1" fillId="2" applyFill="1" borderId="15" applyBorder="1" xfId="19" applyProtection="1" applyAlignment="1">
      <alignment horizontal="right" vertical="center"/>
    </xf>
    <xf numFmtId="0" applyNumberFormat="1" fontId="18" applyFont="1" fillId="2" applyFill="1" borderId="25" applyBorder="1" xfId="19" applyProtection="1" applyAlignment="1">
      <alignment horizontal="right"/>
    </xf>
    <xf numFmtId="0" applyNumberFormat="1" fontId="0" applyFont="1" fillId="0" applyFill="1" borderId="31" applyBorder="1" xfId="0" applyProtection="1"/>
    <xf numFmtId="0" applyNumberFormat="1" fontId="15" applyFont="1" fillId="0" applyFill="1" borderId="32" applyBorder="1" xfId="0" applyProtection="1"/>
    <xf numFmtId="0" applyNumberFormat="1" fontId="25" applyFont="1" fillId="0" applyFill="1" borderId="0" applyBorder="1" xfId="0" applyProtection="1"/>
    <xf numFmtId="0" applyNumberFormat="1" fontId="22" applyFont="1" fillId="2" applyFill="1" borderId="36" applyBorder="1" xfId="19" applyProtection="1" applyAlignment="1">
      <alignment horizontal="right" vertical="center" wrapText="1"/>
    </xf>
    <xf numFmtId="0" applyNumberFormat="1" fontId="7" applyFont="1" fillId="0" applyFill="1" borderId="0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 applyAlignment="1">
      <alignment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0" applyBorder="1" xfId="0" applyProtection="1"/>
    <xf numFmtId="49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7" applyFont="1" fillId="0" applyFill="1" borderId="30" applyBorder="1" xfId="19" applyProtection="1" applyAlignment="1">
      <alignment horizontal="center" vertical="center" wrapText="1"/>
    </xf>
    <xf numFmtId="0" applyNumberFormat="1" fontId="17" applyFont="1" fillId="0" applyFill="1" borderId="39" applyBorder="1" xfId="19" applyProtection="1" applyAlignment="1">
      <alignment horizontal="center" vertical="center" wrapText="1"/>
    </xf>
    <xf numFmtId="0" applyNumberFormat="1" fontId="17" applyFont="1" fillId="0" applyFill="1" borderId="18" applyBorder="1" xfId="19" applyProtection="1" applyAlignment="1">
      <alignment horizontal="center" vertical="center" wrapText="1"/>
    </xf>
    <xf numFmtId="0" applyNumberFormat="1" fontId="18" applyFont="1" fillId="2" applyFill="1" borderId="21" applyBorder="1" xfId="19" applyProtection="1" applyAlignment="1">
      <alignment horizontal="right" vertical="center"/>
    </xf>
    <xf numFmtId="0" applyNumberFormat="1" fontId="22" applyFont="1" fillId="2" applyFill="1" borderId="12" applyBorder="1" xfId="19" applyProtection="1" applyAlignment="1">
      <alignment horizontal="right" vertical="center"/>
    </xf>
    <xf numFmtId="0" applyNumberFormat="1" fontId="22" applyFont="1" fillId="2" applyFill="1" borderId="11" applyBorder="1" xfId="19" applyProtection="1" applyAlignment="1">
      <alignment horizontal="right" vertical="center"/>
    </xf>
    <xf numFmtId="0" applyNumberFormat="1" fontId="22" applyFont="1" fillId="2" applyFill="1" borderId="13" applyBorder="1" xfId="19" applyProtection="1" applyAlignment="1">
      <alignment horizontal="right" vertical="center"/>
    </xf>
    <xf numFmtId="0" applyNumberFormat="1" fontId="22" applyFont="1" fillId="2" applyFill="1" borderId="9" applyBorder="1" xfId="19" applyProtection="1" applyAlignment="1">
      <alignment horizontal="right" vertical="center"/>
    </xf>
    <xf numFmtId="0" applyNumberFormat="1" fontId="22" applyFont="1" fillId="2" applyFill="1" borderId="24" applyBorder="1" xfId="19" applyProtection="1" applyAlignment="1">
      <alignment horizontal="right" vertical="center"/>
    </xf>
    <xf numFmtId="0" applyNumberFormat="1" fontId="18" applyFont="1" fillId="0" applyFill="1" borderId="18" applyBorder="1" xfId="0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7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/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left" vertical="center"/>
    </xf>
    <xf numFmtId="0" applyNumberFormat="1" fontId="7" applyFont="1" fillId="0" applyFill="1" borderId="41" applyBorder="1" xfId="0" applyProtection="1" applyAlignment="1">
      <alignment horizontal="left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7" applyFont="1" fillId="0" applyFill="1" borderId="38" applyBorder="1" xfId="19" quotePrefix="1" applyProtection="1" applyAlignment="1">
      <alignment horizontal="center" vertical="center" wrapText="1"/>
    </xf>
    <xf numFmtId="0" applyNumberFormat="1" fontId="17" applyFont="1" fillId="0" applyFill="1" borderId="37" applyBorder="1" xfId="19" quotePrefix="1" applyProtection="1" applyAlignment="1">
      <alignment horizontal="center" vertical="center" wrapText="1"/>
    </xf>
    <xf numFmtId="0" applyNumberFormat="1" fontId="17" applyFont="1" fillId="0" applyFill="1" borderId="33" applyBorder="1" xfId="19" quotePrefix="1" applyProtection="1" applyAlignment="1">
      <alignment horizontal="center" vertical="center" wrapText="1"/>
    </xf>
    <xf numFmtId="0" applyNumberFormat="1" fontId="17" applyFont="1" fillId="0" applyFill="1" borderId="10" applyBorder="1" xfId="19" quotePrefix="1" applyProtection="1" applyAlignment="1">
      <alignment horizontal="center" vertical="center" wrapText="1"/>
    </xf>
    <xf numFmtId="1" applyNumberFormat="1" fontId="17" applyFont="1" fillId="0" applyFill="1" borderId="36" applyBorder="1" xfId="19" quotePrefix="1" applyProtection="1" applyAlignment="1">
      <alignment horizontal="center" vertical="center" wrapText="1" shrinkToFit="1"/>
    </xf>
    <xf numFmtId="1" applyNumberFormat="1" fontId="17" applyFont="1" fillId="0" applyFill="1" borderId="36" applyBorder="1" xfId="19" applyProtection="1" applyAlignment="1">
      <alignment horizontal="center" vertical="center" wrapText="1" shrinkToFit="1"/>
    </xf>
    <xf numFmtId="1" applyNumberFormat="1" fontId="17" applyFont="1" fillId="0" applyFill="1" borderId="14" applyBorder="1" xfId="19" applyProtection="1" applyAlignment="1">
      <alignment horizontal="center" vertical="center" wrapText="1" shrinkToFit="1"/>
    </xf>
    <xf numFmtId="1" applyNumberFormat="1" fontId="17" applyFont="1" fillId="0" applyFill="1" borderId="11" applyBorder="1" xfId="19" applyProtection="1" applyAlignment="1">
      <alignment horizontal="center" vertical="center" wrapText="1" shrinkToFit="1"/>
    </xf>
    <xf numFmtId="1" applyNumberFormat="1" fontId="17" applyFont="1" fillId="0" applyFill="1" borderId="8" applyBorder="1" xfId="19" applyProtection="1" applyAlignment="1">
      <alignment horizontal="center" vertical="center" wrapText="1" shrinkToFit="1"/>
    </xf>
    <xf numFmtId="0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17" applyFont="1" fillId="0" applyFill="1" borderId="40" applyBorder="1" xfId="19" applyProtection="1" applyAlignment="1">
      <alignment horizontal="center" vertical="center" wrapText="1"/>
    </xf>
    <xf numFmtId="49" applyNumberFormat="1" fontId="17" applyFont="1" fillId="0" applyFill="1" borderId="4" applyBorder="1" xfId="19" applyProtection="1" applyAlignment="1">
      <alignment horizontal="center" vertical="center" wrapText="1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9" applyFont="1" fillId="0" applyFill="1" borderId="41" applyBorder="1" xfId="0" applyProtection="1" applyAlignment="1">
      <alignment horizontal="left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left" vertical="center"/>
    </xf>
    <xf numFmtId="0" applyNumberFormat="1" fontId="7" applyFont="1" fillId="0" applyFill="1" borderId="70" applyBorder="1" xfId="0" applyProtection="1" applyAlignment="1">
      <alignment horizontal="center" vertical="center"/>
    </xf>
    <xf numFmtId="164" applyNumberFormat="1" fontId="25" applyFont="1" fillId="0" applyFill="1" borderId="7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left" vertical="center"/>
    </xf>
    <xf numFmtId="16" applyNumberFormat="1" fontId="17" applyFont="1" fillId="0" applyFill="1" borderId="39" applyBorder="1" xfId="19" quotePrefix="1" applyProtection="1" applyAlignment="1">
      <alignment horizontal="center" vertical="center" wrapText="1"/>
    </xf>
    <xf numFmtId="16" applyNumberFormat="1" fontId="17" applyFont="1" fillId="0" applyFill="1" borderId="39" applyBorder="1" xfId="19" applyProtection="1" applyAlignment="1">
      <alignment horizontal="center" vertical="center" wrapText="1"/>
    </xf>
    <xf numFmtId="16" applyNumberFormat="1" fontId="23" applyFont="1" fillId="2" applyFill="1" borderId="53" applyBorder="1" xfId="19" quotePrefix="1" applyProtection="1" applyAlignment="1">
      <alignment horizontal="center" vertical="center"/>
    </xf>
    <xf numFmtId="0" applyNumberFormat="1" fontId="23" applyFont="1" fillId="2" applyFill="1" borderId="53" applyBorder="1" xfId="19" quotePrefix="1" applyProtection="1" applyAlignment="1">
      <alignment horizontal="center" vertical="center"/>
    </xf>
    <xf numFmtId="49" applyNumberFormat="1" fontId="23" applyFont="1" fillId="2" applyFill="1" borderId="53" applyBorder="1" xfId="19" quotePrefix="1" applyProtection="1" applyAlignment="1">
      <alignment horizontal="center" vertical="center"/>
    </xf>
    <xf numFmtId="16" applyNumberFormat="1" fontId="17" applyFont="1" fillId="0" applyFill="1" borderId="74" applyBorder="1" xfId="19" applyProtection="1" applyAlignment="1">
      <alignment horizontal="center" vertical="center" wrapText="1"/>
    </xf>
    <xf numFmtId="16" applyNumberFormat="1" fontId="17" applyFont="1" fillId="0" applyFill="1" borderId="75" applyBorder="1" xfId="19" applyProtection="1" applyAlignment="1">
      <alignment horizontal="center" vertical="center" wrapText="1"/>
    </xf>
    <xf numFmtId="0" applyNumberFormat="1" fontId="22" applyFont="1" fillId="2" applyFill="1" borderId="76" applyBorder="1" xfId="19" applyProtection="1" applyAlignment="1">
      <alignment horizontal="right" vertical="center"/>
    </xf>
    <xf numFmtId="0" applyNumberFormat="1" fontId="18" applyFont="1" fillId="2" applyFill="1" borderId="77" applyBorder="1" xfId="19" applyProtection="1" applyAlignment="1">
      <alignment horizontal="right" vertical="center"/>
    </xf>
    <xf numFmtId="0" applyNumberFormat="1" fontId="18" applyFont="1" fillId="2" applyFill="1" borderId="53" applyBorder="1" xfId="19" applyProtection="1" applyAlignment="1">
      <alignment horizontal="right" vertical="center"/>
    </xf>
    <xf numFmtId="0" applyNumberFormat="1" fontId="22" applyFont="1" fillId="2" applyFill="1" borderId="53" applyBorder="1" xfId="19" applyProtection="1" applyAlignment="1">
      <alignment horizontal="right" vertical="center"/>
    </xf>
    <xf numFmtId="0" applyNumberFormat="1" fontId="35" applyFont="1" fillId="2" applyFill="1" borderId="25" applyBorder="1" xfId="19" applyProtection="1" applyAlignment="1">
      <alignment horizontal="center" vertical="top" wrapText="1"/>
    </xf>
    <xf numFmtId="0" applyNumberFormat="1" fontId="11" applyFont="1" fillId="0" applyFill="1" borderId="51" applyBorder="1" xfId="19" applyProtection="1" applyAlignment="1">
      <alignment vertical="top" wrapText="1"/>
    </xf>
    <xf numFmtId="0" applyNumberFormat="1" fontId="24" applyFont="1" fillId="0" applyFill="1" borderId="63" applyBorder="1" xfId="19" applyProtection="1" applyAlignment="1">
      <alignment vertical="top" wrapText="1"/>
    </xf>
    <xf numFmtId="0" applyNumberFormat="1" fontId="24" applyFont="1" fillId="0" applyFill="1" borderId="54" applyBorder="1" xfId="19" applyProtection="1" applyAlignment="1">
      <alignment vertical="top" wrapText="1"/>
    </xf>
    <xf numFmtId="49" applyNumberFormat="1" fontId="23" applyFont="1" fillId="2" applyFill="1" borderId="66" applyBorder="1" xfId="19" quotePrefix="1" applyProtection="1" applyAlignment="1">
      <alignment horizontal="center" vertical="center"/>
    </xf>
    <xf numFmtId="49" applyNumberFormat="1" fontId="23" applyFont="1" fillId="2" applyFill="1" borderId="54" applyBorder="1" xfId="19" quotePrefix="1" applyProtection="1" applyAlignment="1">
      <alignment horizontal="center" vertical="center"/>
    </xf>
    <xf numFmtId="0" applyNumberFormat="1" fontId="17" applyFont="1" fillId="0" applyFill="1" borderId="36" applyBorder="1" xfId="19" applyProtection="1" applyAlignment="1">
      <alignment horizontal="center" vertical="center" wrapText="1"/>
    </xf>
    <xf numFmtId="49" applyNumberFormat="1" fontId="17" applyFont="1" fillId="0" applyFill="1" borderId="36" applyBorder="1" xfId="19" applyProtection="1" applyAlignment="1">
      <alignment horizontal="center" vertical="center" wrapText="1"/>
    </xf>
    <xf numFmtId="0" applyNumberFormat="1" fontId="12" applyFont="1" fillId="0" applyFill="1" borderId="66" applyBorder="1" xfId="19" applyProtection="1" applyAlignment="1">
      <alignment vertical="top" wrapText="1"/>
    </xf>
    <xf numFmtId="0" applyNumberFormat="1" fontId="24" applyFont="1" fillId="0" applyFill="1" borderId="57" applyBorder="1" xfId="19" applyProtection="1" applyAlignment="1">
      <alignment vertical="top" wrapText="1"/>
    </xf>
    <xf numFmtId="0" applyNumberFormat="1" fontId="18" applyFont="1" fillId="2" applyFill="1" borderId="17" applyBorder="1" xfId="19" applyProtection="1" applyAlignment="1">
      <alignment horizontal="right" vertical="center"/>
    </xf>
    <xf numFmtId="0" applyNumberFormat="1" fontId="22" applyFont="1" fillId="2" applyFill="1" borderId="7" applyBorder="1" xfId="19" applyProtection="1" applyAlignment="1">
      <alignment horizontal="right" vertical="center"/>
    </xf>
    <xf numFmtId="0" applyNumberFormat="1" fontId="18" applyFont="1" fillId="2" applyFill="1" borderId="81" applyBorder="1" xfId="19" applyProtection="1" applyAlignment="1">
      <alignment horizontal="right" vertical="center"/>
    </xf>
    <xf numFmtId="0" applyNumberFormat="1" fontId="22" applyFont="1" fillId="2" applyFill="1" borderId="81" applyBorder="1" xfId="19" applyProtection="1" applyAlignment="1">
      <alignment horizontal="right" vertical="center"/>
    </xf>
    <xf numFmtId="0" applyNumberFormat="1" fontId="18" applyFont="1" fillId="2" applyFill="1" borderId="75" applyBorder="1" xfId="19" applyProtection="1" applyAlignment="1">
      <alignment horizontal="right" vertical="center"/>
    </xf>
    <xf numFmtId="0" applyNumberFormat="1" fontId="22" applyFont="1" fillId="2" applyFill="1" borderId="8" applyBorder="1" xfId="19" applyProtection="1" applyAlignment="1">
      <alignment horizontal="right" vertical="center" wrapText="1"/>
    </xf>
    <xf numFmtId="0" applyNumberFormat="1" fontId="18" applyFont="1" fillId="2" applyFill="1" borderId="23" applyBorder="1" xfId="19" applyProtection="1" applyAlignment="1">
      <alignment horizontal="right" vertical="center"/>
    </xf>
    <xf numFmtId="0" applyNumberFormat="1" fontId="22" applyFont="1" fillId="2" applyFill="1" borderId="0" applyBorder="1" xfId="19" applyProtection="1" applyAlignment="1">
      <alignment horizontal="right" vertical="center"/>
    </xf>
    <xf numFmtId="0" applyNumberFormat="1" fontId="11" applyFont="1" fillId="0" applyFill="1" borderId="30" applyBorder="1" xfId="19" applyProtection="1" applyAlignment="1">
      <alignment vertical="top" wrapText="1"/>
    </xf>
    <xf numFmtId="0" applyNumberFormat="1" fontId="24" applyFont="1" fillId="0" applyFill="1" borderId="40" applyBorder="1" xfId="19" applyProtection="1" applyAlignment="1">
      <alignment vertical="top" wrapText="1"/>
    </xf>
    <xf numFmtId="0" applyNumberFormat="1" fontId="24" applyFont="1" fillId="0" applyFill="1" borderId="36" applyBorder="1" xfId="19" applyProtection="1" applyAlignment="1">
      <alignment vertical="top" wrapText="1"/>
    </xf>
    <xf numFmtId="0" applyNumberFormat="1" fontId="12" applyFont="1" fillId="0" applyFill="1" borderId="39" applyBorder="1" xfId="19" applyProtection="1" applyAlignment="1">
      <alignment vertical="top" wrapText="1"/>
    </xf>
    <xf numFmtId="0" applyNumberFormat="1" fontId="11" applyFont="1" fillId="0" applyFill="1" borderId="23" applyBorder="1" xfId="19" applyProtection="1" applyAlignment="1">
      <alignment vertical="top" wrapText="1"/>
    </xf>
    <xf numFmtId="0" applyNumberFormat="1" fontId="24" applyFont="1" fillId="0" applyFill="1" borderId="78" applyBorder="1" xfId="19" applyProtection="1" applyAlignment="1">
      <alignment vertical="top" wrapText="1"/>
    </xf>
    <xf numFmtId="0" applyNumberFormat="1" fontId="24" applyFont="1" fillId="0" applyFill="1" borderId="8" applyBorder="1" xfId="19" applyProtection="1" applyAlignment="1">
      <alignment vertical="top" wrapText="1"/>
    </xf>
    <xf numFmtId="0" applyNumberFormat="1" fontId="12" applyFont="1" fillId="0" applyFill="1" borderId="74" applyBorder="1" xfId="19" applyProtection="1" applyAlignment="1">
      <alignment vertical="top" wrapText="1"/>
    </xf>
    <xf numFmtId="0" applyNumberFormat="1" fontId="24" applyFont="1" fillId="0" applyFill="1" borderId="38" applyBorder="1" xfId="19" applyProtection="1" applyAlignment="1">
      <alignment vertical="top" wrapText="1"/>
    </xf>
    <xf numFmtId="0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26" applyFont="1" fillId="0" applyFill="1" borderId="41" applyBorder="1" xfId="0" applyProtection="1" applyAlignment="1">
      <alignment horizontal="center" vertical="center"/>
    </xf>
    <xf numFmtId="0" applyNumberFormat="1" fontId="7" applyFont="1" fillId="0" applyFill="1" borderId="53" applyBorder="1" xfId="0" applyProtection="1" applyAlignment="1">
      <alignment horizontal="center" vertical="center"/>
    </xf>
    <xf numFmtId="16" applyNumberFormat="1" fontId="23" applyFont="1" fillId="3" applyFill="1" borderId="53" applyBorder="1" xfId="19" quotePrefix="1" applyProtection="1" applyAlignment="1">
      <alignment horizontal="center" vertical="center"/>
    </xf>
    <xf numFmtId="0" applyNumberFormat="1" fontId="0" applyFont="1" fillId="0" applyFill="1" borderId="13" applyBorder="1" xfId="0" applyProtection="1"/>
    <xf numFmtId="0" applyNumberFormat="1" fontId="1" applyFont="1" fillId="0" applyFill="1" borderId="85" applyBorder="1" xfId="12" applyProtection="1" applyAlignment="1">
      <alignment horizontal="center" vertical="center"/>
    </xf>
    <xf numFmtId="0" applyNumberFormat="1" fontId="1" applyFont="1" fillId="0" applyFill="1" borderId="81" applyBorder="1" xfId="12" quotePrefix="1" applyProtection="1" applyAlignment="1">
      <alignment horizontal="center" vertical="center"/>
    </xf>
    <xf numFmtId="0" applyNumberFormat="1" fontId="41" applyFont="1" fillId="0" applyFill="1" borderId="81" applyBorder="1" xfId="12" applyProtection="1" applyAlignment="1">
      <alignment horizontal="center" vertical="center"/>
    </xf>
    <xf numFmtId="0" applyNumberFormat="1" fontId="40" applyFont="1" fillId="0" applyFill="1" borderId="81" applyBorder="1" xfId="26" applyProtection="1" applyAlignment="1">
      <alignment horizontal="center" vertical="center"/>
    </xf>
    <xf numFmtId="0" applyNumberFormat="1" fontId="39" applyFont="1" fillId="0" applyFill="1" borderId="81" applyBorder="1" xfId="26" applyProtection="1" applyAlignment="1">
      <alignment horizontal="center" vertical="center"/>
    </xf>
    <xf numFmtId="0" applyNumberFormat="1" fontId="1" applyFont="1" fillId="0" applyFill="1" borderId="81" applyBorder="1" xfId="12" applyProtection="1" applyAlignment="1">
      <alignment horizontal="center" vertical="center"/>
    </xf>
    <xf numFmtId="0" applyNumberFormat="1" fontId="37" applyFont="1" fillId="5" applyFill="1" borderId="83" applyBorder="1" xfId="12" applyProtection="1" applyAlignment="1">
      <alignment horizontal="center" vertical="center"/>
    </xf>
    <xf numFmtId="0" applyNumberFormat="1" fontId="0" applyFont="1" fillId="0" applyFill="1" borderId="0" applyBorder="1" xfId="0" applyProtection="1"/>
    <xf numFmtId="0" applyNumberFormat="1" fontId="1" applyFont="1" fillId="0" applyFill="1" borderId="0" applyBorder="1" xfId="12" applyProtection="1"/>
    <xf numFmtId="0" applyNumberFormat="1" fontId="1" applyFont="1" fillId="0" applyFill="1" borderId="0" applyBorder="1" xfId="12" applyProtection="1">
      <alignment wrapText="1"/>
    </xf>
    <xf numFmtId="0" applyNumberFormat="1" fontId="37" applyFont="1" fillId="5" applyFill="1" borderId="65" applyBorder="1" xfId="12" applyProtection="1" applyAlignment="1">
      <alignment horizontal="center" vertical="center"/>
    </xf>
    <xf numFmtId="0" applyNumberFormat="1" fontId="37" applyFont="1" fillId="6" applyFill="1" borderId="65" applyBorder="1" xfId="12" applyProtection="1" applyAlignment="1">
      <alignment horizontal="center" vertical="center"/>
    </xf>
    <xf numFmtId="0" applyNumberFormat="1" fontId="1" applyFont="1" fillId="0" applyFill="1" borderId="53" applyBorder="1" xfId="12" applyProtection="1" applyAlignment="1">
      <alignment horizontal="center" vertical="center"/>
    </xf>
    <xf numFmtId="0" applyNumberFormat="1" fontId="38" applyFont="1" fillId="0" applyFill="1" borderId="82" applyBorder="1" xfId="12" applyProtection="1" applyAlignment="1">
      <alignment horizontal="center" vertical="center" readingOrder="1"/>
    </xf>
    <xf numFmtId="0" applyNumberFormat="1" fontId="39" applyFont="1" fillId="0" applyFill="1" borderId="53" applyBorder="1" xfId="26" applyProtection="1" applyAlignment="1">
      <alignment horizontal="center" vertical="center"/>
    </xf>
    <xf numFmtId="0" applyNumberFormat="1" fontId="40" applyFont="1" fillId="0" applyFill="1" borderId="53" applyBorder="1" xfId="26" applyProtection="1" applyAlignment="1">
      <alignment horizontal="center" vertical="center"/>
    </xf>
    <xf numFmtId="0" applyNumberFormat="1" fontId="41" applyFont="1" fillId="0" applyFill="1" borderId="53" applyBorder="1" xfId="12" applyProtection="1" applyAlignment="1">
      <alignment horizontal="center" vertical="center"/>
    </xf>
    <xf numFmtId="0" applyNumberFormat="1" fontId="42" applyFont="1" fillId="0" applyFill="1" borderId="82" applyBorder="1" xfId="12" applyProtection="1" applyAlignment="1">
      <alignment horizontal="center" vertical="center" readingOrder="1"/>
    </xf>
    <xf numFmtId="0" applyNumberFormat="1" fontId="1" applyFont="1" fillId="0" applyFill="1" borderId="53" applyBorder="1" xfId="12" quotePrefix="1" applyProtection="1" applyAlignment="1">
      <alignment horizontal="center" vertical="center"/>
    </xf>
    <xf numFmtId="0" applyNumberFormat="1" fontId="1" applyFont="1" fillId="0" applyFill="1" borderId="62" applyBorder="1" xfId="12" applyProtection="1" applyAlignment="1">
      <alignment horizontal="center" vertical="center"/>
    </xf>
    <xf numFmtId="0" applyNumberFormat="1" fontId="41" applyFont="1" fillId="0" applyFill="1" borderId="62" applyBorder="1" xfId="12" applyProtection="1" applyAlignment="1">
      <alignment horizontal="center" vertical="center"/>
    </xf>
    <xf numFmtId="0" applyNumberFormat="1" fontId="42" applyFont="1" fillId="0" applyFill="1" borderId="87" applyBorder="1" xfId="12" applyProtection="1" applyAlignment="1">
      <alignment horizontal="center" vertical="center" readingOrder="1"/>
    </xf>
    <xf numFmtId="0" applyNumberFormat="1" fontId="42" applyFont="1" fillId="0" applyFill="1" borderId="53" applyBorder="1" xfId="12" applyProtection="1" applyAlignment="1">
      <alignment horizontal="center" vertical="center" readingOrder="1"/>
    </xf>
    <xf numFmtId="0" applyNumberFormat="1" fontId="37" applyFont="1" fillId="6" applyFill="1" borderId="84" applyBorder="1" xfId="12" applyProtection="1" applyAlignment="1">
      <alignment horizontal="center" vertical="center"/>
    </xf>
    <xf numFmtId="0" applyNumberFormat="1" fontId="1" applyFont="1" fillId="0" applyFill="1" borderId="32" applyBorder="1" xfId="12" applyProtection="1" applyAlignment="1">
      <alignment horizontal="center" vertical="center"/>
    </xf>
    <xf numFmtId="0" applyNumberFormat="1" fontId="1" applyFont="1" fillId="0" applyFill="1" borderId="86" applyBorder="1" xfId="12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4" applyFill="1" borderId="83" applyBorder="1" xfId="25" applyProtection="1" applyAlignment="1">
      <alignment horizontal="center" vertical="center"/>
    </xf>
    <xf numFmtId="0" applyNumberFormat="1" fontId="27" applyFont="1" fillId="4" applyFill="1" borderId="84" applyBorder="1" xfId="25" applyProtection="1" applyAlignment="1">
      <alignment horizontal="center" vertical="center"/>
    </xf>
    <xf numFmtId="0" applyNumberFormat="1" fontId="27" applyFont="1" fillId="0" applyFill="1" borderId="85" applyBorder="1" xfId="25" applyProtection="1" applyAlignment="1">
      <alignment horizontal="center" vertical="center"/>
    </xf>
    <xf numFmtId="0" applyNumberFormat="1" fontId="27" applyFont="1" fillId="0" applyFill="1" borderId="86" applyBorder="1" xfId="25" applyProtection="1" applyAlignment="1">
      <alignment horizontal="center" vertical="center"/>
    </xf>
    <xf numFmtId="0" applyNumberFormat="1" fontId="27" applyFont="1" fillId="0" applyFill="1" borderId="81" applyBorder="1" xfId="25" applyProtection="1" applyAlignment="1">
      <alignment horizontal="center" vertical="center"/>
    </xf>
    <xf numFmtId="0" applyNumberFormat="1" fontId="27" applyFont="1" fillId="0" applyFill="1" borderId="32" applyBorder="1" xfId="25" applyProtection="1" applyAlignment="1">
      <alignment horizontal="center" vertical="center"/>
    </xf>
    <xf numFmtId="0" applyNumberFormat="1" fontId="27" applyFont="1" fillId="0" applyFill="1" borderId="0" applyBorder="1" xfId="16" applyProtection="1"/>
    <xf numFmtId="0" applyNumberFormat="1" fontId="36" applyFont="1" fillId="0" applyFill="1" borderId="0" applyBorder="1" xfId="17" applyProtection="1"/>
    <xf numFmtId="0" applyNumberFormat="1" fontId="27" applyFont="1" fillId="0" applyFill="1" borderId="0" applyBorder="1" xfId="16" applyProtection="1"/>
    <xf numFmtId="0" applyNumberFormat="1" fontId="30" applyFont="1" fillId="0" applyFill="1" borderId="46" applyBorder="1" xfId="16" applyProtection="1"/>
    <xf numFmtId="49" applyNumberFormat="1" fontId="31" applyFont="1" fillId="0" applyFill="1" borderId="47" applyBorder="1" xfId="16" applyProtection="1" applyAlignment="1">
      <alignment vertical="center"/>
    </xf>
    <xf numFmtId="0" applyNumberFormat="1" fontId="32" applyFont="1" fillId="0" applyFill="1" borderId="47" applyBorder="1" xfId="16" applyProtection="1" applyAlignment="1">
      <alignment horizontal="left" vertical="center"/>
    </xf>
    <xf numFmtId="0" applyNumberFormat="1" fontId="31" applyFont="1" fillId="0" applyFill="1" borderId="48" applyBorder="1" xfId="16" applyProtection="1" applyAlignment="1">
      <alignment horizontal="center"/>
    </xf>
    <xf numFmtId="0" applyNumberFormat="1" fontId="27" applyFont="1" fillId="0" applyFill="1" borderId="49" applyBorder="1" xfId="16" applyProtection="1"/>
    <xf numFmtId="49" applyNumberFormat="1" fontId="33" applyFont="1" fillId="0" applyFill="1" borderId="50" applyBorder="1" xfId="16" applyProtection="1" applyAlignment="1">
      <alignment vertical="center"/>
    </xf>
    <xf numFmtId="0" applyNumberFormat="1" fontId="34" applyFont="1" fillId="0" applyFill="1" borderId="50" applyBorder="1" xfId="16" applyProtection="1" applyAlignment="1">
      <alignment horizontal="left" vertical="center"/>
    </xf>
    <xf numFmtId="0" applyNumberFormat="1" fontId="33" applyFont="1" fillId="0" applyFill="1" borderId="51" applyBorder="1" xfId="16" applyProtection="1" applyAlignment="1">
      <alignment horizontal="center"/>
    </xf>
    <xf numFmtId="0" applyNumberFormat="1" fontId="27" applyFont="1" fillId="0" applyFill="1" borderId="52" applyBorder="1" xfId="16" applyProtection="1"/>
    <xf numFmtId="49" applyNumberFormat="1" fontId="33" applyFont="1" fillId="0" applyFill="1" borderId="53" applyBorder="1" xfId="16" applyProtection="1" applyAlignment="1">
      <alignment vertical="center"/>
    </xf>
    <xf numFmtId="0" applyNumberFormat="1" fontId="34" applyFont="1" fillId="0" applyFill="1" borderId="53" applyBorder="1" xfId="16" applyProtection="1" applyAlignment="1">
      <alignment horizontal="left" vertical="center"/>
    </xf>
    <xf numFmtId="0" applyNumberFormat="1" fontId="33" applyFont="1" fillId="0" applyFill="1" borderId="54" applyBorder="1" xfId="16" applyProtection="1" applyAlignment="1">
      <alignment horizontal="center"/>
    </xf>
    <xf numFmtId="0" applyNumberFormat="1" fontId="27" applyFont="1" fillId="0" applyFill="1" borderId="55" applyBorder="1" xfId="16" applyProtection="1"/>
    <xf numFmtId="49" applyNumberFormat="1" fontId="33" applyFont="1" fillId="0" applyFill="1" borderId="56" applyBorder="1" xfId="16" applyProtection="1" applyAlignment="1">
      <alignment vertical="center"/>
    </xf>
    <xf numFmtId="0" applyNumberFormat="1" fontId="34" applyFont="1" fillId="0" applyFill="1" borderId="56" applyBorder="1" xfId="16" applyProtection="1" applyAlignment="1">
      <alignment horizontal="left" vertical="center"/>
    </xf>
    <xf numFmtId="0" applyNumberFormat="1" fontId="33" applyFont="1" fillId="0" applyFill="1" borderId="57" applyBorder="1" xfId="16" applyProtection="1" applyAlignment="1">
      <alignment horizontal="center"/>
    </xf>
    <xf numFmtId="0" applyNumberFormat="1" fontId="27" applyFont="1" fillId="0" applyFill="1" borderId="53" applyBorder="1" xfId="16" applyProtection="1"/>
    <xf numFmtId="0" applyNumberFormat="1" fontId="27" applyFont="1" fillId="0" applyFill="1" borderId="62" applyBorder="1" xfId="16" applyProtection="1"/>
    <xf numFmtId="49" applyNumberFormat="1" fontId="33" applyFont="1" fillId="0" applyFill="1" borderId="62" applyBorder="1" xfId="16" applyProtection="1" applyAlignment="1">
      <alignment vertical="center"/>
    </xf>
    <xf numFmtId="0" applyNumberFormat="1" fontId="34" applyFont="1" fillId="0" applyFill="1" borderId="62" applyBorder="1" xfId="16" applyProtection="1" applyAlignment="1">
      <alignment horizontal="left" vertical="center"/>
    </xf>
    <xf numFmtId="0" applyNumberFormat="1" fontId="33" applyFont="1" fillId="0" applyFill="1" borderId="63" applyBorder="1" xfId="16" applyProtection="1" applyAlignment="1">
      <alignment horizontal="center"/>
    </xf>
    <xf numFmtId="0" applyNumberFormat="1" fontId="27" applyFont="1" fillId="0" applyFill="1" borderId="46" applyBorder="1" xfId="16" applyProtection="1"/>
    <xf numFmtId="49" applyNumberFormat="1" fontId="33" applyFont="1" fillId="0" applyFill="1" borderId="47" applyBorder="1" xfId="16" applyProtection="1" applyAlignment="1">
      <alignment vertical="center"/>
    </xf>
    <xf numFmtId="0" applyNumberFormat="1" fontId="34" applyFont="1" fillId="0" applyFill="1" borderId="47" applyBorder="1" xfId="16" applyProtection="1" applyAlignment="1">
      <alignment horizontal="left" vertical="center"/>
    </xf>
    <xf numFmtId="0" applyNumberFormat="1" fontId="33" applyFont="1" fillId="0" applyFill="1" borderId="48" applyBorder="1" xfId="16" applyProtection="1" applyAlignment="1">
      <alignment horizontal="center"/>
    </xf>
    <xf numFmtId="0" applyNumberFormat="1" fontId="27" applyFont="1" fillId="0" applyFill="1" borderId="64" applyBorder="1" xfId="16" applyProtection="1"/>
    <xf numFmtId="49" applyNumberFormat="1" fontId="33" applyFont="1" fillId="0" applyFill="1" borderId="65" applyBorder="1" xfId="16" applyProtection="1" applyAlignment="1">
      <alignment vertical="center"/>
    </xf>
    <xf numFmtId="0" applyNumberFormat="1" fontId="34" applyFont="1" fillId="0" applyFill="1" borderId="65" applyBorder="1" xfId="16" applyProtection="1" applyAlignment="1">
      <alignment horizontal="left" vertical="center"/>
    </xf>
    <xf numFmtId="0" applyNumberFormat="1" fontId="33" applyFont="1" fillId="0" applyFill="1" borderId="66" applyBorder="1" xfId="16" applyProtection="1" applyAlignment="1">
      <alignment horizontal="center"/>
    </xf>
    <xf numFmtId="0" applyNumberFormat="1" fontId="34" applyFont="1" fillId="0" applyFill="1" borderId="0" applyBorder="1" xfId="16" applyProtection="1" applyAlignment="1">
      <alignment horizontal="left" vertical="center"/>
    </xf>
    <xf numFmtId="0" applyNumberFormat="1" fontId="27" applyFont="1" fillId="0" applyFill="1" borderId="58" applyBorder="1" xfId="16" applyProtection="1"/>
    <xf numFmtId="49" applyNumberFormat="1" fontId="33" applyFont="1" fillId="0" applyFill="1" borderId="59" applyBorder="1" xfId="16" applyProtection="1" applyAlignment="1">
      <alignment vertical="center"/>
    </xf>
    <xf numFmtId="0" applyNumberFormat="1" fontId="34" applyFont="1" fillId="0" applyFill="1" borderId="59" applyBorder="1" xfId="16" applyProtection="1" applyAlignment="1">
      <alignment horizontal="left" vertical="center"/>
    </xf>
    <xf numFmtId="0" applyNumberFormat="1" fontId="33" applyFont="1" fillId="0" applyFill="1" borderId="60" applyBorder="1" xfId="16" applyProtection="1" applyAlignment="1">
      <alignment horizontal="center"/>
    </xf>
    <xf numFmtId="0" applyNumberFormat="1" fontId="27" applyFont="1" fillId="0" applyFill="1" borderId="61" applyBorder="1" xfId="16" applyProtection="1"/>
    <xf numFmtId="0" applyNumberFormat="1" fontId="27" applyFont="1" fillId="0" applyFill="1" borderId="67" applyBorder="1" xfId="16" applyProtection="1"/>
    <xf numFmtId="49" applyNumberFormat="1" fontId="33" applyFont="1" fillId="0" applyFill="1" borderId="68" applyBorder="1" xfId="16" applyProtection="1" applyAlignment="1">
      <alignment vertical="center"/>
    </xf>
    <xf numFmtId="0" applyNumberFormat="1" fontId="34" applyFont="1" fillId="0" applyFill="1" borderId="68" applyBorder="1" xfId="16" applyProtection="1" applyAlignment="1">
      <alignment horizontal="left" vertical="center"/>
    </xf>
    <xf numFmtId="0" applyNumberFormat="1" fontId="33" applyFont="1" fillId="0" applyFill="1" borderId="69" applyBorder="1" xfId="16" applyProtection="1" applyAlignment="1">
      <alignment horizontal="center"/>
    </xf>
    <xf numFmtId="0" applyNumberFormat="1" fontId="27" applyFont="1" fillId="0" applyFill="1" borderId="72" applyBorder="1" xfId="16" applyProtection="1"/>
    <xf numFmtId="0" applyNumberFormat="1" fontId="34" applyFont="1" fillId="0" applyFill="1" borderId="73" applyBorder="1" xfId="16" applyProtection="1" applyAlignment="1">
      <alignment horizontal="left" vertical="center"/>
    </xf>
    <xf numFmtId="0" applyNumberFormat="1" fontId="27" applyFont="1" fillId="0" applyFill="1" borderId="55" applyBorder="1" xfId="16" applyProtection="1" applyAlignment="1">
      <alignment vertical="center"/>
    </xf>
    <xf numFmtId="0" applyNumberFormat="1" fontId="33" applyFont="1" fillId="0" applyFill="1" borderId="57" applyBorder="1" xfId="16" applyProtection="1" applyAlignment="1">
      <alignment horizontal="center" wrapText="1"/>
    </xf>
    <xf numFmtId="0" applyNumberFormat="1" fontId="36" applyFont="1" fillId="0" applyFill="1" borderId="0" applyBorder="1" xfId="17" applyProtection="1"/>
    <xf numFmtId="0" applyNumberFormat="1" fontId="33" applyFont="1" fillId="0" applyFill="1" borderId="53" applyBorder="1" xfId="16" applyProtection="1" applyAlignment="1">
      <alignment vertical="center"/>
    </xf>
    <xf numFmtId="0" applyNumberFormat="1" fontId="0" applyFont="1" fillId="0" applyFill="1" borderId="41" applyBorder="1" xfId="0" applyProtection="1" applyAlignment="1">
      <alignment horizontal="center" vertical="center"/>
    </xf>
    <xf numFmtId="0" applyNumberFormat="1" fontId="0" applyFont="1" fillId="0" applyFill="1" borderId="42" applyBorder="1" xfId="0" applyProtection="1" applyAlignment="1">
      <alignment horizontal="center" vertical="center"/>
    </xf>
    <xf numFmtId="0" applyNumberFormat="1" fontId="0" applyFont="1" fillId="0" applyFill="1" borderId="44" applyBorder="1" xfId="0" applyProtection="1" applyAlignment="1">
      <alignment horizontal="center" vertical="center"/>
    </xf>
    <xf numFmtId="0" applyNumberFormat="1" fontId="0" applyFont="1" fillId="0" applyFill="1" borderId="43" applyBorder="1" xfId="0" applyProtection="1" applyAlignment="1">
      <alignment horizontal="center" vertical="center"/>
    </xf>
    <xf numFmtId="0" applyNumberFormat="1" fontId="0" applyFont="1" fillId="0" applyFill="1" borderId="45" applyBorder="1" xfId="0" applyProtection="1" applyAlignment="1">
      <alignment horizontal="center" vertical="center"/>
    </xf>
    <xf numFmtId="0" applyNumberFormat="1" fontId="20" applyFont="1" fillId="0" applyFill="1" borderId="80" applyBorder="1" xfId="0" applyProtection="1" applyAlignment="1">
      <alignment horizontal="center" vertical="center" wrapText="1"/>
    </xf>
    <xf numFmtId="0" applyNumberFormat="1" fontId="20" applyFont="1" fillId="0" applyFill="1" borderId="26" applyBorder="1" xfId="0" applyProtection="1" applyAlignment="1">
      <alignment horizontal="center" vertical="center" wrapText="1"/>
    </xf>
    <xf numFmtId="0" applyNumberFormat="1" fontId="20" applyFont="1" fillId="0" applyFill="1" borderId="17" applyBorder="1" xfId="0" applyProtection="1" applyAlignment="1">
      <alignment horizontal="center" vertical="center" wrapText="1"/>
    </xf>
    <xf numFmtId="0" applyNumberFormat="1" fontId="19" applyFont="1" fillId="0" applyFill="1" borderId="16" applyBorder="1" xfId="0" applyProtection="1" applyAlignment="1">
      <alignment horizontal="center" vertical="center" wrapText="1"/>
    </xf>
    <xf numFmtId="0" applyNumberFormat="1" fontId="19" applyFont="1" fillId="0" applyFill="1" borderId="26" applyBorder="1" xfId="0" applyProtection="1" applyAlignment="1">
      <alignment horizontal="center" vertical="center" wrapText="1"/>
    </xf>
    <xf numFmtId="2" applyNumberFormat="1" fontId="23" applyFont="1" fillId="0" applyFill="1" borderId="12" applyBorder="1" xfId="19" applyProtection="1" applyAlignment="1">
      <alignment horizontal="center" vertical="center"/>
    </xf>
    <xf numFmtId="2" applyNumberFormat="1" fontId="23" applyFont="1" fillId="0" applyFill="1" borderId="76" applyBorder="1" xfId="19" applyProtection="1" applyAlignment="1">
      <alignment horizontal="center" vertical="center"/>
    </xf>
    <xf numFmtId="2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2" applyBorder="1" xfId="19" applyProtection="1" applyAlignment="1">
      <alignment horizontal="center" vertical="center"/>
    </xf>
    <xf numFmtId="1" applyNumberFormat="1" fontId="23" applyFont="1" fillId="0" applyFill="1" borderId="76" applyBorder="1" xfId="19" applyProtection="1" applyAlignment="1">
      <alignment horizontal="center" vertical="center"/>
    </xf>
    <xf numFmtId="1" applyNumberFormat="1" fontId="23" applyFont="1" fillId="0" applyFill="1" borderId="78" applyBorder="1" xfId="19" applyProtection="1" applyAlignment="1">
      <alignment horizontal="center" vertical="center"/>
    </xf>
    <xf numFmtId="1" applyNumberFormat="1" fontId="23" applyFont="1" fillId="0" applyFill="1" borderId="10" applyBorder="1" xfId="19" applyProtection="1" applyAlignment="1">
      <alignment horizontal="center" vertical="center"/>
    </xf>
    <xf numFmtId="1" applyNumberFormat="1" fontId="23" applyFont="1" fillId="0" applyFill="1" borderId="33" applyBorder="1" xfId="19" applyProtection="1" applyAlignment="1">
      <alignment horizontal="center" vertical="center"/>
    </xf>
    <xf numFmtId="1" applyNumberFormat="1" fontId="23" applyFont="1" fillId="0" applyFill="1" borderId="38" applyBorder="1" xfId="19" applyProtection="1" applyAlignment="1">
      <alignment horizontal="center" vertical="center"/>
    </xf>
    <xf numFmtId="1" applyNumberFormat="1" fontId="23" applyFont="1" fillId="0" applyFill="1" borderId="11" applyBorder="1" xfId="19" applyProtection="1" applyAlignment="1">
      <alignment horizontal="center" vertical="center"/>
    </xf>
    <xf numFmtId="1" applyNumberFormat="1" fontId="23" applyFont="1" fillId="0" applyFill="1" borderId="5" applyBorder="1" xfId="19" applyProtection="1" applyAlignment="1">
      <alignment horizontal="center" vertical="center"/>
    </xf>
    <xf numFmtId="1" applyNumberFormat="1" fontId="23" applyFont="1" fillId="0" applyFill="1" borderId="8" applyBorder="1" xfId="19" applyProtection="1" applyAlignment="1">
      <alignment horizontal="center" vertical="center"/>
    </xf>
    <xf numFmtId="0" applyNumberFormat="1" fontId="23" applyFont="1" fillId="0" applyFill="1" borderId="21" applyBorder="1" xfId="19" applyProtection="1" applyAlignment="1">
      <alignment horizontal="center" vertical="center"/>
    </xf>
    <xf numFmtId="0" applyNumberFormat="1" fontId="23" applyFont="1" fillId="0" applyFill="1" borderId="22" applyBorder="1" xfId="19" applyProtection="1" applyAlignment="1">
      <alignment horizontal="center" vertical="center"/>
    </xf>
    <xf numFmtId="0" applyNumberFormat="1" fontId="23" applyFont="1" fillId="0" applyFill="1" borderId="23" applyBorder="1" xfId="19" applyProtection="1" applyAlignment="1">
      <alignment horizontal="center" vertical="center"/>
    </xf>
    <xf numFmtId="49" applyNumberFormat="1" fontId="23" applyFont="1" fillId="0" applyFill="1" borderId="9" applyBorder="1" xfId="19" applyProtection="1" applyAlignment="1">
      <alignment horizontal="center" vertical="center"/>
    </xf>
    <xf numFmtId="49" applyNumberFormat="1" fontId="23" applyFont="1" fillId="0" applyFill="1" borderId="6" applyBorder="1" xfId="19" applyProtection="1" applyAlignment="1">
      <alignment horizontal="center" vertical="center"/>
    </xf>
    <xf numFmtId="49" applyNumberFormat="1" fontId="23" applyFont="1" fillId="0" applyFill="1" borderId="7" applyBorder="1" xfId="19" applyProtection="1" applyAlignment="1">
      <alignment horizontal="center" vertical="center"/>
    </xf>
    <xf numFmtId="0" applyNumberFormat="1" fontId="21" applyFont="1" fillId="2" applyFill="1" borderId="3" applyBorder="1" xfId="19" applyProtection="1" applyAlignment="1">
      <alignment horizontal="center" vertical="center"/>
    </xf>
    <xf numFmtId="0" applyNumberFormat="1" fontId="21" applyFont="1" fillId="2" applyFill="1" borderId="59" applyBorder="1" xfId="19" applyProtection="1" applyAlignment="1">
      <alignment horizontal="center" vertical="center"/>
    </xf>
    <xf numFmtId="0" applyNumberFormat="1" fontId="21" applyFont="1" fillId="2" applyFill="1" borderId="31" applyBorder="1" xfId="19" applyProtection="1" applyAlignment="1">
      <alignment horizontal="center" vertical="center"/>
    </xf>
    <xf numFmtId="0" applyNumberFormat="1" fontId="21" applyFont="1" fillId="2" applyFill="1" borderId="72" applyBorder="1" xfId="19" applyProtection="1" applyAlignment="1">
      <alignment horizontal="center" vertical="center"/>
    </xf>
    <xf numFmtId="0" applyNumberFormat="1" fontId="21" applyFont="1" fillId="2" applyFill="1" borderId="73" applyBorder="1" xfId="19" applyProtection="1" applyAlignment="1">
      <alignment horizontal="center" vertical="center"/>
    </xf>
    <xf numFmtId="0" applyNumberFormat="1" fontId="21" applyFont="1" fillId="2" applyFill="1" borderId="79" applyBorder="1" xfId="19" applyProtection="1" applyAlignment="1">
      <alignment horizontal="center" vertical="center"/>
    </xf>
    <xf numFmtId="0" applyNumberFormat="1" fontId="14" applyFont="1" fillId="0" applyFill="1" borderId="15" applyBorder="1" xfId="19" applyProtection="1" applyAlignment="1">
      <alignment horizontal="center" vertical="center" wrapText="1"/>
    </xf>
    <xf numFmtId="0" applyNumberFormat="1" fontId="14" applyFont="1" fillId="0" applyFill="1" borderId="18" applyBorder="1" xfId="19" applyProtection="1" applyAlignment="1">
      <alignment horizontal="center" vertical="center" wrapText="1"/>
    </xf>
    <xf numFmtId="0" applyNumberFormat="1" fontId="14" applyFont="1" fillId="0" applyFill="1" borderId="24" applyBorder="1" xfId="19" applyProtection="1" applyAlignment="1">
      <alignment horizontal="center" vertical="center" wrapText="1"/>
    </xf>
    <xf numFmtId="0" applyNumberFormat="1" fontId="23" applyFont="1" fillId="0" applyFill="1" borderId="16" applyBorder="1" xfId="19" applyProtection="1" applyAlignment="1">
      <alignment horizontal="center" vertical="center"/>
    </xf>
    <xf numFmtId="0" applyNumberFormat="1" fontId="23" applyFont="1" fillId="0" applyFill="1" borderId="20" applyBorder="1" xfId="19" applyProtection="1" applyAlignment="1">
      <alignment horizontal="center" vertical="center"/>
    </xf>
    <xf numFmtId="0" applyNumberFormat="1" fontId="23" applyFont="1" fillId="0" applyFill="1" borderId="17" applyBorder="1" xfId="19" applyProtection="1" applyAlignment="1">
      <alignment horizontal="center" vertical="center"/>
    </xf>
    <xf numFmtId="49" applyNumberFormat="1" fontId="23" applyFont="1" fillId="0" applyFill="1" borderId="10" applyBorder="1" xfId="19" applyProtection="1" applyAlignment="1">
      <alignment horizontal="center" vertical="center"/>
    </xf>
    <xf numFmtId="49" applyNumberFormat="1" fontId="23" applyFont="1" fillId="0" applyFill="1" borderId="33" applyBorder="1" xfId="19" applyProtection="1" applyAlignment="1">
      <alignment horizontal="center" vertical="center"/>
    </xf>
    <xf numFmtId="49" applyNumberFormat="1" fontId="23" applyFont="1" fillId="0" applyFill="1" borderId="38" applyBorder="1" xfId="19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  <xf numFmtId="0" applyNumberFormat="1" fontId="16" applyFont="1" fillId="0" applyFill="1" borderId="20" applyBorder="1" xfId="0" applyProtection="1" applyAlignment="1">
      <alignment horizontal="center" vertical="center" wrapText="1"/>
    </xf>
    <xf numFmtId="0" applyNumberFormat="1" fontId="16" applyFont="1" fillId="0" applyFill="1" borderId="17" applyBorder="1" xfId="0" applyProtection="1" applyAlignment="1">
      <alignment horizontal="center" vertical="center" wrapText="1"/>
    </xf>
    <xf numFmtId="0" applyNumberFormat="1" fontId="16" applyFont="1" fillId="0" applyFill="1" borderId="13" applyBorder="1" xfId="0" applyProtection="1" applyAlignment="1">
      <alignment horizontal="center" vertical="center" wrapText="1"/>
    </xf>
    <xf numFmtId="0" applyNumberFormat="1" fontId="16" applyFont="1" fillId="0" applyFill="1" borderId="0" applyBorder="1" xfId="0" applyProtection="1" applyAlignment="1">
      <alignment horizontal="center" vertical="center" wrapText="1"/>
    </xf>
    <xf numFmtId="0" applyNumberFormat="1" fontId="16" applyFont="1" fillId="0" applyFill="1" borderId="19" applyBorder="1" xfId="0" applyProtection="1" applyAlignment="1">
      <alignment horizontal="center" vertical="center" wrapText="1"/>
    </xf>
    <xf numFmtId="0" applyNumberFormat="1" fontId="16" applyFont="1" fillId="0" applyFill="1" borderId="9" applyBorder="1" xfId="0" applyProtection="1" applyAlignment="1">
      <alignment horizontal="center" vertical="center" wrapText="1"/>
    </xf>
    <xf numFmtId="0" applyNumberFormat="1" fontId="16" applyFont="1" fillId="0" applyFill="1" borderId="6" applyBorder="1" xfId="0" applyProtection="1" applyAlignment="1">
      <alignment horizontal="center" vertical="center" wrapText="1"/>
    </xf>
    <xf numFmtId="0" applyNumberFormat="1" fontId="16" applyFont="1" fillId="0" applyFill="1" borderId="7" applyBorder="1" xfId="0" applyProtection="1" applyAlignment="1">
      <alignment horizontal="center" vertical="center" wrapText="1"/>
    </xf>
    <xf numFmtId="0" applyNumberFormat="1" fontId="18" applyFont="1" fillId="0" applyFill="1" borderId="18" applyBorder="1" xfId="0" applyProtection="1" applyAlignment="1">
      <alignment horizontal="center" vertical="center" wrapText="1"/>
    </xf>
    <xf numFmtId="0" applyNumberFormat="1" fontId="28" applyFont="1" fillId="0" applyFill="1" borderId="12" applyBorder="1" xfId="19" applyProtection="1" applyAlignment="1">
      <alignment horizontal="center" vertical="center"/>
    </xf>
    <xf numFmtId="0" applyNumberFormat="1" fontId="28" applyFont="1" fillId="0" applyFill="1" borderId="76" applyBorder="1" xfId="19" applyProtection="1" applyAlignment="1">
      <alignment horizontal="center" vertical="center"/>
    </xf>
    <xf numFmtId="0" applyNumberFormat="1" fontId="28" applyFont="1" fillId="0" applyFill="1" borderId="78" applyBorder="1" xfId="19" applyProtection="1" applyAlignment="1">
      <alignment horizontal="center" vertical="center"/>
    </xf>
    <xf numFmtId="0" applyNumberFormat="1" fontId="28" applyFont="1" fillId="0" applyFill="1" borderId="21" applyBorder="1" xfId="19" applyProtection="1" applyAlignment="1">
      <alignment horizontal="center" vertical="center"/>
    </xf>
    <xf numFmtId="0" applyNumberFormat="1" fontId="28" applyFont="1" fillId="0" applyFill="1" borderId="22" applyBorder="1" xfId="19" applyProtection="1" applyAlignment="1">
      <alignment horizontal="center" vertical="center"/>
    </xf>
    <xf numFmtId="0" applyNumberFormat="1" fontId="28" applyFont="1" fillId="0" applyFill="1" borderId="23" applyBorder="1" xfId="19" applyProtection="1" applyAlignment="1">
      <alignment horizontal="center" vertical="center"/>
    </xf>
    <xf numFmtId="0" applyNumberFormat="1" fontId="28" applyFont="1" fillId="0" applyFill="1" borderId="11" applyBorder="1" xfId="19" applyProtection="1" applyAlignment="1">
      <alignment horizontal="center" vertical="center"/>
    </xf>
    <xf numFmtId="0" applyNumberFormat="1" fontId="28" applyFont="1" fillId="0" applyFill="1" borderId="5" applyBorder="1" xfId="19" applyProtection="1" applyAlignment="1">
      <alignment horizontal="center" vertical="center"/>
    </xf>
    <xf numFmtId="0" applyNumberFormat="1" fontId="28" applyFont="1" fillId="0" applyFill="1" borderId="8" applyBorder="1" xfId="19" applyProtection="1" applyAlignment="1">
      <alignment horizontal="center" vertical="center"/>
    </xf>
    <xf numFmtId="0" applyNumberFormat="1" fontId="21" applyFont="1" fillId="2" applyFill="1" borderId="2" applyBorder="1" xfId="19" applyProtection="1" applyAlignment="1">
      <alignment horizontal="center" vertical="center"/>
    </xf>
    <xf numFmtId="0" applyNumberFormat="1" fontId="21" applyFont="1" fillId="2" applyFill="1" borderId="35" applyBorder="1" xfId="19" applyProtection="1" applyAlignment="1">
      <alignment horizontal="center" vertical="center"/>
    </xf>
    <xf numFmtId="0" applyNumberFormat="1" fontId="21" applyFont="1" fillId="2" applyFill="1" borderId="29" applyBorder="1" xfId="19" applyProtection="1" applyAlignment="1">
      <alignment horizontal="center" vertical="center"/>
    </xf>
    <xf numFmtId="0" applyNumberFormat="1" fontId="21" applyFont="1" fillId="2" applyFill="1" borderId="34" applyBorder="1" xfId="19" applyProtection="1" applyAlignment="1">
      <alignment horizontal="center" vertical="center"/>
    </xf>
    <xf numFmtId="0" applyNumberFormat="1" fontId="21" applyFont="1" fillId="2" applyFill="1" borderId="28" applyBorder="1" xfId="19" applyProtection="1" applyAlignment="1">
      <alignment horizontal="center" vertical="center"/>
    </xf>
    <xf numFmtId="0" applyNumberFormat="1" fontId="18" applyFont="1" fillId="0" applyFill="1" borderId="13" applyBorder="1" xfId="0" applyProtection="1" applyAlignment="1">
      <alignment horizontal="center" vertical="center" wrapText="1"/>
    </xf>
    <xf numFmtId="0" applyNumberFormat="1" fontId="20" applyFont="1" fillId="0" applyFill="1" borderId="9" applyBorder="1" xfId="0" applyProtection="1" applyAlignment="1">
      <alignment horizontal="center" vertical="center" wrapText="1"/>
    </xf>
    <xf numFmtId="0" applyNumberFormat="1" fontId="20" applyFont="1" fillId="0" applyFill="1" borderId="6" applyBorder="1" xfId="0" applyProtection="1" applyAlignment="1">
      <alignment horizontal="center" vertical="center" wrapText="1"/>
    </xf>
    <xf numFmtId="0" applyNumberFormat="1" fontId="20" applyFont="1" fillId="0" applyFill="1" borderId="7" applyBorder="1" xfId="0" applyProtection="1" applyAlignment="1">
      <alignment horizontal="center" vertical="center" wrapText="1"/>
    </xf>
    <xf numFmtId="0" applyNumberFormat="1" fontId="28" applyFont="1" fillId="0" applyFill="1" borderId="9" applyBorder="1" xfId="19" applyProtection="1" applyAlignment="1">
      <alignment horizontal="center" vertical="center"/>
    </xf>
    <xf numFmtId="0" applyNumberFormat="1" fontId="28" applyFont="1" fillId="0" applyFill="1" borderId="6" applyBorder="1" xfId="19" applyProtection="1" applyAlignment="1">
      <alignment horizontal="center" vertical="center"/>
    </xf>
    <xf numFmtId="0" applyNumberFormat="1" fontId="28" applyFont="1" fillId="0" applyFill="1" borderId="7" applyBorder="1" xfId="19" applyProtection="1" applyAlignment="1">
      <alignment horizontal="center" vertical="center"/>
    </xf>
    <xf numFmtId="0" applyNumberFormat="1" fontId="28" applyFont="1" fillId="0" applyFill="1" borderId="16" applyBorder="1" xfId="19" applyProtection="1" applyAlignment="1">
      <alignment horizontal="center" vertical="center"/>
    </xf>
    <xf numFmtId="0" applyNumberFormat="1" fontId="28" applyFont="1" fillId="0" applyFill="1" borderId="20" applyBorder="1" xfId="19" applyProtection="1" applyAlignment="1">
      <alignment horizontal="center" vertical="center"/>
    </xf>
    <xf numFmtId="0" applyNumberFormat="1" fontId="28" applyFont="1" fillId="0" applyFill="1" borderId="17" applyBorder="1" xfId="19" applyProtection="1" applyAlignment="1">
      <alignment horizontal="center" vertical="center"/>
    </xf>
    <xf numFmtId="0" applyNumberFormat="1" fontId="19" applyFont="1" fillId="0" applyFill="1" borderId="27" applyBorder="1" xfId="0" applyProtection="1" applyAlignment="1">
      <alignment horizontal="center" vertical="center" wrapText="1"/>
    </xf>
    <xf numFmtId="0" applyNumberFormat="1" fontId="28" applyFont="1" fillId="0" applyFill="1" borderId="80" applyBorder="1" xfId="19" applyProtection="1" applyAlignment="1">
      <alignment horizontal="center" vertical="center"/>
    </xf>
    <xf numFmtId="0" applyNumberFormat="1" fontId="28" applyFont="1" fillId="0" applyFill="1" borderId="26" applyBorder="1" xfId="19" applyProtection="1" applyAlignment="1">
      <alignment horizontal="center" vertical="center"/>
    </xf>
    <xf numFmtId="0" applyNumberFormat="1" fontId="28" applyFont="1" fillId="0" applyFill="1" borderId="27" applyBorder="1" xfId="19" applyProtection="1" applyAlignment="1">
      <alignment horizontal="center" vertical="center"/>
    </xf>
    <xf numFmtId="0" applyNumberFormat="1" fontId="28" applyFont="1" fillId="0" applyFill="1" borderId="13" applyBorder="1" xfId="19" applyProtection="1" applyAlignment="1">
      <alignment horizontal="center" vertical="center"/>
    </xf>
    <xf numFmtId="0" applyNumberFormat="1" fontId="28" applyFont="1" fillId="0" applyFill="1" borderId="0" applyBorder="1" xfId="19" applyProtection="1" applyAlignment="1">
      <alignment horizontal="center" vertical="center"/>
    </xf>
    <xf numFmtId="0" applyNumberFormat="1" fontId="28" applyFont="1" fillId="0" applyFill="1" borderId="19" applyBorder="1" xfId="19" applyProtection="1" applyAlignment="1">
      <alignment horizontal="center" vertical="center"/>
    </xf>
    <xf numFmtId="2" applyNumberFormat="1" fontId="23" applyFont="1" fillId="0" applyFill="1" borderId="33" applyBorder="1" xfId="19" applyProtection="1" applyAlignment="1">
      <alignment horizontal="center" vertical="center"/>
    </xf>
    <xf numFmtId="2" applyNumberFormat="1" fontId="23" applyFont="1" fillId="0" applyFill="1" borderId="38" applyBorder="1" xfId="19" applyProtection="1" applyAlignment="1">
      <alignment horizontal="center" vertical="center"/>
    </xf>
    <xf numFmtId="14" applyNumberFormat="1" fontId="13" applyFont="1" fillId="0" applyFill="1" borderId="1" applyBorder="1" xfId="0" applyProtection="1" applyAlignment="1">
      <alignment horizontal="center" vertical="center" wrapText="1"/>
    </xf>
    <xf numFmtId="0" applyNumberFormat="1" fontId="0" applyFont="1" fillId="0" applyFill="1" borderId="1" applyBorder="1" xfId="0" applyProtection="1" applyAlignment="1">
      <alignment horizontal="center" vertical="center" wrapText="1"/>
    </xf>
    <xf numFmtId="0" applyNumberFormat="1" fontId="10" applyFont="1" fillId="0" applyFill="1" borderId="1" applyBorder="1" xfId="0" applyProtection="1" applyAlignment="1">
      <alignment horizontal="center" vertical="center"/>
    </xf>
    <xf numFmtId="0" applyNumberFormat="1" fontId="25" applyFont="1" fillId="0" applyFill="1" borderId="41" applyBorder="1" xfId="0" applyProtection="1" applyAlignment="1">
      <alignment horizontal="center" vertical="center"/>
    </xf>
    <xf numFmtId="164" applyNumberFormat="1" fontId="25" applyFont="1" fillId="0" applyFill="1" borderId="41" applyBorder="1" xfId="0" applyProtection="1" applyAlignment="1">
      <alignment horizontal="center" vertical="center"/>
    </xf>
    <xf numFmtId="0" applyNumberFormat="1" fontId="16" applyFont="1" fillId="0" applyFill="1" borderId="16" applyBorder="1" xfId="0" applyProtection="1" applyAlignment="1">
      <alignment horizontal="center" vertical="center" wrapText="1"/>
    </xf>
  </cellXfs>
  <cellStyles count="28">
    <cellStyle name="0,0_x000d__x000a_NA_x000d__x000a_" xfId="1"/>
    <cellStyle name="Normal" xfId="0" builtinId="0"/>
    <cellStyle name="Normal 12" xfId="2"/>
    <cellStyle name="Normal 12 2" xfId="3"/>
    <cellStyle name="Normal 12 3" xfId="4"/>
    <cellStyle name="Normal 12 4" xfId="5"/>
    <cellStyle name="Normal 2" xfId="6"/>
    <cellStyle name="Normal 2 2" xfId="7"/>
    <cellStyle name="Normal 2 3" xfId="8"/>
    <cellStyle name="Normal 3" xfId="9"/>
    <cellStyle name="Normal 3 2" xfId="10"/>
    <cellStyle name="Normal 3 3" xfId="11"/>
    <cellStyle name="Normal 3 3 2" xfId="12"/>
    <cellStyle name="Normal 4" xfId="13"/>
    <cellStyle name="Normal 4 2" xfId="14"/>
    <cellStyle name="Normal 4 2 2" xfId="15"/>
    <cellStyle name="Normal 4 3" xfId="16"/>
    <cellStyle name="Normal 4 4" xfId="17"/>
    <cellStyle name="Normal 4 5" xfId="18"/>
    <cellStyle name="Normal 5" xfId="19"/>
    <cellStyle name="Normal 6" xfId="20"/>
    <cellStyle name="Normal 6 2" xfId="21"/>
    <cellStyle name="Normal 6 2 2" xfId="22"/>
    <cellStyle name="Normal 6 3" xfId="23"/>
    <cellStyle name="Normal 7" xfId="24"/>
    <cellStyle name="Normal 8" xfId="25"/>
    <cellStyle name="常规 2" xfId="26"/>
    <cellStyle name="常规 6" xfId="27"/>
  </cellStyles>
  <dxfs count="439"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 patternType="solid"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theme="0"/>
      </font>
      <fill>
        <patternFill patternType="solid"/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  <bgColor theme="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ill>
        <patternFill>
          <bgColor theme="0"/>
        </patternFill>
      </fill>
    </dxf>
    <dxf>
      <fill>
        <patternFill>
          <bgColor rgb="FFFFFF00"/>
        </patternFill>
      </fill>
    </dxf>
    <dxf>
      <font>
        <color rgb="FFFF0000"/>
      </font>
      <fill>
        <patternFill>
          <fgColor auto="1"/>
          <bgColor rgb="FFFFFF00"/>
        </patternFill>
      </fill>
    </dxf>
    <dxf>
      <font>
        <color theme="0"/>
      </font>
      <fill>
        <patternFill>
          <fgColor theme="0"/>
        </patternFill>
      </fill>
    </dxf>
    <dxf>
      <font>
        <color theme="0"/>
      </font>
      <fill>
        <patternFill>
          <fgColor theme="0"/>
        </patternFill>
      </fill>
    </dxf>
    <dxf>
      <fill>
        <patternFill>
          <bgColor rgb="FFFFFF0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 patternType="solid"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fgColor theme="0"/>
          <bgColor theme="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6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 Narrow"/>
        <scheme val="none"/>
      </font>
      <alignment horizontal="center" vertical="center" textRotation="0" wrapText="0" indent="0" justifyLastLine="0" shrinkToFit="0" readingOrder="1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  <right style="thin">
          <color auto="1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92D05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1"/>
        <i val="0"/>
        <strike val="0"/>
        <condense val="0"/>
        <extend val="0"/>
        <outline val="0"/>
        <shadow val="0"/>
        <sz val="11"/>
        <color theme="1"/>
        <name val="Calibri"/>
        <vertAlign val="baseline"/>
      </font>
      <fill>
        <patternFill patternType="solid">
          <fgColor indexed="64"/>
          <bgColor rgb="ff92d050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sz val="11"/>
        <color auto="1"/>
        <name val="Arial Narrow"/>
        <vertAlign val="baseline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6" tint="0.3999755851924192"/>
        </patternFill>
      </fill>
      <border>
        <left style="thin">
          <color auto="1"/>
        </left>
        <right style="thin">
          <color auto="1"/>
        </right>
      </border>
    </dxf>
    <dxf>
      <border>
        <right style="thin">
          <color auto="1"/>
        </right>
        <top style="thin">
          <color auto="1"/>
        </top>
        <bottom style="thin">
          <color auto="1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colors>
    <mruColors>
      <color rgb="FFCC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9" Type="http://schemas.openxmlformats.org/officeDocument/2006/relationships/worksheet" Target="worksheets/sheet3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Relationship Id="rId20" Type="http://schemas.openxmlformats.org/officeDocument/2006/relationships/worksheet" Target="worksheets/sheet32.xml"/><Relationship Id="rId21" Type="http://schemas.openxmlformats.org/officeDocument/2006/relationships/worksheet" Target="worksheets/sheet33.xml"/><Relationship Id="rId22" Type="http://schemas.openxmlformats.org/officeDocument/2006/relationships/worksheet" Target="worksheets/sheet34.xml"/></Relationships>
</file>

<file path=xl/drawings/_rels/drawing1.xml.rels><?xml version="1.0" encoding="UTF-8" standalone="yes"?>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1.png"/></Relationships>
</file>

<file path=xl/drawings/_rels/drawing2.xml.rels><?xml version="1.0" encoding="UTF-8" standalone="yes"?><Relationships xmlns="http://schemas.openxmlformats.org/package/2006/relationships"><Relationship Id="rId1" Type="http://schemas.openxmlformats.org/officeDocument/2006/relationships/image" Target="../media/image2.png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27</xdr:row>
      <xdr:rowOff>0</xdr:rowOff>
    </xdr:from>
    <xdr:to>
      <xdr:col>5</xdr:col>
      <xdr:colOff>85725</xdr:colOff>
      <xdr:row>31</xdr:row>
      <xdr:rowOff>42734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006340"/>
          <a:ext cx="5755123" cy="71329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423333</xdr:colOff>
      <xdr:row>5</xdr:row>
      <xdr:rowOff>74083</xdr:rowOff>
    </xdr:from>
    <xdr:to>
      <xdr:col>19</xdr:col>
      <xdr:colOff>47625</xdr:colOff>
      <xdr:row>27</xdr:row>
      <xdr:rowOff>142088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9304000" y="1111250"/>
          <a:ext cx="2700762" cy="50845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" name="SiteListTable" displayName="SiteListTable" ref="A1:J41" totalsRowShown="0" headerRowDxfId="425" headerRowCellStyle="Normal 3 3 2" dataCellStyle="Normal 3 3 2">
  <autoFilter ref="A1:J41"/>
  <tableColumns count="10">
    <tableColumn id="1" name=" BOM Code" dataDxfId="426" dataCellStyle="Normal 3 3 2"/>
    <tableColumn id="2" name="SAP Number" dataDxfId="427" dataCellStyle="Normal 3 3 2"/>
    <tableColumn id="3" name="Type" dataDxfId="428" dataCellStyle="Normal 3 3 2"/>
    <tableColumn id="4" name="Module" dataDxfId="429" dataCellStyle="Normal 3 3 2"/>
    <tableColumn id="5" name="Reuse/replace" dataDxfId="430" dataCellStyle="Normal 3 3 2"/>
    <tableColumn id="6" name="Action" dataDxfId="431" dataCellStyle="Normal 3 3 2"/>
    <tableColumn id="7" name="De-installation Week" dataDxfId="432" dataCellStyle="Normal 3 3 2"/>
    <tableColumn id="8" name="Expected Quantity" dataDxfId="433" dataCellStyle="Normal 3 3 2"/>
    <tableColumn id="9" name="Actual Quantity" dataDxfId="434" dataCellStyle="Normal 3 3 2"/>
    <tableColumn id="10" name="Remark" dataDxfId="435" dataCellStyle="Normal 3 3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crapTable" displayName="ScrapTable" ref="A1:B188" totalsRowShown="0" headerRowDxfId="436" totalsRowBorderDxfId="408" headerRowCellStyle="Normal 8">
  <autoFilter ref="A1:B188"/>
  <tableColumns count="2">
    <tableColumn id="1" name="antenna" dataDxfId="437" dataCellStyle="Normal 8"/>
    <tableColumn id="2" name="Scrap" dataDxfId="438" dataCellStyle="Normal 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/Relationships>
</file>

<file path=xl/worksheets/_rels/sheet12.xml.rels><?xml version="1.0" encoding="UTF-8" standalone="yes"?>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13.xml.rels><?xml version="1.0" encoding="UTF-8" standalone="yes"?>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">
    <pageSetUpPr fitToPage="1"/>
  </sheetPr>
  <dimension ref="A2:Y24"/>
  <sheetViews>
    <sheetView workbookViewId="0">
      <selection activeCell="H22" sqref="H22"/>
    </sheetView>
  </sheetViews>
  <sheetFormatPr defaultColWidth="9.1328125" defaultRowHeight="12.75"/>
  <cols>
    <col min="1" max="1" width="24.1328125" customWidth="1" style="2"/>
    <col min="2" max="2" width="31" customWidth="1" style="2"/>
    <col min="3" max="3" width="9.1328125" customWidth="1" style="2"/>
    <col min="4" max="4" width="9.1328125" customWidth="1" style="2"/>
    <col min="5" max="5" width="9.265625" customWidth="1" style="2"/>
    <col min="6" max="7" width="9.1328125" customWidth="1" style="2"/>
    <col min="8" max="8" width="10.59765625" customWidth="1" style="2"/>
    <col min="9" max="9" width="9.73046875" customWidth="1" style="2"/>
    <col min="10" max="10" width="9.86328125" customWidth="1" style="2"/>
    <col min="11" max="11" width="10.3984375" customWidth="1" style="2"/>
    <col min="12" max="12" width="10.1328125" customWidth="1" style="2"/>
    <col min="13" max="13" width="11" customWidth="1" style="2"/>
    <col min="14" max="14" width="10.3984375" customWidth="1" style="2"/>
    <col min="15" max="15" width="9.59765625" customWidth="1" style="2"/>
    <col min="16" max="16" width="9.59765625" customWidth="1" style="21"/>
    <col min="17" max="17" bestFit="1" width="11.1328125" customWidth="1" style="21"/>
    <col min="18" max="18" width="10.73046875" customWidth="1" style="2"/>
    <col min="19" max="19" bestFit="1" width="12.3984375" customWidth="1" style="2"/>
    <col min="20" max="20" width="9.1328125" customWidth="1" style="2"/>
    <col min="21" max="21" bestFit="1" width="10.59765625" customWidth="1" style="2"/>
    <col min="22" max="22" width="9.73046875" customWidth="1" style="2"/>
    <col min="23" max="23" width="9.86328125" customWidth="1" style="2"/>
    <col min="24" max="24" width="12" customWidth="1" style="21"/>
    <col min="25" max="25" width="13.3984375" customWidth="1" style="21"/>
    <col min="26" max="16384" width="9.1328125" customWidth="1" style="2"/>
  </cols>
  <sheetData>
    <row r="2" ht="21" customHeight="1">
      <c r="A2" s="3" t="s">
        <v>70</v>
      </c>
      <c r="B2" s="277" t="s">
        <v>71</v>
      </c>
      <c r="D2" s="20"/>
      <c r="E2" s="34"/>
      <c r="F2" s="189" t="s">
        <v>72</v>
      </c>
      <c r="G2" s="189"/>
      <c r="H2" s="189" t="s">
        <v>73</v>
      </c>
      <c r="I2" s="189"/>
      <c r="J2" s="189" t="s">
        <v>72</v>
      </c>
      <c r="K2" s="189"/>
      <c r="L2" s="189" t="s">
        <v>73</v>
      </c>
      <c r="M2" s="190"/>
      <c r="N2" s="191" t="s">
        <v>72</v>
      </c>
      <c r="O2" s="192"/>
      <c r="P2" s="192"/>
      <c r="Q2" s="192"/>
      <c r="R2" s="192"/>
      <c r="S2" s="192"/>
      <c r="T2" s="192"/>
      <c r="U2" s="193"/>
      <c r="V2" s="189" t="s">
        <v>72</v>
      </c>
      <c r="W2" s="189"/>
      <c r="X2" s="189" t="s">
        <v>72</v>
      </c>
      <c r="Y2" s="189"/>
    </row>
    <row r="3" ht="20.25">
      <c r="A3" s="3" t="s">
        <v>74</v>
      </c>
      <c r="B3" s="277" t="s">
        <v>75</v>
      </c>
      <c r="D3" s="20"/>
      <c r="E3" s="34"/>
      <c r="F3" s="37" t="s">
        <v>76</v>
      </c>
      <c r="G3" s="35" t="s">
        <v>77</v>
      </c>
      <c r="H3" s="37" t="s">
        <v>76</v>
      </c>
      <c r="I3" s="35" t="s">
        <v>77</v>
      </c>
      <c r="J3" s="37" t="s">
        <v>76</v>
      </c>
      <c r="K3" s="35" t="s">
        <v>77</v>
      </c>
      <c r="L3" s="37" t="s">
        <v>76</v>
      </c>
      <c r="M3" s="35" t="s">
        <v>77</v>
      </c>
      <c r="N3" s="54" t="s">
        <v>76</v>
      </c>
      <c r="O3" s="35" t="s">
        <v>77</v>
      </c>
      <c r="P3" s="100" t="s">
        <v>76</v>
      </c>
      <c r="Q3" s="35" t="s">
        <v>77</v>
      </c>
      <c r="R3" s="54" t="s">
        <v>76</v>
      </c>
      <c r="S3" s="35" t="s">
        <v>77</v>
      </c>
      <c r="T3" s="54" t="s">
        <v>76</v>
      </c>
      <c r="U3" s="35" t="s">
        <v>77</v>
      </c>
      <c r="V3" s="56" t="s">
        <v>76</v>
      </c>
      <c r="W3" s="58" t="s">
        <v>77</v>
      </c>
      <c r="X3" s="100" t="s">
        <v>76</v>
      </c>
      <c r="Y3" s="58" t="s">
        <v>77</v>
      </c>
    </row>
    <row r="4" ht="20.65">
      <c r="A4" s="3" t="s">
        <v>78</v>
      </c>
      <c r="B4" s="275" t="s">
        <v>79</v>
      </c>
      <c r="D4" s="19"/>
      <c r="E4" s="34"/>
      <c r="F4" s="38" t="s">
        <v>80</v>
      </c>
      <c r="G4" s="39" t="s">
        <v>81</v>
      </c>
      <c r="H4" s="38" t="s">
        <v>82</v>
      </c>
      <c r="I4" s="39" t="s">
        <v>83</v>
      </c>
      <c r="J4" s="38" t="s">
        <v>84</v>
      </c>
      <c r="K4" s="39" t="s">
        <v>85</v>
      </c>
      <c r="L4" s="38" t="s">
        <v>86</v>
      </c>
      <c r="M4" s="39" t="s">
        <v>87</v>
      </c>
      <c r="N4" s="38" t="s">
        <v>88</v>
      </c>
      <c r="O4" s="39" t="s">
        <v>89</v>
      </c>
      <c r="P4" s="102" t="s">
        <v>90</v>
      </c>
      <c r="Q4" s="35" t="s">
        <v>91</v>
      </c>
      <c r="R4" s="38" t="s">
        <v>92</v>
      </c>
      <c r="S4" s="39" t="s">
        <v>93</v>
      </c>
      <c r="T4" s="55" t="s">
        <v>94</v>
      </c>
      <c r="U4" s="103" t="s">
        <v>95</v>
      </c>
      <c r="V4" s="57" t="s">
        <v>96</v>
      </c>
      <c r="W4" s="60" t="s">
        <v>97</v>
      </c>
      <c r="X4" s="101" t="s">
        <v>98</v>
      </c>
      <c r="Y4" s="104" t="s">
        <v>99</v>
      </c>
    </row>
    <row r="5" ht="15">
      <c r="A5" s="16" t="s">
        <v>100</v>
      </c>
      <c r="B5" s="1"/>
      <c r="C5" s="15"/>
      <c r="D5" s="19"/>
      <c r="E5" s="36" t="s">
        <v>68</v>
      </c>
      <c r="F5" s="278">
        <v>1</v>
      </c>
      <c r="G5" s="41"/>
      <c r="H5" s="278">
        <v>1</v>
      </c>
      <c r="I5" s="41"/>
      <c r="J5" s="278">
        <v>1</v>
      </c>
      <c r="K5" s="41"/>
      <c r="L5" s="278">
        <v>0</v>
      </c>
      <c r="M5" s="41"/>
      <c r="N5" s="278">
        <v>1</v>
      </c>
      <c r="O5" s="41"/>
      <c r="P5" s="279">
        <v>1</v>
      </c>
      <c r="Q5" s="41"/>
      <c r="R5" s="278">
        <v>1</v>
      </c>
      <c r="S5" s="41"/>
      <c r="T5" s="278">
        <v>1</v>
      </c>
      <c r="U5" s="41"/>
      <c r="V5" s="278">
        <v>0</v>
      </c>
      <c r="W5" s="59"/>
      <c r="X5" s="278">
        <v>0</v>
      </c>
      <c r="Y5" s="59"/>
    </row>
    <row r="6">
      <c r="A6" s="1" t="s">
        <v>101</v>
      </c>
      <c r="B6" s="276" t="s">
        <v>102</v>
      </c>
      <c r="D6" s="19"/>
      <c r="E6" s="36" t="s">
        <v>69</v>
      </c>
      <c r="F6" s="278">
        <v>1</v>
      </c>
      <c r="G6" s="41"/>
      <c r="H6" s="278">
        <v>1</v>
      </c>
      <c r="I6" s="41"/>
      <c r="J6" s="278">
        <v>1</v>
      </c>
      <c r="K6" s="41"/>
      <c r="L6" s="278">
        <v>0</v>
      </c>
      <c r="M6" s="41"/>
      <c r="N6" s="278">
        <v>1</v>
      </c>
      <c r="O6" s="41"/>
      <c r="P6" s="279">
        <v>1</v>
      </c>
      <c r="Q6" s="41"/>
      <c r="R6" s="278">
        <v>1</v>
      </c>
      <c r="S6" s="41"/>
      <c r="T6" s="278">
        <v>1</v>
      </c>
      <c r="U6" s="41"/>
      <c r="V6" s="278">
        <v>0</v>
      </c>
      <c r="W6" s="59"/>
      <c r="X6" s="278">
        <v>0</v>
      </c>
      <c r="Y6" s="59"/>
    </row>
    <row r="7">
      <c r="A7" s="1" t="s">
        <v>103</v>
      </c>
      <c r="B7" s="4"/>
      <c r="D7" s="19"/>
      <c r="E7" s="36" t="s">
        <v>0</v>
      </c>
      <c r="F7" s="278">
        <v>1</v>
      </c>
      <c r="G7" s="41"/>
      <c r="H7" s="278">
        <v>1</v>
      </c>
      <c r="I7" s="41"/>
      <c r="J7" s="278">
        <v>1</v>
      </c>
      <c r="K7" s="41"/>
      <c r="L7" s="278">
        <v>0</v>
      </c>
      <c r="M7" s="41"/>
      <c r="N7" s="278">
        <v>1</v>
      </c>
      <c r="O7" s="41"/>
      <c r="P7" s="279">
        <v>1</v>
      </c>
      <c r="Q7" s="41"/>
      <c r="R7" s="278">
        <v>1</v>
      </c>
      <c r="S7" s="41"/>
      <c r="T7" s="278">
        <v>1</v>
      </c>
      <c r="U7" s="41"/>
      <c r="V7" s="278">
        <v>0</v>
      </c>
      <c r="W7" s="59"/>
      <c r="X7" s="278">
        <v>0</v>
      </c>
      <c r="Y7" s="59"/>
    </row>
    <row r="8">
      <c r="A8" s="1" t="s">
        <v>104</v>
      </c>
      <c r="B8" s="276" t="s">
        <v>105</v>
      </c>
      <c r="C8" s="15"/>
      <c r="D8" s="19"/>
      <c r="E8" s="36" t="s">
        <v>106</v>
      </c>
      <c r="F8" s="40"/>
      <c r="G8" s="41"/>
      <c r="H8" s="40"/>
      <c r="I8" s="41"/>
      <c r="J8" s="40"/>
      <c r="K8" s="41"/>
      <c r="L8" s="40"/>
      <c r="M8" s="41"/>
      <c r="N8" s="40"/>
      <c r="O8" s="41"/>
      <c r="P8" s="41"/>
      <c r="Q8" s="41"/>
      <c r="R8" s="40"/>
      <c r="S8" s="41"/>
      <c r="T8" s="40"/>
      <c r="U8" s="41"/>
      <c r="V8" s="40"/>
      <c r="W8" s="59"/>
      <c r="X8" s="40"/>
      <c r="Y8" s="59"/>
    </row>
    <row r="9" ht="13.5" customHeight="1">
      <c r="A9" s="1" t="s">
        <v>107</v>
      </c>
      <c r="B9" s="276" t="s">
        <v>108</v>
      </c>
      <c r="C9" s="15"/>
      <c r="D9" s="19"/>
      <c r="E9" s="36" t="s">
        <v>109</v>
      </c>
      <c r="F9" s="40"/>
      <c r="G9" s="41"/>
      <c r="H9" s="40"/>
      <c r="I9" s="41"/>
      <c r="J9" s="40"/>
      <c r="K9" s="41"/>
      <c r="L9" s="40"/>
      <c r="M9" s="41"/>
      <c r="N9" s="40"/>
      <c r="O9" s="41"/>
      <c r="P9" s="41"/>
      <c r="Q9" s="41"/>
      <c r="R9" s="40"/>
      <c r="S9" s="41"/>
      <c r="T9" s="40"/>
      <c r="U9" s="41"/>
      <c r="V9" s="40"/>
      <c r="W9" s="59"/>
      <c r="X9" s="40"/>
      <c r="Y9" s="59"/>
    </row>
    <row r="10">
      <c r="A10" s="1" t="s">
        <v>110</v>
      </c>
      <c r="B10" s="276" t="s">
        <v>111</v>
      </c>
      <c r="C10" s="15"/>
      <c r="D10" s="19"/>
      <c r="E10" s="36" t="s">
        <v>112</v>
      </c>
      <c r="F10" s="40"/>
      <c r="G10" s="41"/>
      <c r="H10" s="40"/>
      <c r="I10" s="41"/>
      <c r="J10" s="40"/>
      <c r="K10" s="41"/>
      <c r="L10" s="40"/>
      <c r="M10" s="41"/>
      <c r="N10" s="40"/>
      <c r="O10" s="41"/>
      <c r="P10" s="41"/>
      <c r="Q10" s="41"/>
      <c r="R10" s="40"/>
      <c r="S10" s="41"/>
      <c r="T10" s="40"/>
      <c r="U10" s="41"/>
      <c r="V10" s="40"/>
      <c r="W10" s="59"/>
      <c r="X10" s="40"/>
      <c r="Y10" s="59"/>
    </row>
    <row r="11">
      <c r="A11" s="1" t="s">
        <v>113</v>
      </c>
      <c r="B11" s="276" t="s">
        <v>114</v>
      </c>
      <c r="E11" s="36" t="s">
        <v>115</v>
      </c>
      <c r="F11" s="40"/>
      <c r="G11" s="41"/>
      <c r="H11" s="40"/>
      <c r="I11" s="41"/>
      <c r="J11" s="40"/>
      <c r="K11" s="41"/>
      <c r="L11" s="40"/>
      <c r="M11" s="41"/>
      <c r="N11" s="40"/>
      <c r="O11" s="41"/>
      <c r="P11" s="41"/>
      <c r="Q11" s="41"/>
      <c r="R11" s="40"/>
      <c r="S11" s="41"/>
      <c r="T11" s="40"/>
      <c r="U11" s="41"/>
      <c r="V11" s="40"/>
      <c r="W11" s="59"/>
      <c r="X11" s="40"/>
      <c r="Y11" s="59"/>
    </row>
    <row r="12">
      <c r="A12" s="1" t="s">
        <v>116</v>
      </c>
      <c r="B12" s="276">
        <v>42.89461</v>
      </c>
      <c r="E12" s="36" t="s">
        <v>117</v>
      </c>
      <c r="F12" s="40"/>
      <c r="G12" s="41"/>
      <c r="H12" s="40"/>
      <c r="I12" s="41"/>
      <c r="J12" s="40"/>
      <c r="K12" s="41"/>
      <c r="L12" s="40"/>
      <c r="M12" s="41"/>
      <c r="N12" s="40"/>
      <c r="O12" s="41"/>
      <c r="P12" s="41"/>
      <c r="Q12" s="41"/>
      <c r="R12" s="40"/>
      <c r="S12" s="41"/>
      <c r="T12" s="40"/>
      <c r="U12" s="41"/>
      <c r="V12" s="40"/>
      <c r="W12" s="59"/>
      <c r="X12" s="40"/>
      <c r="Y12" s="59"/>
    </row>
    <row r="13">
      <c r="A13" s="1" t="s">
        <v>118</v>
      </c>
      <c r="B13" s="276">
        <v>25.31066</v>
      </c>
      <c r="E13" s="36" t="s">
        <v>119</v>
      </c>
      <c r="F13" s="40"/>
      <c r="G13" s="41"/>
      <c r="H13" s="40"/>
      <c r="I13" s="41"/>
      <c r="J13" s="40"/>
      <c r="K13" s="41"/>
      <c r="L13" s="40"/>
      <c r="M13" s="41"/>
      <c r="N13" s="40"/>
      <c r="O13" s="41"/>
      <c r="P13" s="41"/>
      <c r="Q13" s="41"/>
      <c r="R13" s="40"/>
      <c r="S13" s="41"/>
      <c r="T13" s="40"/>
      <c r="U13" s="41"/>
      <c r="V13" s="40"/>
      <c r="W13" s="59"/>
      <c r="X13" s="40"/>
      <c r="Y13" s="59"/>
    </row>
    <row r="14">
      <c r="A14" s="1" t="s">
        <v>120</v>
      </c>
      <c r="B14" s="276" t="s">
        <v>121</v>
      </c>
    </row>
    <row r="15">
      <c r="A15" s="1" t="s">
        <v>122</v>
      </c>
      <c r="B15" s="276">
        <v>39</v>
      </c>
    </row>
    <row r="16">
      <c r="A16" s="1" t="s">
        <v>123</v>
      </c>
      <c r="B16" s="276" t="s">
        <v>124</v>
      </c>
    </row>
    <row r="17">
      <c r="A17" s="1" t="s">
        <v>125</v>
      </c>
      <c r="B17" s="276" t="s">
        <v>126</v>
      </c>
    </row>
    <row r="18">
      <c r="A18" s="1" t="s">
        <v>127</v>
      </c>
      <c r="B18" s="4"/>
    </row>
    <row r="19" s="21" customFormat="1">
      <c r="A19" s="1" t="s">
        <v>128</v>
      </c>
      <c r="B19" s="23"/>
    </row>
    <row r="20">
      <c r="A20" s="1" t="s">
        <v>129</v>
      </c>
      <c r="B20" s="4"/>
    </row>
    <row r="21">
      <c r="A21" s="1" t="s">
        <v>130</v>
      </c>
      <c r="B21" s="4"/>
    </row>
    <row r="22">
      <c r="A22" s="1" t="s">
        <v>131</v>
      </c>
      <c r="B22" s="276" t="s">
        <v>132</v>
      </c>
    </row>
    <row r="23">
      <c r="A23" s="1" t="s">
        <v>133</v>
      </c>
      <c r="B23" s="276" t="s">
        <v>134</v>
      </c>
      <c r="E23" s="17"/>
    </row>
    <row r="24">
      <c r="A24" s="1" t="s">
        <v>135</v>
      </c>
      <c r="B24" s="276" t="s">
        <v>136</v>
      </c>
    </row>
  </sheetData>
  <mergeCells>
    <mergeCell ref="X2:Y2"/>
    <mergeCell ref="V2:W2"/>
    <mergeCell ref="F2:G2"/>
    <mergeCell ref="H2:I2"/>
    <mergeCell ref="J2:K2"/>
    <mergeCell ref="L2:M2"/>
    <mergeCell ref="N2:U2"/>
  </mergeCells>
  <conditionalFormatting sqref="G5:G13">
    <cfRule type="expression" dxfId="0" priority="22">
      <formula>$G5&lt;&gt;$F5</formula>
    </cfRule>
  </conditionalFormatting>
  <conditionalFormatting sqref="I5:I13">
    <cfRule type="expression" dxfId="0" priority="21">
      <formula>$I5&lt;&gt;$H5</formula>
    </cfRule>
  </conditionalFormatting>
  <conditionalFormatting sqref="K5:K13">
    <cfRule type="expression" dxfId="0" priority="20">
      <formula>$K5&lt;&gt;$J5</formula>
    </cfRule>
  </conditionalFormatting>
  <conditionalFormatting sqref="M5:M13">
    <cfRule type="expression" dxfId="0" priority="19">
      <formula>$M5&lt;&gt;$L5</formula>
    </cfRule>
  </conditionalFormatting>
  <conditionalFormatting sqref="O5:O13">
    <cfRule type="expression" dxfId="0" priority="18">
      <formula>$O5&lt;&gt;$N5</formula>
    </cfRule>
  </conditionalFormatting>
  <conditionalFormatting sqref="Q5:Q13">
    <cfRule type="expression" dxfId="0" priority="17">
      <formula>$Q5&lt;&gt;$P5</formula>
    </cfRule>
  </conditionalFormatting>
  <conditionalFormatting sqref="S5:S13">
    <cfRule type="expression" dxfId="0" priority="16">
      <formula>$S5&lt;&gt;$R5</formula>
    </cfRule>
  </conditionalFormatting>
  <conditionalFormatting sqref="U5:U13">
    <cfRule type="expression" dxfId="0" priority="15">
      <formula>$U5&lt;&gt;$T5</formula>
    </cfRule>
  </conditionalFormatting>
  <conditionalFormatting sqref="W5:W13">
    <cfRule type="expression" dxfId="0" priority="12">
      <formula>$W5&lt;&gt;$V5</formula>
    </cfRule>
  </conditionalFormatting>
  <conditionalFormatting sqref="Y5:Y13">
    <cfRule type="expression" dxfId="0" priority="11">
      <formula>$Y5&lt;&gt;$X5</formula>
    </cfRule>
  </conditionalFormatting>
  <conditionalFormatting sqref="G5:G13">
    <cfRule type="expression" dxfId="386" priority="10">
      <formula>ISBLANK($G5)</formula>
    </cfRule>
  </conditionalFormatting>
  <conditionalFormatting sqref="I5:I13">
    <cfRule type="expression" dxfId="386" priority="9">
      <formula>ISBLANK($I5)</formula>
    </cfRule>
  </conditionalFormatting>
  <conditionalFormatting sqref="K5:K13">
    <cfRule type="expression" dxfId="386" priority="8">
      <formula>ISBLANK($K5)</formula>
    </cfRule>
  </conditionalFormatting>
  <conditionalFormatting sqref="M5:M13">
    <cfRule type="expression" dxfId="392" priority="7">
      <formula>ISBLANK($M5)</formula>
    </cfRule>
  </conditionalFormatting>
  <conditionalFormatting sqref="O5:O13">
    <cfRule type="expression" dxfId="386" priority="6">
      <formula>ISBLANK($O5)</formula>
    </cfRule>
  </conditionalFormatting>
  <conditionalFormatting sqref="Q5:Q13">
    <cfRule type="expression" dxfId="386" priority="5">
      <formula>ISBLANK($Q5)</formula>
    </cfRule>
  </conditionalFormatting>
  <conditionalFormatting sqref="S5:S13">
    <cfRule type="expression" dxfId="386" priority="4">
      <formula>ISBLANK($S5)</formula>
    </cfRule>
  </conditionalFormatting>
  <conditionalFormatting sqref="U5:U13">
    <cfRule type="expression" dxfId="386" priority="3">
      <formula>ISBLANK($U5)</formula>
    </cfRule>
  </conditionalFormatting>
  <conditionalFormatting sqref="W5:W13">
    <cfRule type="expression" dxfId="386" priority="2">
      <formula>ISBLANK($W5)</formula>
    </cfRule>
  </conditionalFormatting>
  <conditionalFormatting sqref="Y5:Y13">
    <cfRule type="expression" dxfId="386" priority="1">
      <formula>ISBLANK($Y5)</formula>
    </cfRule>
  </conditionalFormatting>
  <dataValidations count="45">
    <dataValidation type="list" xr:uid="{6C91E76B-4282-47E6-B8A3-E1F9DE8B2DBE}" sqref="B18" showErrorMessage="1" errorTitle="An invalid feedback was entered" error="Please choose feedback from drop down only.">
      <formula1>"APM30,OMB,TMC,VIRTUAL,pico 3911B,BTS3911E"</formula1>
    </dataValidation>
    <dataValidation type="list" xr:uid="{7E644B73-6496-4666-AF6F-70E4DCABED5B}" sqref="C18" showErrorMessage="1" errorTitle="An invalid feedback was entered" error="Please choose feedback from drop down only.">
      <formula1>"APM30,OMB,TMC,VIRTUAL,pico 3911B,BTS3911E"</formula1>
    </dataValidation>
    <dataValidation type="list" xr:uid="{AF67855C-6490-4D6F-A304-0E1B246DE8C3}" sqref="D18" showErrorMessage="1" errorTitle="An invalid feedback was entered" error="Please choose feedback from drop down only.">
      <formula1>"APM30,OMB,TMC,VIRTUAL,pico 3911B,BTS3911E"</formula1>
    </dataValidation>
    <dataValidation type="list" xr:uid="{E249ABA0-03A3-4337-A0C7-78D37F7D5291}" sqref="E18" showErrorMessage="1" errorTitle="An invalid feedback was entered" error="Please choose feedback from drop down only.">
      <formula1>"APM30,OMB,TMC,VIRTUAL,pico 3911B,BTS3911E"</formula1>
    </dataValidation>
    <dataValidation type="list" xr:uid="{D3C591AE-57B7-461F-B641-7DD9BA1611FD}" sqref="F18" showErrorMessage="1" errorTitle="An invalid feedback was entered" error="Please choose feedback from drop down only.">
      <formula1>"APM30,OMB,TMC,VIRTUAL,pico 3911B,BTS3911E"</formula1>
    </dataValidation>
    <dataValidation type="list" xr:uid="{BF80BC8C-1A15-4A05-9AE2-FA66C2462F5F}" sqref="G18" showErrorMessage="1" errorTitle="An invalid feedback was entered" error="Please choose feedback from drop down only.">
      <formula1>"APM30,OMB,TMC,VIRTUAL,pico 3911B,BTS3911E"</formula1>
    </dataValidation>
    <dataValidation type="list" xr:uid="{4B620D1B-28AF-42EF-9F4F-E099C5063114}" sqref="H18" showErrorMessage="1" errorTitle="An invalid feedback was entered" error="Please choose feedback from drop down only.">
      <formula1>"APM30,OMB,TMC,VIRTUAL,pico 3911B,BTS3911E"</formula1>
    </dataValidation>
    <dataValidation type="list" xr:uid="{B3F3D12D-EE1F-4012-A542-9C128909B7A3}" sqref="I18" showErrorMessage="1" errorTitle="An invalid feedback was entered" error="Please choose feedback from drop down only.">
      <formula1>"APM30,OMB,TMC,VIRTUAL,pico 3911B,BTS3911E"</formula1>
    </dataValidation>
    <dataValidation type="list" xr:uid="{FC17DC0F-F7B8-4633-845E-BC6DE582906F}" sqref="J18" showErrorMessage="1" errorTitle="An invalid feedback was entered" error="Please choose feedback from drop down only.">
      <formula1>"APM30,OMB,TMC,VIRTUAL,pico 3911B,BTS3911E"</formula1>
    </dataValidation>
    <dataValidation type="list" xr:uid="{BBA27DF5-1A11-4A68-AA4D-1BC33E2B4836}" sqref="K18" showErrorMessage="1" errorTitle="An invalid feedback was entered" error="Please choose feedback from drop down only.">
      <formula1>"APM30,OMB,TMC,VIRTUAL,pico 3911B,BTS3911E"</formula1>
    </dataValidation>
    <dataValidation type="list" xr:uid="{EA9CA13F-CEE4-46BA-B102-C63168B25A83}" sqref="L18" showErrorMessage="1" errorTitle="An invalid feedback was entered" error="Please choose feedback from drop down only.">
      <formula1>"APM30,OMB,TMC,VIRTUAL,pico 3911B,BTS3911E"</formula1>
    </dataValidation>
    <dataValidation type="list" xr:uid="{0E6F1F97-BA88-4701-960C-0175776B8B3A}" sqref="M18" showErrorMessage="1" errorTitle="An invalid feedback was entered" error="Please choose feedback from drop down only.">
      <formula1>"APM30,OMB,TMC,VIRTUAL,pico 3911B,BTS3911E"</formula1>
    </dataValidation>
    <dataValidation type="list" xr:uid="{79E1A16F-57A5-49D9-A2A3-E06798BEBB8C}" sqref="N18" showErrorMessage="1" errorTitle="An invalid feedback was entered" error="Please choose feedback from drop down only.">
      <formula1>"APM30,OMB,TMC,VIRTUAL,pico 3911B,BTS3911E"</formula1>
    </dataValidation>
    <dataValidation type="list" xr:uid="{B3720038-2BD4-4204-9235-FFFE7852293D}" sqref="O18" showErrorMessage="1" errorTitle="An invalid feedback was entered" error="Please choose feedback from drop down only.">
      <formula1>"APM30,OMB,TMC,VIRTUAL,pico 3911B,BTS3911E"</formula1>
    </dataValidation>
    <dataValidation type="list" xr:uid="{CE4BA47B-AF11-431A-8BE5-A582C0B2F4F7}" sqref="P18" showErrorMessage="1" errorTitle="An invalid feedback was entered" error="Please choose feedback from drop down only.">
      <formula1>"APM30,OMB,TMC,VIRTUAL,pico 3911B,BTS3911E"</formula1>
    </dataValidation>
    <dataValidation type="list" xr:uid="{C6DAF9E2-2645-48AD-B28C-B2FCADFBA675}" sqref="B21" showErrorMessage="1" errorTitle="An invalid feedback was entered" error="Please choose feedback from drop down only.">
      <formula1>"Standard,Non standard,Fast track"</formula1>
    </dataValidation>
    <dataValidation type="list" xr:uid="{2C4FF3DB-5CF2-4E25-8E08-8F39B0318BA4}" sqref="C21" showErrorMessage="1" errorTitle="An invalid feedback was entered" error="Please choose feedback from drop down only.">
      <formula1>"Standard,Non standard,Fast track"</formula1>
    </dataValidation>
    <dataValidation type="list" xr:uid="{C44B5BEA-ED7B-4603-85F4-23394648FD4B}" sqref="D21" showErrorMessage="1" errorTitle="An invalid feedback was entered" error="Please choose feedback from drop down only.">
      <formula1>"Standard,Non standard,Fast track"</formula1>
    </dataValidation>
    <dataValidation type="list" xr:uid="{A01FB651-0F98-4144-85F5-71A9EF3FF4B7}" sqref="E21" showErrorMessage="1" errorTitle="An invalid feedback was entered" error="Please choose feedback from drop down only.">
      <formula1>"Standard,Non standard,Fast track"</formula1>
    </dataValidation>
    <dataValidation type="list" xr:uid="{C93A228F-50A3-47EE-BF39-599D2D557218}" sqref="F21" showErrorMessage="1" errorTitle="An invalid feedback was entered" error="Please choose feedback from drop down only.">
      <formula1>"Standard,Non standard,Fast track"</formula1>
    </dataValidation>
    <dataValidation type="list" xr:uid="{3E075424-639B-40DF-90EF-49D8CAA994F5}" sqref="G21" showErrorMessage="1" errorTitle="An invalid feedback was entered" error="Please choose feedback from drop down only.">
      <formula1>"Standard,Non standard,Fast track"</formula1>
    </dataValidation>
    <dataValidation type="list" xr:uid="{5987E723-AD63-4EC2-A3F6-C2B54039A095}" sqref="H21" showErrorMessage="1" errorTitle="An invalid feedback was entered" error="Please choose feedback from drop down only.">
      <formula1>"Standard,Non standard,Fast track"</formula1>
    </dataValidation>
    <dataValidation type="list" xr:uid="{F78EC378-1CA3-4246-A0BF-FF3164CEF38B}" sqref="I21" showErrorMessage="1" errorTitle="An invalid feedback was entered" error="Please choose feedback from drop down only.">
      <formula1>"Standard,Non standard,Fast track"</formula1>
    </dataValidation>
    <dataValidation type="list" xr:uid="{81444B6E-EE77-4696-905D-427EA4A342AA}" sqref="J21" showErrorMessage="1" errorTitle="An invalid feedback was entered" error="Please choose feedback from drop down only.">
      <formula1>"Standard,Non standard,Fast track"</formula1>
    </dataValidation>
    <dataValidation type="list" xr:uid="{A2785D5A-1DEC-483B-8C0A-A02D65F40DA4}" sqref="K21" showErrorMessage="1" errorTitle="An invalid feedback was entered" error="Please choose feedback from drop down only.">
      <formula1>"Standard,Non standard,Fast track"</formula1>
    </dataValidation>
    <dataValidation type="list" xr:uid="{91E06AF4-A25E-42A3-BEF5-4164B3B2073C}" sqref="L21" showErrorMessage="1" errorTitle="An invalid feedback was entered" error="Please choose feedback from drop down only.">
      <formula1>"Standard,Non standard,Fast track"</formula1>
    </dataValidation>
    <dataValidation type="list" xr:uid="{EBAD5EF4-8244-4E7F-AF7E-07F126849970}" sqref="M21" showErrorMessage="1" errorTitle="An invalid feedback was entered" error="Please choose feedback from drop down only.">
      <formula1>"Standard,Non standard,Fast track"</formula1>
    </dataValidation>
    <dataValidation type="list" xr:uid="{58030D43-944B-48A2-97EE-B9495BA94850}" sqref="N21" showErrorMessage="1" errorTitle="An invalid feedback was entered" error="Please choose feedback from drop down only.">
      <formula1>"Standard,Non standard,Fast track"</formula1>
    </dataValidation>
    <dataValidation type="list" xr:uid="{DAE1B3B1-2A1A-44AC-A942-D1EB0EA985E1}" sqref="O21" showErrorMessage="1" errorTitle="An invalid feedback was entered" error="Please choose feedback from drop down only.">
      <formula1>"Standard,Non standard,Fast track"</formula1>
    </dataValidation>
    <dataValidation type="list" xr:uid="{28164856-3DD1-403B-B15D-34CD48B2E35F}" sqref="P21" showErrorMessage="1" errorTitle="An invalid feedback was entered" error="Please choose feedback from drop down only.">
      <formula1>"Standard,Non standard,Fast track"</formula1>
    </dataValidation>
    <dataValidation type="list" xr:uid="{8B3CFB5E-F4F0-4762-8A62-2472A2BC35D2}" sqref="B20" showErrorMessage="1" errorTitle="An invalid feedback was entered" error="Please choose feedback from drop down only.">
      <formula1>"Rollout,VIP,3G capacity"</formula1>
    </dataValidation>
    <dataValidation type="list" xr:uid="{CE9FC5FF-99F4-4BC5-9F77-953060B5DA78}" sqref="C20" showErrorMessage="1" errorTitle="An invalid feedback was entered" error="Please choose feedback from drop down only.">
      <formula1>"Rollout,VIP,3G capacity"</formula1>
    </dataValidation>
    <dataValidation type="list" xr:uid="{003FA377-1EDC-4F53-B0EA-3E322118CE62}" sqref="D20" showErrorMessage="1" errorTitle="An invalid feedback was entered" error="Please choose feedback from drop down only.">
      <formula1>"Rollout,VIP,3G capacity"</formula1>
    </dataValidation>
    <dataValidation type="list" xr:uid="{B4C41386-83B8-4EA8-9661-90C88F411825}" sqref="E20" showErrorMessage="1" errorTitle="An invalid feedback was entered" error="Please choose feedback from drop down only.">
      <formula1>"Rollout,VIP,3G capacity"</formula1>
    </dataValidation>
    <dataValidation type="list" xr:uid="{5595910A-7CE7-4A20-A05D-BBB26263239D}" sqref="F20" showErrorMessage="1" errorTitle="An invalid feedback was entered" error="Please choose feedback from drop down only.">
      <formula1>"Rollout,VIP,3G capacity"</formula1>
    </dataValidation>
    <dataValidation type="list" xr:uid="{02DB123D-02D1-4FB4-B70A-DBEA829D8E21}" sqref="G20" showErrorMessage="1" errorTitle="An invalid feedback was entered" error="Please choose feedback from drop down only.">
      <formula1>"Rollout,VIP,3G capacity"</formula1>
    </dataValidation>
    <dataValidation type="list" xr:uid="{41AC3B2C-FC0F-401C-BF41-DA322AA3B984}" sqref="H20" showErrorMessage="1" errorTitle="An invalid feedback was entered" error="Please choose feedback from drop down only.">
      <formula1>"Rollout,VIP,3G capacity"</formula1>
    </dataValidation>
    <dataValidation type="list" xr:uid="{C298DC54-1E92-4648-8AB7-375969C59D8F}" sqref="I20" showErrorMessage="1" errorTitle="An invalid feedback was entered" error="Please choose feedback from drop down only.">
      <formula1>"Rollout,VIP,3G capacity"</formula1>
    </dataValidation>
    <dataValidation type="list" xr:uid="{BD182781-9B5F-4727-B4FC-600ABE1C9E9D}" sqref="J20" showErrorMessage="1" errorTitle="An invalid feedback was entered" error="Please choose feedback from drop down only.">
      <formula1>"Rollout,VIP,3G capacity"</formula1>
    </dataValidation>
    <dataValidation type="list" xr:uid="{216939F5-7038-4761-9FC6-E9B3DE1B7C91}" sqref="K20" showErrorMessage="1" errorTitle="An invalid feedback was entered" error="Please choose feedback from drop down only.">
      <formula1>"Rollout,VIP,3G capacity"</formula1>
    </dataValidation>
    <dataValidation type="list" xr:uid="{85A38974-C46C-451A-AD3C-74361602CE71}" sqref="L20" showErrorMessage="1" errorTitle="An invalid feedback was entered" error="Please choose feedback from drop down only.">
      <formula1>"Rollout,VIP,3G capacity"</formula1>
    </dataValidation>
    <dataValidation type="list" xr:uid="{0B93132D-51ED-44AE-809B-3E8FCD0D378F}" sqref="M20" showErrorMessage="1" errorTitle="An invalid feedback was entered" error="Please choose feedback from drop down only.">
      <formula1>"Rollout,VIP,3G capacity"</formula1>
    </dataValidation>
    <dataValidation type="list" xr:uid="{C5F3D43E-48D8-4CBA-95EE-D53E3A8E2A6C}" sqref="N20" showErrorMessage="1" errorTitle="An invalid feedback was entered" error="Please choose feedback from drop down only.">
      <formula1>"Rollout,VIP,3G capacity"</formula1>
    </dataValidation>
    <dataValidation type="list" xr:uid="{2723DEC1-A41D-4F24-9391-4B56CBE1EF25}" sqref="O20" showErrorMessage="1" errorTitle="An invalid feedback was entered" error="Please choose feedback from drop down only.">
      <formula1>"Rollout,VIP,3G capacity"</formula1>
    </dataValidation>
    <dataValidation type="list" xr:uid="{B3C31570-47CF-4F06-A511-40773AB1E880}" sqref="P20" showErrorMessage="1" errorTitle="An invalid feedback was entered" error="Please choose feedback from drop down only.">
      <formula1>"Rollout,VIP,3G capacity"</formula1>
    </dataValidation>
  </dataValidations>
  <pageMargins left="0.25" right="0.25" top="0.75" bottom="0.75" header="0.3" footer="0.3"/>
  <pageSetup scale="53" fitToHeight="0" orientation="landscape"/>
  <headerFooter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2">
    <pageSetUpPr fitToPage="1"/>
  </sheetPr>
  <dimension ref="A1:U46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5" width="9.1328125" customWidth="1" style="2"/>
    <col min="6" max="6" width="9.1328125" customWidth="1" style="21"/>
    <col min="7" max="7" width="9.1328125" customWidth="1" style="2"/>
    <col min="8" max="8" bestFit="1" width="9.3984375" customWidth="1" style="2"/>
    <col min="9" max="15" width="9.1328125" customWidth="1" style="2"/>
    <col min="16" max="16" width="9.1328125" customWidth="1" style="21"/>
    <col min="17" max="16384" width="9.1328125" customWidth="1" style="2"/>
  </cols>
  <sheetData>
    <row r="1" ht="25.15" customHeight="1">
      <c r="A1" s="197">
        <f>Common!B2</f>
        <v>0</v>
      </c>
      <c r="B1" s="198"/>
      <c r="C1" s="194" t="s">
        <v>68</v>
      </c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6"/>
    </row>
    <row r="2" ht="18">
      <c r="A2" s="33"/>
      <c r="B2" s="14" t="s">
        <v>1</v>
      </c>
      <c r="C2" s="217">
        <v>1</v>
      </c>
      <c r="D2" s="218"/>
      <c r="E2" s="218"/>
      <c r="F2" s="218"/>
      <c r="G2" s="218"/>
      <c r="H2" s="219"/>
      <c r="I2" s="220">
        <v>2</v>
      </c>
      <c r="J2" s="221"/>
      <c r="K2" s="221"/>
      <c r="L2" s="222"/>
      <c r="M2" s="220">
        <v>3</v>
      </c>
      <c r="N2" s="221"/>
      <c r="O2" s="222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5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82" t="s">
        <v>4</v>
      </c>
      <c r="C5" s="245">
        <v>60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5" customFormat="1">
      <c r="A6" s="241"/>
      <c r="B6" s="83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6"/>
      <c r="N7" s="227"/>
      <c r="O7" s="228"/>
      <c r="P7" s="94"/>
    </row>
    <row r="8" ht="17.65" s="5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1"/>
      <c r="N9" s="212"/>
      <c r="O9" s="213"/>
      <c r="P9" s="94"/>
    </row>
    <row r="10" ht="17.65" s="5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>
        <v>39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1"/>
      <c r="N11" s="212"/>
      <c r="O11" s="213"/>
      <c r="P11" s="94"/>
    </row>
    <row r="12" ht="17.65" s="5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1"/>
      <c r="N13" s="212"/>
      <c r="O13" s="213"/>
      <c r="P13" s="94"/>
    </row>
    <row r="14" ht="17.65" s="5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1"/>
      <c r="N15" s="212"/>
      <c r="O15" s="213"/>
      <c r="P15" s="97"/>
    </row>
    <row r="16" ht="17.25" s="5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5"/>
      <c r="N16" s="206"/>
      <c r="O16" s="207"/>
      <c r="P16" s="98"/>
    </row>
    <row r="17" ht="17.25">
      <c r="A17" s="241"/>
      <c r="B17" s="84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 s="21" customFormat="1">
      <c r="A18" s="241"/>
      <c r="B18" s="84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 s="21" customFormat="1">
      <c r="A19" s="241"/>
      <c r="B19" s="85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86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87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5" customFormat="1">
      <c r="A22" s="241"/>
      <c r="B22" s="6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68" t="s">
        <v>38</v>
      </c>
      <c r="C23" s="51"/>
      <c r="D23" s="51"/>
      <c r="E23" s="51"/>
      <c r="F23" s="51"/>
      <c r="G23" s="51"/>
      <c r="H23" s="51"/>
      <c r="I23" s="51"/>
      <c r="J23" s="51"/>
      <c r="K23" s="51"/>
      <c r="L23" s="51"/>
      <c r="M23" s="51"/>
      <c r="N23" s="51"/>
      <c r="O23" s="51"/>
      <c r="P23" s="51"/>
    </row>
    <row r="24" ht="17.25">
      <c r="A24" s="241"/>
      <c r="B24" s="88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5" customFormat="1">
      <c r="A25" s="241"/>
      <c r="B25" s="10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8" t="s">
        <v>45</v>
      </c>
      <c r="C26" s="24">
        <v>0</v>
      </c>
      <c r="D26" s="24">
        <v>6</v>
      </c>
      <c r="E26" s="24">
        <v>5</v>
      </c>
      <c r="F26" s="24">
        <v>0</v>
      </c>
      <c r="G26" s="24">
        <v>5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5" customFormat="1">
      <c r="A27" s="241"/>
      <c r="B27" s="89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88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5" customFormat="1">
      <c r="A29" s="241"/>
      <c r="B29" s="9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8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5" customFormat="1">
      <c r="A31" s="241"/>
      <c r="B31" s="89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88" t="s">
        <v>52</v>
      </c>
      <c r="C32" s="25">
        <v>0</v>
      </c>
      <c r="D32" s="25">
        <v>4</v>
      </c>
      <c r="E32" s="25">
        <v>4</v>
      </c>
      <c r="F32" s="25">
        <v>0</v>
      </c>
      <c r="G32" s="25">
        <v>4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5" customFormat="1">
      <c r="A33" s="241"/>
      <c r="B33" s="89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5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5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5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5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5"/>
      <c r="R42" s="5"/>
      <c r="S42" s="5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5"/>
      <c r="S43" s="5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5"/>
      <c r="R44" s="5"/>
      <c r="S44" s="5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5"/>
      <c r="R45" s="5"/>
      <c r="S45" s="5"/>
    </row>
    <row r="46">
      <c r="G46" s="21"/>
    </row>
  </sheetData>
  <mergeCells>
    <mergeCell ref="B42:P45"/>
    <mergeCell ref="A3:A33"/>
    <mergeCell ref="A34:A35"/>
    <mergeCell ref="A36:A41"/>
    <mergeCell ref="I11:L11"/>
    <mergeCell ref="M11:O11"/>
    <mergeCell ref="C4:P4"/>
    <mergeCell ref="C3:P3"/>
    <mergeCell ref="C5:P5"/>
    <mergeCell ref="C6:P6"/>
    <mergeCell ref="M10:O10"/>
    <mergeCell ref="C11:H11"/>
    <mergeCell ref="C2:H2"/>
    <mergeCell ref="I2:L2"/>
    <mergeCell ref="M2:O2"/>
    <mergeCell ref="A42:A45"/>
    <mergeCell ref="C7:H7"/>
    <mergeCell ref="I7:L7"/>
    <mergeCell ref="M7:O7"/>
    <mergeCell ref="C9:H9"/>
    <mergeCell ref="I9:L9"/>
    <mergeCell ref="M9:O9"/>
    <mergeCell ref="C8:H8"/>
    <mergeCell ref="I8:L8"/>
    <mergeCell ref="M8:O8"/>
    <mergeCell ref="M13:O13"/>
    <mergeCell ref="C10:H10"/>
    <mergeCell ref="I10:L10"/>
    <mergeCell ref="C1:P1"/>
    <mergeCell ref="A1:B1"/>
    <mergeCell ref="C16:H16"/>
    <mergeCell ref="I16:L16"/>
    <mergeCell ref="M16:O16"/>
    <mergeCell ref="C14:H14"/>
    <mergeCell ref="I14:L14"/>
    <mergeCell ref="M14:O14"/>
    <mergeCell ref="C15:H15"/>
    <mergeCell ref="I15:L15"/>
    <mergeCell ref="M15:O15"/>
    <mergeCell ref="C12:H12"/>
    <mergeCell ref="I12:L12"/>
    <mergeCell ref="M12:O12"/>
    <mergeCell ref="C13:H13"/>
    <mergeCell ref="I13:L13"/>
  </mergeCells>
  <conditionalFormatting sqref="C22:E22 C4 H22:O22">
    <cfRule type="cellIs" dxfId="0" priority="143" operator="greaterThan">
      <formula>0</formula>
    </cfRule>
  </conditionalFormatting>
  <conditionalFormatting sqref="C21:E21 H21:O21">
    <cfRule type="expression" dxfId="1" priority="122">
      <formula>ISERROR(C21)</formula>
    </cfRule>
  </conditionalFormatting>
  <conditionalFormatting sqref="C21:E21 H21:O21">
    <cfRule type="cellIs" dxfId="1" priority="121" operator="equal">
      <formula>0</formula>
    </cfRule>
  </conditionalFormatting>
  <conditionalFormatting sqref="C21:E21 H21:O21">
    <cfRule type="cellIs" dxfId="3" priority="120" operator="greaterThan">
      <formula>0</formula>
    </cfRule>
  </conditionalFormatting>
  <conditionalFormatting sqref="C27:O27 D29:O29 D33:O33">
    <cfRule type="cellIs" dxfId="0" priority="11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113">
      <formula>ISBLANK(C8)</formula>
    </cfRule>
  </conditionalFormatting>
  <conditionalFormatting sqref="C29">
    <cfRule type="cellIs" dxfId="0" priority="115" operator="notEqual">
      <formula>VALUE(C28)</formula>
    </cfRule>
  </conditionalFormatting>
  <conditionalFormatting sqref="C29">
    <cfRule type="expression" dxfId="10" priority="114">
      <formula>ISBLANK(C29)</formula>
    </cfRule>
  </conditionalFormatting>
  <conditionalFormatting sqref="C8:O8 C10:O10 C12:O12 C14:O14 C16:O16 C31:O31 D35:O35 D37:O37 D25:O25 D39:O39 D41:O41">
    <cfRule type="cellIs" dxfId="0" priority="118" operator="notEqual">
      <formula>C7</formula>
    </cfRule>
  </conditionalFormatting>
  <conditionalFormatting sqref="C31">
    <cfRule type="expression" dxfId="10" priority="112">
      <formula>ISBLANK(C31)</formula>
    </cfRule>
  </conditionalFormatting>
  <conditionalFormatting sqref="C33">
    <cfRule type="cellIs" dxfId="0" priority="111" operator="notEqual">
      <formula>VALUE(C32)</formula>
    </cfRule>
  </conditionalFormatting>
  <conditionalFormatting sqref="C33">
    <cfRule type="expression" dxfId="10" priority="110">
      <formula>ISBLANK(C33)</formula>
    </cfRule>
  </conditionalFormatting>
  <conditionalFormatting sqref="C35">
    <cfRule type="cellIs" dxfId="0" priority="107" operator="notEqual">
      <formula>C34</formula>
    </cfRule>
  </conditionalFormatting>
  <conditionalFormatting sqref="C35">
    <cfRule type="expression" dxfId="10" priority="106">
      <formula>ISBLANK(C35)</formula>
    </cfRule>
  </conditionalFormatting>
  <conditionalFormatting sqref="C37">
    <cfRule type="cellIs" dxfId="0" priority="99" operator="notEqual">
      <formula>C36</formula>
    </cfRule>
  </conditionalFormatting>
  <conditionalFormatting sqref="C37">
    <cfRule type="expression" dxfId="10" priority="98">
      <formula>ISBLANK(C37)</formula>
    </cfRule>
  </conditionalFormatting>
  <conditionalFormatting sqref="C6">
    <cfRule type="expression" dxfId="10" priority="89">
      <formula>ISBLANK(C6)</formula>
    </cfRule>
    <cfRule type="cellIs" dxfId="0" priority="90" operator="notEqual">
      <formula>C5</formula>
    </cfRule>
  </conditionalFormatting>
  <conditionalFormatting sqref="C25">
    <cfRule type="cellIs" dxfId="0" priority="78" operator="notEqual">
      <formula>C24</formula>
    </cfRule>
  </conditionalFormatting>
  <conditionalFormatting sqref="C25">
    <cfRule type="expression" dxfId="10" priority="77">
      <formula>ISBLANK(C25)</formula>
    </cfRule>
  </conditionalFormatting>
  <conditionalFormatting sqref="C39">
    <cfRule type="cellIs" dxfId="0" priority="68" operator="notEqual">
      <formula>C38</formula>
    </cfRule>
  </conditionalFormatting>
  <conditionalFormatting sqref="C39">
    <cfRule type="expression" dxfId="10" priority="67">
      <formula>ISBLANK(C39)</formula>
    </cfRule>
  </conditionalFormatting>
  <conditionalFormatting sqref="C41">
    <cfRule type="cellIs" dxfId="0" priority="66" operator="notEqual">
      <formula>C40</formula>
    </cfRule>
  </conditionalFormatting>
  <conditionalFormatting sqref="C41">
    <cfRule type="expression" dxfId="10" priority="65">
      <formula>ISBLANK(C41)</formula>
    </cfRule>
  </conditionalFormatting>
  <conditionalFormatting sqref="C24:O41">
    <cfRule type="expression" dxfId="1" priority="64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1">
    <cfRule type="expression" dxfId="1" priority="17">
      <formula>ISERROR(P21)</formula>
    </cfRule>
  </conditionalFormatting>
  <conditionalFormatting sqref="P21">
    <cfRule type="cellIs" dxfId="1" priority="16" operator="equal">
      <formula>0</formula>
    </cfRule>
  </conditionalFormatting>
  <conditionalFormatting sqref="P21">
    <cfRule type="cellIs" dxfId="3" priority="15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9" stopIfTrue="1">
      <formula>OR(P$22="Free",P$22="Telenor",P$22="Mtel",P$22="Telenor&amp;Mtel")</formula>
    </cfRule>
  </conditionalFormatting>
  <conditionalFormatting sqref="C19">
    <cfRule type="cellIs" dxfId="1" priority="6" operator="equal">
      <formula>0</formula>
    </cfRule>
    <cfRule type="expression" dxfId="345" priority="8">
      <formula>ISERROR(C19)</formula>
    </cfRule>
  </conditionalFormatting>
  <conditionalFormatting sqref="D19:P19">
    <cfRule type="cellIs" dxfId="1" priority="4" operator="equal">
      <formula>0</formula>
    </cfRule>
    <cfRule type="expression" dxfId="345" priority="5">
      <formula>ISERROR(D19)</formula>
    </cfRule>
  </conditionalFormatting>
  <conditionalFormatting sqref="C23:P23">
    <cfRule type="cellIs" dxfId="0" priority="3" operator="notEqual">
      <formula>C22</formula>
    </cfRule>
  </conditionalFormatting>
  <conditionalFormatting sqref="C23:P23">
    <cfRule type="expression" dxfId="10" priority="2">
      <formula>ISBLANK(C23)</formula>
    </cfRule>
  </conditionalFormatting>
  <conditionalFormatting sqref="C23:P23">
    <cfRule type="expression" dxfId="1" priority="1" stopIfTrue="1">
      <formula>OR(C$22="Free",C$22="Telenor",C$22="Mtel",C$22="Telenor&amp;Mtel")</formula>
    </cfRule>
  </conditionalFormatting>
  <dataValidations count="165">
    <dataValidation type="list" xr:uid="{4539D773-4858-4363-AF45-F046B8D567BB}" sqref="C2" showErrorMessage="1" errorTitle="An invalid feedback was entered" error="Please choose feedback from drop down only.">
      <formula1>"1,2,3"</formula1>
    </dataValidation>
    <dataValidation type="list" xr:uid="{4CF68F8E-B10A-4F96-B160-5D8BDA84C888}" sqref="D2" showErrorMessage="1" errorTitle="An invalid feedback was entered" error="Please choose feedback from drop down only.">
      <formula1>"1,2,3"</formula1>
    </dataValidation>
    <dataValidation type="list" xr:uid="{9922C939-08E0-49A2-A73E-841C37F0253A}" sqref="E2" showErrorMessage="1" errorTitle="An invalid feedback was entered" error="Please choose feedback from drop down only.">
      <formula1>"1,2,3"</formula1>
    </dataValidation>
    <dataValidation type="list" xr:uid="{11439129-65AE-4E1D-A1F1-379640FD44CF}" sqref="F2" showErrorMessage="1" errorTitle="An invalid feedback was entered" error="Please choose feedback from drop down only.">
      <formula1>"1,2,3"</formula1>
    </dataValidation>
    <dataValidation type="list" xr:uid="{A83CF926-207D-421E-A7CD-0C1A3E10862B}" sqref="G2" showErrorMessage="1" errorTitle="An invalid feedback was entered" error="Please choose feedback from drop down only.">
      <formula1>"1,2,3"</formula1>
    </dataValidation>
    <dataValidation type="list" xr:uid="{99855C03-A423-462B-ADD5-8BCF5FAFAE94}" sqref="H2" showErrorMessage="1" errorTitle="An invalid feedback was entered" error="Please choose feedback from drop down only.">
      <formula1>"1,2,3"</formula1>
    </dataValidation>
    <dataValidation type="list" xr:uid="{97FB9AF3-AA85-411A-BAB0-8BC27E2BE823}" sqref="I2" showErrorMessage="1" errorTitle="An invalid feedback was entered" error="Please choose feedback from drop down only.">
      <formula1>"1,2,3"</formula1>
    </dataValidation>
    <dataValidation type="list" xr:uid="{3CCBA9D9-5B22-4174-A282-601FFD95E052}" sqref="J2" showErrorMessage="1" errorTitle="An invalid feedback was entered" error="Please choose feedback from drop down only.">
      <formula1>"1,2,3"</formula1>
    </dataValidation>
    <dataValidation type="list" xr:uid="{A21998F0-7E2A-43C5-BD98-335FF3A53DD8}" sqref="K2" showErrorMessage="1" errorTitle="An invalid feedback was entered" error="Please choose feedback from drop down only.">
      <formula1>"1,2,3"</formula1>
    </dataValidation>
    <dataValidation type="list" xr:uid="{8A8B2773-FD99-43C3-8BAA-0E1563C387A0}" sqref="L2" showErrorMessage="1" errorTitle="An invalid feedback was entered" error="Please choose feedback from drop down only.">
      <formula1>"1,2,3"</formula1>
    </dataValidation>
    <dataValidation type="list" xr:uid="{884231BF-60C6-411F-8F9D-7ED79FDB0936}" sqref="M2" showErrorMessage="1" errorTitle="An invalid feedback was entered" error="Please choose feedback from drop down only.">
      <formula1>"1,2,3"</formula1>
    </dataValidation>
    <dataValidation type="list" xr:uid="{D0A2F1C7-9D39-4370-BC5A-2D53876B4111}" sqref="N2" showErrorMessage="1" errorTitle="An invalid feedback was entered" error="Please choose feedback from drop down only.">
      <formula1>"1,2,3"</formula1>
    </dataValidation>
    <dataValidation type="list" xr:uid="{D8CA766C-5795-4444-BC3B-0DFA949BD83B}" sqref="O2" showErrorMessage="1" errorTitle="An invalid feedback was entered" error="Please choose feedback from drop down only.">
      <formula1>"1,2,3"</formula1>
    </dataValidation>
    <dataValidation type="list" xr:uid="{9AD246AB-B944-412D-A776-59038AC221BD}" sqref="P2" showErrorMessage="1" errorTitle="An invalid feedback was entered" error="Please choose feedback from drop down only.">
      <formula1>"1,2,3"</formula1>
    </dataValidation>
    <dataValidation type="list" xr:uid="{0E34CA06-23E9-46E5-B9C6-CB455D74E3D7}" sqref="Q2" showErrorMessage="1" errorTitle="An invalid feedback was entered" error="Please choose feedback from drop down only.">
      <formula1>"1,2,3"</formula1>
    </dataValidation>
    <dataValidation type="list" xr:uid="{BAAB5F03-9100-4467-991B-C6BE6C304E43}" sqref="C17" showErrorMessage="1" errorTitle="An invalid feedback was entered" error="Please choose feedback from drop down only.">
      <formula1>"1-2,3-4,5-6,7-8,9-10,N/A"</formula1>
    </dataValidation>
    <dataValidation type="list" xr:uid="{28D925C9-951E-463B-9C83-6E5708487180}" sqref="D17" showErrorMessage="1" errorTitle="An invalid feedback was entered" error="Please choose feedback from drop down only.">
      <formula1>"1-2,3-4,5-6,7-8,9-10,N/A"</formula1>
    </dataValidation>
    <dataValidation type="list" xr:uid="{EE7F736D-27DE-4E9A-9B91-A876DADEA3B2}" sqref="E17" showErrorMessage="1" errorTitle="An invalid feedback was entered" error="Please choose feedback from drop down only.">
      <formula1>"1-2,3-4,5-6,7-8,9-10,N/A"</formula1>
    </dataValidation>
    <dataValidation type="list" xr:uid="{05C96988-BDB3-42EE-A9DC-982509B08FFA}" sqref="F17" showErrorMessage="1" errorTitle="An invalid feedback was entered" error="Please choose feedback from drop down only.">
      <formula1>"1-2,3-4,5-6,7-8,9-10,N/A"</formula1>
    </dataValidation>
    <dataValidation type="list" xr:uid="{53720BFE-025A-4E91-90BC-F37D0D004627}" sqref="G17" showErrorMessage="1" errorTitle="An invalid feedback was entered" error="Please choose feedback from drop down only.">
      <formula1>"1-2,3-4,5-6,7-8,9-10,N/A"</formula1>
    </dataValidation>
    <dataValidation type="list" xr:uid="{9B3C17BE-6A89-4B15-86FE-4B5A09877A43}" sqref="H17" showErrorMessage="1" errorTitle="An invalid feedback was entered" error="Please choose feedback from drop down only.">
      <formula1>"1-2,3-4,5-6,7-8,9-10,N/A"</formula1>
    </dataValidation>
    <dataValidation type="list" xr:uid="{C0A4F88E-9151-4D6E-994F-87B72DBD80AE}" sqref="I17" showErrorMessage="1" errorTitle="An invalid feedback was entered" error="Please choose feedback from drop down only.">
      <formula1>"1-2,3-4,5-6,7-8,9-10,N/A"</formula1>
    </dataValidation>
    <dataValidation type="list" xr:uid="{66D659C6-E85B-4036-B342-E330A62EADA7}" sqref="J17" showErrorMessage="1" errorTitle="An invalid feedback was entered" error="Please choose feedback from drop down only.">
      <formula1>"1-2,3-4,5-6,7-8,9-10,N/A"</formula1>
    </dataValidation>
    <dataValidation type="list" xr:uid="{8F0DD31D-D3F6-49E8-9406-50C8530EF4BE}" sqref="K17" showErrorMessage="1" errorTitle="An invalid feedback was entered" error="Please choose feedback from drop down only.">
      <formula1>"1-2,3-4,5-6,7-8,9-10,N/A"</formula1>
    </dataValidation>
    <dataValidation type="list" xr:uid="{751C6B43-E8F4-428B-98B5-B4307DEB2703}" sqref="L17" showErrorMessage="1" errorTitle="An invalid feedback was entered" error="Please choose feedback from drop down only.">
      <formula1>"1-2,3-4,5-6,7-8,9-10,N/A"</formula1>
    </dataValidation>
    <dataValidation type="list" xr:uid="{2B886E7C-4837-4492-BCAA-9C552AABB316}" sqref="M17" showErrorMessage="1" errorTitle="An invalid feedback was entered" error="Please choose feedback from drop down only.">
      <formula1>"1-2,3-4,5-6,7-8,9-10,N/A"</formula1>
    </dataValidation>
    <dataValidation type="list" xr:uid="{AAAFA1E5-04F2-4C7B-8F26-02E79BF999D9}" sqref="N17" showErrorMessage="1" errorTitle="An invalid feedback was entered" error="Please choose feedback from drop down only.">
      <formula1>"1-2,3-4,5-6,7-8,9-10,N/A"</formula1>
    </dataValidation>
    <dataValidation type="list" xr:uid="{1AFD51EE-229C-4B4F-BE15-7CBB63FC888F}" sqref="O17" showErrorMessage="1" errorTitle="An invalid feedback was entered" error="Please choose feedback from drop down only.">
      <formula1>"1-2,3-4,5-6,7-8,9-10,N/A"</formula1>
    </dataValidation>
    <dataValidation type="list" xr:uid="{BEFF61F7-D083-41B3-82C5-2C53AE4F1F42}" sqref="P17" showErrorMessage="1" errorTitle="An invalid feedback was entered" error="Please choose feedback from drop down only.">
      <formula1>"1-2,3-4,5-6,7-8,9-10,N/A"</formula1>
    </dataValidation>
    <dataValidation type="list" xr:uid="{540549EF-2AF4-4E13-B780-3B3A731E855C}" sqref="Q17" showErrorMessage="1" errorTitle="An invalid feedback was entered" error="Please choose feedback from drop down only.">
      <formula1>"1-2,3-4,5-6,7-8,9-10,N/A"</formula1>
    </dataValidation>
    <dataValidation type="list" xr:uid="{47326CBE-2141-4EEF-BF67-733BC64F6E8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A608556-923E-4394-BFB8-1AB49FB04A4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6072B33-D38A-44C0-BF48-73BD6B23716B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8FD1649-9FBF-4BF9-BE46-344B797CD19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53A6C259-E1A2-4C54-A9F4-B295215A000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7EAD30B-E082-4169-BD02-B43812A0B4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7C6C529-AEBB-4727-BB82-5DD7DA181158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2F546996-1EAE-4350-B9EC-664ADC2E735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174982F-B964-4D54-9977-436B77E7C41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B8CFFA9D-493D-409A-9182-91CE4C80FD6A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B4E73D1-FBE5-4125-B97A-845051A04BA7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FF1F8B78-07FB-428D-8D6A-5481CD5DB885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370D046-D245-41B4-AAE0-8926935E3937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B7A0C5A-EEE6-4468-8631-1E0EDBFFD2CB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8068984-C86A-45FC-9DED-91EB1A0C6C09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3062259-58AE-4AFD-9524-3CC5B1FB71C6}" sqref="C23" showErrorMessage="1" errorTitle="An invalid feedback was entered" error="Please choose feedback from drop down only.">
      <formula1>"Yetel,Bulsatcom,A1,Yetel&amp;A1,N/A"</formula1>
    </dataValidation>
    <dataValidation type="list" xr:uid="{C0280C1C-F5C0-4A58-96A5-8583C6796730}" sqref="D23" showErrorMessage="1" errorTitle="An invalid feedback was entered" error="Please choose feedback from drop down only.">
      <formula1>"Yetel,Bulsatcom,A1,Yetel&amp;A1,N/A"</formula1>
    </dataValidation>
    <dataValidation type="list" xr:uid="{650545D1-15E4-4F33-9629-FDF3233B71A7}" sqref="E23" showErrorMessage="1" errorTitle="An invalid feedback was entered" error="Please choose feedback from drop down only.">
      <formula1>"Yetel,Bulsatcom,A1,Yetel&amp;A1,N/A"</formula1>
    </dataValidation>
    <dataValidation type="list" xr:uid="{BACDBB06-8F9A-4F92-A9A8-20FA492987AE}" sqref="F23" showErrorMessage="1" errorTitle="An invalid feedback was entered" error="Please choose feedback from drop down only.">
      <formula1>"Yetel,Bulsatcom,A1,Yetel&amp;A1,N/A"</formula1>
    </dataValidation>
    <dataValidation type="list" xr:uid="{69C3F0D5-92F0-41D9-B984-0DAAA1EEA0EE}" sqref="G23" showErrorMessage="1" errorTitle="An invalid feedback was entered" error="Please choose feedback from drop down only.">
      <formula1>"Yetel,Bulsatcom,A1,Yetel&amp;A1,N/A"</formula1>
    </dataValidation>
    <dataValidation type="list" xr:uid="{FDAB04FB-272C-42AA-B9FE-A073D67667DC}" sqref="H23" showErrorMessage="1" errorTitle="An invalid feedback was entered" error="Please choose feedback from drop down only.">
      <formula1>"Yetel,Bulsatcom,A1,Yetel&amp;A1,N/A"</formula1>
    </dataValidation>
    <dataValidation type="list" xr:uid="{C6A473F2-477D-4FCC-BB46-6E0037BA65E1}" sqref="I23" showErrorMessage="1" errorTitle="An invalid feedback was entered" error="Please choose feedback from drop down only.">
      <formula1>"Yetel,Bulsatcom,A1,Yetel&amp;A1,N/A"</formula1>
    </dataValidation>
    <dataValidation type="list" xr:uid="{A848DE74-168A-4637-88FE-B5143A7E9EBB}" sqref="J23" showErrorMessage="1" errorTitle="An invalid feedback was entered" error="Please choose feedback from drop down only.">
      <formula1>"Yetel,Bulsatcom,A1,Yetel&amp;A1,N/A"</formula1>
    </dataValidation>
    <dataValidation type="list" xr:uid="{EEBA7A4C-A892-4E0A-9696-4586FE98C950}" sqref="K23" showErrorMessage="1" errorTitle="An invalid feedback was entered" error="Please choose feedback from drop down only.">
      <formula1>"Yetel,Bulsatcom,A1,Yetel&amp;A1,N/A"</formula1>
    </dataValidation>
    <dataValidation type="list" xr:uid="{2A44F8B6-C85D-4B1A-AA8F-03E669C3C2FD}" sqref="L23" showErrorMessage="1" errorTitle="An invalid feedback was entered" error="Please choose feedback from drop down only.">
      <formula1>"Yetel,Bulsatcom,A1,Yetel&amp;A1,N/A"</formula1>
    </dataValidation>
    <dataValidation type="list" xr:uid="{B78F3A5A-C4B5-4A9F-BFAC-D81A96F3BFBD}" sqref="M23" showErrorMessage="1" errorTitle="An invalid feedback was entered" error="Please choose feedback from drop down only.">
      <formula1>"Yetel,Bulsatcom,A1,Yetel&amp;A1,N/A"</formula1>
    </dataValidation>
    <dataValidation type="list" xr:uid="{80A01477-BFD7-4571-B98A-777D2F49FC21}" sqref="N23" showErrorMessage="1" errorTitle="An invalid feedback was entered" error="Please choose feedback from drop down only.">
      <formula1>"Yetel,Bulsatcom,A1,Yetel&amp;A1,N/A"</formula1>
    </dataValidation>
    <dataValidation type="list" xr:uid="{9A7CE7A3-9785-40A6-A97A-907DC1C3B217}" sqref="O23" showErrorMessage="1" errorTitle="An invalid feedback was entered" error="Please choose feedback from drop down only.">
      <formula1>"Yetel,Bulsatcom,A1,Yetel&amp;A1,N/A"</formula1>
    </dataValidation>
    <dataValidation type="list" xr:uid="{B03FD3BE-603B-473D-8493-EDF9639FADF4}" sqref="P23" showErrorMessage="1" errorTitle="An invalid feedback was entered" error="Please choose feedback from drop down only.">
      <formula1>"Yetel,Bulsatcom,A1,Yetel&amp;A1,N/A"</formula1>
    </dataValidation>
    <dataValidation type="list" xr:uid="{970EA768-EB86-4B73-AA7E-61D58D04DCB0}" sqref="Q23" showErrorMessage="1" errorTitle="An invalid feedback was entered" error="Please choose feedback from drop down only.">
      <formula1>"Yetel,Bulsatcom,A1,Yetel&amp;A1,N/A"</formula1>
    </dataValidation>
    <dataValidation type="list" xr:uid="{85046233-3C6F-4106-897C-2512C081475C}" sqref="C31" showErrorMessage="1" errorTitle="An invalid feedback was entered" error="Please choose feedback from drop down only.">
      <formula1>"1/2,5/4,7/8,RRU TOP JUMPER,N/A"</formula1>
    </dataValidation>
    <dataValidation type="list" xr:uid="{90E76FC3-E3E1-4F01-9FE7-99008EB7F4BF}" sqref="D31" showErrorMessage="1" errorTitle="An invalid feedback was entered" error="Please choose feedback from drop down only.">
      <formula1>"1/2,5/4,7/8,RRU TOP JUMPER,N/A"</formula1>
    </dataValidation>
    <dataValidation type="list" xr:uid="{0AFFA044-173A-417F-9318-58A82A84AB7B}" sqref="E31" showErrorMessage="1" errorTitle="An invalid feedback was entered" error="Please choose feedback from drop down only.">
      <formula1>"1/2,5/4,7/8,RRU TOP JUMPER,N/A"</formula1>
    </dataValidation>
    <dataValidation type="list" xr:uid="{C9DD6405-4E67-4482-A083-EA11D032C1E9}" sqref="F31" showErrorMessage="1" errorTitle="An invalid feedback was entered" error="Please choose feedback from drop down only.">
      <formula1>"1/2,5/4,7/8,RRU TOP JUMPER,N/A"</formula1>
    </dataValidation>
    <dataValidation type="list" xr:uid="{0C8419EE-F458-4B8F-B355-ED8BB8A50EA2}" sqref="G31" showErrorMessage="1" errorTitle="An invalid feedback was entered" error="Please choose feedback from drop down only.">
      <formula1>"1/2,5/4,7/8,RRU TOP JUMPER,N/A"</formula1>
    </dataValidation>
    <dataValidation type="list" xr:uid="{6BB79A82-D933-4440-A5BF-A05E97A3F5D8}" sqref="H31" showErrorMessage="1" errorTitle="An invalid feedback was entered" error="Please choose feedback from drop down only.">
      <formula1>"1/2,5/4,7/8,RRU TOP JUMPER,N/A"</formula1>
    </dataValidation>
    <dataValidation type="list" xr:uid="{16F551B0-F7B7-4A87-948D-CEF6293FA9BF}" sqref="I31" showErrorMessage="1" errorTitle="An invalid feedback was entered" error="Please choose feedback from drop down only.">
      <formula1>"1/2,5/4,7/8,RRU TOP JUMPER,N/A"</formula1>
    </dataValidation>
    <dataValidation type="list" xr:uid="{868EE896-ED8C-4ACF-BC76-E56971600D68}" sqref="J31" showErrorMessage="1" errorTitle="An invalid feedback was entered" error="Please choose feedback from drop down only.">
      <formula1>"1/2,5/4,7/8,RRU TOP JUMPER,N/A"</formula1>
    </dataValidation>
    <dataValidation type="list" xr:uid="{A602E3D7-DED3-4CC1-B784-73355B86B114}" sqref="K31" showErrorMessage="1" errorTitle="An invalid feedback was entered" error="Please choose feedback from drop down only.">
      <formula1>"1/2,5/4,7/8,RRU TOP JUMPER,N/A"</formula1>
    </dataValidation>
    <dataValidation type="list" xr:uid="{5CECDDBD-56F0-4BD6-84BB-780E0B02165B}" sqref="L31" showErrorMessage="1" errorTitle="An invalid feedback was entered" error="Please choose feedback from drop down only.">
      <formula1>"1/2,5/4,7/8,RRU TOP JUMPER,N/A"</formula1>
    </dataValidation>
    <dataValidation type="list" xr:uid="{D13BE472-3D2E-459F-8014-78A12488818D}" sqref="M31" showErrorMessage="1" errorTitle="An invalid feedback was entered" error="Please choose feedback from drop down only.">
      <formula1>"1/2,5/4,7/8,RRU TOP JUMPER,N/A"</formula1>
    </dataValidation>
    <dataValidation type="list" xr:uid="{9A78A16B-BA32-4239-8333-8B9FCDB79591}" sqref="N31" showErrorMessage="1" errorTitle="An invalid feedback was entered" error="Please choose feedback from drop down only.">
      <formula1>"1/2,5/4,7/8,RRU TOP JUMPER,N/A"</formula1>
    </dataValidation>
    <dataValidation type="list" xr:uid="{11E58F8A-431F-45BE-AC28-55B9C4BF16E7}" sqref="O31" showErrorMessage="1" errorTitle="An invalid feedback was entered" error="Please choose feedback from drop down only.">
      <formula1>"1/2,5/4,7/8,RRU TOP JUMPER,N/A"</formula1>
    </dataValidation>
    <dataValidation type="list" xr:uid="{568763B2-A64B-4212-A367-5D12F5B27DDE}" sqref="P31" showErrorMessage="1" errorTitle="An invalid feedback was entered" error="Please choose feedback from drop down only.">
      <formula1>"1/2,5/4,7/8,RRU TOP JUMPER,N/A"</formula1>
    </dataValidation>
    <dataValidation type="list" xr:uid="{6A627DAA-4423-4E31-AF3D-C14004103B55}" sqref="Q31" showErrorMessage="1" errorTitle="An invalid feedback was entered" error="Please choose feedback from drop down only.">
      <formula1>"1/2,5/4,7/8,RRU TOP JUMPER,N/A"</formula1>
    </dataValidation>
    <dataValidation type="list" xr:uid="{846215F2-451C-49DB-B13C-55DCC275B6C1}" sqref="C4" showErrorMessage="1" errorTitle="An invalid feedback was entered" error="Please choose feedback from drop down only.">
      <formula1>"1,2,3,4,5,6,N/A"</formula1>
    </dataValidation>
    <dataValidation type="list" xr:uid="{15F7683C-B5DC-4960-8D60-F7B96F3D4CDF}" sqref="D4" showErrorMessage="1" errorTitle="An invalid feedback was entered" error="Please choose feedback from drop down only.">
      <formula1>"1,2,3,4,5,6,N/A"</formula1>
    </dataValidation>
    <dataValidation type="list" xr:uid="{971B5DE0-840D-4ECF-9EC7-3607A7CA828F}" sqref="E4" showErrorMessage="1" errorTitle="An invalid feedback was entered" error="Please choose feedback from drop down only.">
      <formula1>"1,2,3,4,5,6,N/A"</formula1>
    </dataValidation>
    <dataValidation type="list" xr:uid="{10FE02E8-C6C6-4B1A-B4FE-3B9CACBAB544}" sqref="F4" showErrorMessage="1" errorTitle="An invalid feedback was entered" error="Please choose feedback from drop down only.">
      <formula1>"1,2,3,4,5,6,N/A"</formula1>
    </dataValidation>
    <dataValidation type="list" xr:uid="{B3800990-EEE0-41B5-8068-A52D400FFAE9}" sqref="G4" showErrorMessage="1" errorTitle="An invalid feedback was entered" error="Please choose feedback from drop down only.">
      <formula1>"1,2,3,4,5,6,N/A"</formula1>
    </dataValidation>
    <dataValidation type="list" xr:uid="{30469385-7788-453A-B1E3-58CB1DFC4993}" sqref="H4" showErrorMessage="1" errorTitle="An invalid feedback was entered" error="Please choose feedback from drop down only.">
      <formula1>"1,2,3,4,5,6,N/A"</formula1>
    </dataValidation>
    <dataValidation type="list" xr:uid="{EFF9F68D-BC29-4845-AC54-90CB6B9021C9}" sqref="I4" showErrorMessage="1" errorTitle="An invalid feedback was entered" error="Please choose feedback from drop down only.">
      <formula1>"1,2,3,4,5,6,N/A"</formula1>
    </dataValidation>
    <dataValidation type="list" xr:uid="{A211F4B4-7B2C-4985-BD08-0E9A5388A141}" sqref="J4" showErrorMessage="1" errorTitle="An invalid feedback was entered" error="Please choose feedback from drop down only.">
      <formula1>"1,2,3,4,5,6,N/A"</formula1>
    </dataValidation>
    <dataValidation type="list" xr:uid="{D244C5B7-9D29-4899-95E3-82C050DF3256}" sqref="K4" showErrorMessage="1" errorTitle="An invalid feedback was entered" error="Please choose feedback from drop down only.">
      <formula1>"1,2,3,4,5,6,N/A"</formula1>
    </dataValidation>
    <dataValidation type="list" xr:uid="{D14A3FB6-BE28-4C39-B236-D890D96734CE}" sqref="L4" showErrorMessage="1" errorTitle="An invalid feedback was entered" error="Please choose feedback from drop down only.">
      <formula1>"1,2,3,4,5,6,N/A"</formula1>
    </dataValidation>
    <dataValidation type="list" xr:uid="{84A3EFEE-BD53-4EF1-95C9-72DD5A13A928}" sqref="M4" showErrorMessage="1" errorTitle="An invalid feedback was entered" error="Please choose feedback from drop down only.">
      <formula1>"1,2,3,4,5,6,N/A"</formula1>
    </dataValidation>
    <dataValidation type="list" xr:uid="{5CD562FA-591F-415D-B88F-99DCB3523798}" sqref="N4" showErrorMessage="1" errorTitle="An invalid feedback was entered" error="Please choose feedback from drop down only.">
      <formula1>"1,2,3,4,5,6,N/A"</formula1>
    </dataValidation>
    <dataValidation type="list" xr:uid="{8223890F-09CE-4E35-8861-80E38930BE08}" sqref="O4" showErrorMessage="1" errorTitle="An invalid feedback was entered" error="Please choose feedback from drop down only.">
      <formula1>"1,2,3,4,5,6,N/A"</formula1>
    </dataValidation>
    <dataValidation type="list" xr:uid="{E09944B7-F15F-4A6F-9F2B-857DA76C373B}" sqref="P4" showErrorMessage="1" errorTitle="An invalid feedback was entered" error="Please choose feedback from drop down only.">
      <formula1>"1,2,3,4,5,6,N/A"</formula1>
    </dataValidation>
    <dataValidation type="list" xr:uid="{07E7AECA-3568-4D8C-A40C-0AB2530A7B25}" sqref="Q4" showErrorMessage="1" errorTitle="An invalid feedback was entered" error="Please choose feedback from drop down only.">
      <formula1>"1,2,3,4,5,6,N/A"</formula1>
    </dataValidation>
    <dataValidation type="list" xr:uid="{36C1AC1A-66F4-4275-85D3-B1330C4353A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A1A5101-7204-410A-9573-DC75C0CFC929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276A1E-5FEF-4DBC-A1E4-5695CFA15A64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FCC68E-9E32-42D4-8358-60854E65E8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FB5F2-2B59-4EF9-8C2E-EF9ACA08EBA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664908D-B336-4799-9876-645CD773C89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BAA0BF3-20DC-45B6-AEB7-D682AF0A8CE5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8BA52D0-4DCD-4460-844B-B260F6F4775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72E698E-3B5B-4D8A-98DE-69651756403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4189AA-011F-4A52-A1B5-30A2C95767A1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1AD3B0F-00A2-4070-B007-0FC75102E88D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21BD16-A91B-4685-9CF4-80AE106560FA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7D7F9C-E231-43C6-AF96-65DB5D208EE4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AEE609-16F8-4763-8295-A9BF2F650B3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0E6B4C-7255-40B7-9381-9B0F82C1709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60AFAB-1D6D-4F3C-9906-02C0081C94FF}" sqref="C28" showErrorMessage="1" errorTitle="An invalid feedback was entered" error="Please choose feedback from drop down only.">
      <formula1>"Yes,No,FlexRET"</formula1>
    </dataValidation>
    <dataValidation type="list" xr:uid="{B7560238-E428-4DBE-B985-8F74E01ED527}" sqref="D28" showErrorMessage="1" errorTitle="An invalid feedback was entered" error="Please choose feedback from drop down only.">
      <formula1>"Yes,No,FlexRET"</formula1>
    </dataValidation>
    <dataValidation type="list" xr:uid="{4DC9761E-2892-4C95-BC8B-C4A86E785B11}" sqref="E28" showErrorMessage="1" errorTitle="An invalid feedback was entered" error="Please choose feedback from drop down only.">
      <formula1>"Yes,No,FlexRET"</formula1>
    </dataValidation>
    <dataValidation type="list" xr:uid="{2A6B1B5E-DA5F-4B93-9EC9-3130029EBD87}" sqref="F28" showErrorMessage="1" errorTitle="An invalid feedback was entered" error="Please choose feedback from drop down only.">
      <formula1>"Yes,No,FlexRET"</formula1>
    </dataValidation>
    <dataValidation type="list" xr:uid="{54B93A5C-9094-4C70-8207-43710CF97FAA}" sqref="G28" showErrorMessage="1" errorTitle="An invalid feedback was entered" error="Please choose feedback from drop down only.">
      <formula1>"Yes,No,FlexRET"</formula1>
    </dataValidation>
    <dataValidation type="list" xr:uid="{0E43F91C-E9EB-4A87-8C91-EA60133236DC}" sqref="H28" showErrorMessage="1" errorTitle="An invalid feedback was entered" error="Please choose feedback from drop down only.">
      <formula1>"Yes,No,FlexRET"</formula1>
    </dataValidation>
    <dataValidation type="list" xr:uid="{86F40236-7BD5-432A-8540-0CFAF705F45D}" sqref="I28" showErrorMessage="1" errorTitle="An invalid feedback was entered" error="Please choose feedback from drop down only.">
      <formula1>"Yes,No,FlexRET"</formula1>
    </dataValidation>
    <dataValidation type="list" xr:uid="{CCAB3F40-FAE7-41AB-B214-3A269942C098}" sqref="J28" showErrorMessage="1" errorTitle="An invalid feedback was entered" error="Please choose feedback from drop down only.">
      <formula1>"Yes,No,FlexRET"</formula1>
    </dataValidation>
    <dataValidation type="list" xr:uid="{E2CE954B-9BDF-4310-AA24-37F92A3C5926}" sqref="K28" showErrorMessage="1" errorTitle="An invalid feedback was entered" error="Please choose feedback from drop down only.">
      <formula1>"Yes,No,FlexRET"</formula1>
    </dataValidation>
    <dataValidation type="list" xr:uid="{5440F207-432F-4820-9DFE-C6B587261B54}" sqref="L28" showErrorMessage="1" errorTitle="An invalid feedback was entered" error="Please choose feedback from drop down only.">
      <formula1>"Yes,No,FlexRET"</formula1>
    </dataValidation>
    <dataValidation type="list" xr:uid="{3D7D0824-84C7-43BA-881F-59E6725C7603}" sqref="M28" showErrorMessage="1" errorTitle="An invalid feedback was entered" error="Please choose feedback from drop down only.">
      <formula1>"Yes,No,FlexRET"</formula1>
    </dataValidation>
    <dataValidation type="list" xr:uid="{EEABFDD4-59AB-4149-95AB-4929966A8134}" sqref="N28" showErrorMessage="1" errorTitle="An invalid feedback was entered" error="Please choose feedback from drop down only.">
      <formula1>"Yes,No,FlexRET"</formula1>
    </dataValidation>
    <dataValidation type="list" xr:uid="{3EF109F2-A59B-4967-BE28-49162415DCF0}" sqref="O28" showErrorMessage="1" errorTitle="An invalid feedback was entered" error="Please choose feedback from drop down only.">
      <formula1>"Yes,No,FlexRET"</formula1>
    </dataValidation>
    <dataValidation type="list" xr:uid="{738482FA-4E1C-41AE-B5EA-B5B64DC1973A}" sqref="P28" showErrorMessage="1" errorTitle="An invalid feedback was entered" error="Please choose feedback from drop down only.">
      <formula1>"Yes,No,FlexRET"</formula1>
    </dataValidation>
    <dataValidation type="list" xr:uid="{373DD965-CECC-42DA-B348-16ADD1032C51}" sqref="Q28" showErrorMessage="1" errorTitle="An invalid feedback was entered" error="Please choose feedback from drop down only.">
      <formula1>"Yes,No,FlexRET"</formula1>
    </dataValidation>
    <dataValidation type="list" xr:uid="{88A2C7C5-0931-49AA-BBC5-C2AF12B7DE48}" sqref="C29" showErrorMessage="1" errorTitle="An invalid feedback was entered" error="Please choose feedback from drop down only.">
      <formula1>"Yes,No,FlexRET"</formula1>
    </dataValidation>
    <dataValidation type="list" xr:uid="{1D25E212-4426-4E6C-8942-D143CD5354D3}" sqref="D29" showErrorMessage="1" errorTitle="An invalid feedback was entered" error="Please choose feedback from drop down only.">
      <formula1>"Yes,No,FlexRET"</formula1>
    </dataValidation>
    <dataValidation type="list" xr:uid="{45A83D91-3F80-4603-AC4D-CC6E9E455B79}" sqref="E29" showErrorMessage="1" errorTitle="An invalid feedback was entered" error="Please choose feedback from drop down only.">
      <formula1>"Yes,No,FlexRET"</formula1>
    </dataValidation>
    <dataValidation type="list" xr:uid="{24AB8220-2936-4BAA-A5E9-3BEA3E76F1AC}" sqref="F29" showErrorMessage="1" errorTitle="An invalid feedback was entered" error="Please choose feedback from drop down only.">
      <formula1>"Yes,No,FlexRET"</formula1>
    </dataValidation>
    <dataValidation type="list" xr:uid="{24FCD4D6-ED87-4C7D-A026-E9DBAFEDB619}" sqref="G29" showErrorMessage="1" errorTitle="An invalid feedback was entered" error="Please choose feedback from drop down only.">
      <formula1>"Yes,No,FlexRET"</formula1>
    </dataValidation>
    <dataValidation type="list" xr:uid="{607033DE-C744-4466-BB00-4D478D7AA43B}" sqref="H29" showErrorMessage="1" errorTitle="An invalid feedback was entered" error="Please choose feedback from drop down only.">
      <formula1>"Yes,No,FlexRET"</formula1>
    </dataValidation>
    <dataValidation type="list" xr:uid="{8A92E2E6-4E41-40B9-93E4-41AE259C6CC6}" sqref="I29" showErrorMessage="1" errorTitle="An invalid feedback was entered" error="Please choose feedback from drop down only.">
      <formula1>"Yes,No,FlexRET"</formula1>
    </dataValidation>
    <dataValidation type="list" xr:uid="{E4D5CCA0-02B2-44FE-8A67-7068C81639CB}" sqref="J29" showErrorMessage="1" errorTitle="An invalid feedback was entered" error="Please choose feedback from drop down only.">
      <formula1>"Yes,No,FlexRET"</formula1>
    </dataValidation>
    <dataValidation type="list" xr:uid="{BF7BFDF2-50CA-4EE1-9F8D-034F0F4D3661}" sqref="K29" showErrorMessage="1" errorTitle="An invalid feedback was entered" error="Please choose feedback from drop down only.">
      <formula1>"Yes,No,FlexRET"</formula1>
    </dataValidation>
    <dataValidation type="list" xr:uid="{9DD6EFE8-5F5A-420E-B607-C8E4F9695699}" sqref="L29" showErrorMessage="1" errorTitle="An invalid feedback was entered" error="Please choose feedback from drop down only.">
      <formula1>"Yes,No,FlexRET"</formula1>
    </dataValidation>
    <dataValidation type="list" xr:uid="{F1046816-38A3-4C07-895E-A8FBE7F89CDB}" sqref="M29" showErrorMessage="1" errorTitle="An invalid feedback was entered" error="Please choose feedback from drop down only.">
      <formula1>"Yes,No,FlexRET"</formula1>
    </dataValidation>
    <dataValidation type="list" xr:uid="{CC8C92F3-92A6-4F3C-B9F7-8D21399ED2F7}" sqref="N29" showErrorMessage="1" errorTitle="An invalid feedback was entered" error="Please choose feedback from drop down only.">
      <formula1>"Yes,No,FlexRET"</formula1>
    </dataValidation>
    <dataValidation type="list" xr:uid="{1C2FEAA4-0DC9-4152-B097-4859F475A5DD}" sqref="O29" showErrorMessage="1" errorTitle="An invalid feedback was entered" error="Please choose feedback from drop down only.">
      <formula1>"Yes,No,FlexRET"</formula1>
    </dataValidation>
    <dataValidation type="list" xr:uid="{972FC1E5-6B00-4999-9203-71AEC84F3089}" sqref="P29" showErrorMessage="1" errorTitle="An invalid feedback was entered" error="Please choose feedback from drop down only.">
      <formula1>"Yes,No,FlexRET"</formula1>
    </dataValidation>
    <dataValidation type="list" xr:uid="{08776E56-F1DC-4646-A3CB-8D856D44DEEC}" sqref="Q29" showErrorMessage="1" errorTitle="An invalid feedback was entered" error="Please choose feedback from drop down only.">
      <formula1>"Yes,No,FlexRET"</formula1>
    </dataValidation>
    <dataValidation type="list" xr:uid="{C5DA816E-BAA7-4A16-B289-B5D179CBBD0A}" sqref="C25" showErrorMessage="1" errorTitle="An invalid feedback was entered" error="Please choose feedback from drop down only.">
      <formula1>"G,U,L,NR,GU,UL,GL,GUL,LNR,ULNR,None"</formula1>
    </dataValidation>
    <dataValidation type="list" xr:uid="{90E5635F-F18B-473E-A3BC-513E5CC85CFD}" sqref="D25" showErrorMessage="1" errorTitle="An invalid feedback was entered" error="Please choose feedback from drop down only.">
      <formula1>"G,U,L,NR,GU,UL,GL,GUL,LNR,ULNR,None"</formula1>
    </dataValidation>
    <dataValidation type="list" xr:uid="{6F2E1BF0-AE1C-4BE4-B413-9CA22C67C87F}" sqref="E25" showErrorMessage="1" errorTitle="An invalid feedback was entered" error="Please choose feedback from drop down only.">
      <formula1>"G,U,L,NR,GU,UL,GL,GUL,LNR,ULNR,None"</formula1>
    </dataValidation>
    <dataValidation type="list" xr:uid="{8BD3E10B-E74A-4352-B1F7-D1CD01FABFED}" sqref="F25" showErrorMessage="1" errorTitle="An invalid feedback was entered" error="Please choose feedback from drop down only.">
      <formula1>"G,U,L,NR,GU,UL,GL,GUL,LNR,ULNR,None"</formula1>
    </dataValidation>
    <dataValidation type="list" xr:uid="{6AE43784-7FEE-4503-94DD-6FBF5C0684B5}" sqref="G25" showErrorMessage="1" errorTitle="An invalid feedback was entered" error="Please choose feedback from drop down only.">
      <formula1>"G,U,L,NR,GU,UL,GL,GUL,LNR,ULNR,None"</formula1>
    </dataValidation>
    <dataValidation type="list" xr:uid="{BA15B90A-7A62-49C3-AC44-4C978493D258}" sqref="H25" showErrorMessage="1" errorTitle="An invalid feedback was entered" error="Please choose feedback from drop down only.">
      <formula1>"G,U,L,NR,GU,UL,GL,GUL,LNR,ULNR,None"</formula1>
    </dataValidation>
    <dataValidation type="list" xr:uid="{91ACA8B8-9D85-4DB4-B9B5-B6CFFC0F82B2}" sqref="I25" showErrorMessage="1" errorTitle="An invalid feedback was entered" error="Please choose feedback from drop down only.">
      <formula1>"G,U,L,NR,GU,UL,GL,GUL,LNR,ULNR,None"</formula1>
    </dataValidation>
    <dataValidation type="list" xr:uid="{83514A4B-58F8-445C-B751-ACA19A1253A2}" sqref="J25" showErrorMessage="1" errorTitle="An invalid feedback was entered" error="Please choose feedback from drop down only.">
      <formula1>"G,U,L,NR,GU,UL,GL,GUL,LNR,ULNR,None"</formula1>
    </dataValidation>
    <dataValidation type="list" xr:uid="{00257960-118F-4827-8123-B656C4749CC8}" sqref="K25" showErrorMessage="1" errorTitle="An invalid feedback was entered" error="Please choose feedback from drop down only.">
      <formula1>"G,U,L,NR,GU,UL,GL,GUL,LNR,ULNR,None"</formula1>
    </dataValidation>
    <dataValidation type="list" xr:uid="{A847D32F-E966-4352-8E9F-69942F0259CB}" sqref="L25" showErrorMessage="1" errorTitle="An invalid feedback was entered" error="Please choose feedback from drop down only.">
      <formula1>"G,U,L,NR,GU,UL,GL,GUL,LNR,ULNR,None"</formula1>
    </dataValidation>
    <dataValidation type="list" xr:uid="{6B6153B4-EF36-4C9C-9755-50B0620B39F5}" sqref="M25" showErrorMessage="1" errorTitle="An invalid feedback was entered" error="Please choose feedback from drop down only.">
      <formula1>"G,U,L,NR,GU,UL,GL,GUL,LNR,ULNR,None"</formula1>
    </dataValidation>
    <dataValidation type="list" xr:uid="{1016A2FE-67C2-4E61-9AE9-69D81333CE31}" sqref="N25" showErrorMessage="1" errorTitle="An invalid feedback was entered" error="Please choose feedback from drop down only.">
      <formula1>"G,U,L,NR,GU,UL,GL,GUL,LNR,ULNR,None"</formula1>
    </dataValidation>
    <dataValidation type="list" xr:uid="{F1FEFEF8-1DF9-4E33-8412-6236CE450E6A}" sqref="O25" showErrorMessage="1" errorTitle="An invalid feedback was entered" error="Please choose feedback from drop down only.">
      <formula1>"G,U,L,NR,GU,UL,GL,GUL,LNR,ULNR,None"</formula1>
    </dataValidation>
    <dataValidation type="list" xr:uid="{67D9AE5C-B208-45C1-9F3F-CBADE3B78A44}" sqref="P25" showErrorMessage="1" errorTitle="An invalid feedback was entered" error="Please choose feedback from drop down only.">
      <formula1>"G,U,L,NR,GU,UL,GL,GUL,LNR,ULNR,None"</formula1>
    </dataValidation>
    <dataValidation type="list" xr:uid="{F0E66465-EB5F-48FC-B9FA-A5A871B0A10A}" sqref="Q25" showErrorMessage="1" errorTitle="An invalid feedback was entered" error="Please choose feedback from drop down only.">
      <formula1>"G,U,L,NR,GU,UL,GL,GUL,LNR,ULNR,None"</formula1>
    </dataValidation>
    <dataValidation type="list" xr:uid="{C3FBBCEB-4C4F-4EA5-8472-E7EE1EFCBCB5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3D38A5-B2DA-485E-A937-596F315AAE9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7B1DAEB-5DBF-4280-89DC-4FF7941724B6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BC08144-7E06-44E1-A549-5B106F888B73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285A41B-2818-4370-82D3-9D3ABD454046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FF78F64-5CE2-4C55-BC5B-D69CCBFA239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0966AC3-CE04-436D-A2CA-BC96FC913955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39D710-E656-45E7-9C86-0A16D2965ED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845EBD-27DC-469E-BB8E-BBE413E1C87B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6500EEC-98D5-4382-B2E6-980A4617AD11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16B9F7B-5475-4E35-BB94-0FD19DB86EE3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FEB2A57-78CA-4192-8D68-AF122EA772EE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C5D7EF-34AB-4EAA-BBDD-648F37FBDFAA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B67390-B881-4A66-ACB5-127E84247B7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B15EAD-2504-430A-90E5-80AB8550274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54D55DC6-D339-4B00-A8B9-1A5920DB3ED8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6DB9B24-43B8-43BF-962A-6F04B807B2C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A3571964-E4BC-4339-8888-1526612CB8F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27BF777-6144-45C6-A6FC-327818975439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68DD2BF9-EB44-4DD3-8ED3-6F57D20DDA9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2A63202-3904-43A6-8C81-03918CB19B07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77C0F4A-4767-4130-B075-4984F79A659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AACD906C-4AED-4EC3-8291-357629838484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50E922A-733F-4A81-AB49-ED99C6111A68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082B0D1-1CB9-4F99-A4C4-2F88ED3C3E37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9221CFCA-CE3D-40BB-A094-B61B2C886B4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0C6B1663-35DC-4610-B2D2-B70C41D7DAB6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BDEA3CC-3E5C-47FC-AB79-9FE60A928E0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086BC261-E6A8-4C16-A309-5857D6E5B511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543A7305-BF44-4195-85BA-D14E8A8C33E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DF6793A-F222-4467-83BE-9583E1A9529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E0E8BAD-FA73-4F7B-890E-60E36D52BE5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5504CADA-A353-4F88-8C55-9CA06C3D6BB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607D5358-0A15-43EF-AA05-93B49BD672A8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5D8508CC-BD47-4A8D-BD4D-A31AA706B31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952091E8-465F-445F-9BBE-0FEE0566BF1F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43DD869E-DA63-4ABD-A2E8-610FC132EDB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3BBBA052-8989-4651-99AE-2A3DCB8AEBD7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6E3AF25-E080-41F8-BF2D-D2186981CBD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0BFBD68-415A-4352-BF84-547CF935743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8EE69144-CFF8-4F0C-845F-60E2A023B62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372AA1BF-F611-4B28-A4EF-0B740E6FFEF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F3C00F29-F93A-4939-9B67-B655C8BAC1A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610F075-7066-40EB-AFD5-C5DAC0EDE7E1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723E593B-8EE1-4C28-B270-D2B0CEA64988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DA01C167-8E94-4DB1-9FAD-4D788E7A3254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3604D1D-00C4-4EDF-B149-1D1511B9CBF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2D56A098-A808-460A-A675-C3BF7AD26FC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50CB9CC-4979-41E2-9F96-EADD9BB63464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8914B48-BD4B-412B-849B-3B5BFB5540BE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B658F12-82DE-4673-8E29-783F11CE04CD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85FC4344-308A-433C-884B-213C36E782C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F5C4BDBA-601B-4B43-9644-820458E3BF0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99D0A84D-86D7-4B85-92D5-D64DFC868E2B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A2FD41F-C7E2-4924-A757-9977A7108F0B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1AE09F9-4D6C-4147-8700-C22B8DEDE9B7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CC7385BF-31D3-488F-93BB-D6A1929AFA43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CFA5BEA-09CC-4C6E-8711-62102F08C00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C9565AC2-5BAC-4480-AAF2-6A0166F4BDF3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74A0C2DF-10B4-4FB6-BE0C-BC7EC8552F1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70FDECF-F9FE-4542-A37E-C51EB3873C3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231362C-B746-4919-9DF1-D48297BD5F8F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01758A41-AA8F-4683-9AEA-E7683E918B50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75EC8FD9-52D9-4856-A386-1D2CCD9CD946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C40491E6-8259-4B65-9ECE-08582CFF42CE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3C8B76C-B4B7-4538-AC68-E2176322BD8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AB3131B-0FCB-4800-A734-8437C628D7BA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9C165C8-F79C-4DA1-8960-967EF5CD52A4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429CC53C-8E36-4258-A525-9141C55084CE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67DDEF9C-E32A-4436-B249-751A29CF7CA5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B503F5F-AD4F-49B7-AB25-BAB9AE74D677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D6BBB6B7-D4F5-494C-9474-84AFF02FDEDB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EFB983-2BE9-48B0-A0A8-89B9E96C40CC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25BF95A-1713-4149-B01E-486CEB983A9B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A05C13A9-D18F-439B-94F7-E2E59731C0A3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3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7" t="s">
        <v>69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>
        <v>150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1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0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1"/>
    </row>
    <row r="11" ht="17.25">
      <c r="A11" s="241"/>
      <c r="B11" s="8" t="s">
        <v>12</v>
      </c>
      <c r="C11" s="211">
        <v>39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0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1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0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2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3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6</v>
      </c>
      <c r="E26" s="24">
        <v>5</v>
      </c>
      <c r="F26" s="24">
        <v>0</v>
      </c>
      <c r="G26" s="24">
        <v>5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4</v>
      </c>
      <c r="E32" s="25">
        <v>4</v>
      </c>
      <c r="F32" s="25">
        <v>0</v>
      </c>
      <c r="G32" s="25">
        <v>4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3:P3"/>
    <mergeCell ref="C4:P4"/>
    <mergeCell ref="C5:P5"/>
    <mergeCell ref="C6:P6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47F0A57A-578D-4519-94AA-89B8B387C57C}" sqref="C2" showErrorMessage="1" errorTitle="An invalid feedback was entered" error="Please choose feedback from drop down only.">
      <formula1>"1,2,3"</formula1>
    </dataValidation>
    <dataValidation type="list" xr:uid="{43CA6D0C-D78A-4B76-BBCC-5F1DE518B4A7}" sqref="D2" showErrorMessage="1" errorTitle="An invalid feedback was entered" error="Please choose feedback from drop down only.">
      <formula1>"1,2,3"</formula1>
    </dataValidation>
    <dataValidation type="list" xr:uid="{4BD05613-80B7-44AF-95B6-824908EC65A7}" sqref="E2" showErrorMessage="1" errorTitle="An invalid feedback was entered" error="Please choose feedback from drop down only.">
      <formula1>"1,2,3"</formula1>
    </dataValidation>
    <dataValidation type="list" xr:uid="{059253CF-92EE-4751-83B9-C3A9553827CD}" sqref="F2" showErrorMessage="1" errorTitle="An invalid feedback was entered" error="Please choose feedback from drop down only.">
      <formula1>"1,2,3"</formula1>
    </dataValidation>
    <dataValidation type="list" xr:uid="{795C0ACC-9F66-4ED4-A80F-E53B7CD9CD43}" sqref="G2" showErrorMessage="1" errorTitle="An invalid feedback was entered" error="Please choose feedback from drop down only.">
      <formula1>"1,2,3"</formula1>
    </dataValidation>
    <dataValidation type="list" xr:uid="{9E391DAB-F01B-4D6E-80DB-56F83CE554DD}" sqref="H2" showErrorMessage="1" errorTitle="An invalid feedback was entered" error="Please choose feedback from drop down only.">
      <formula1>"1,2,3"</formula1>
    </dataValidation>
    <dataValidation type="list" xr:uid="{9AB68041-BF49-4647-AE8F-C2CCA181B346}" sqref="I2" showErrorMessage="1" errorTitle="An invalid feedback was entered" error="Please choose feedback from drop down only.">
      <formula1>"1,2,3"</formula1>
    </dataValidation>
    <dataValidation type="list" xr:uid="{265781A7-2662-4837-B50A-76D97FC2E7BF}" sqref="J2" showErrorMessage="1" errorTitle="An invalid feedback was entered" error="Please choose feedback from drop down only.">
      <formula1>"1,2,3"</formula1>
    </dataValidation>
    <dataValidation type="list" xr:uid="{D66ED56E-E905-40CB-95FE-0C0448A409D4}" sqref="K2" showErrorMessage="1" errorTitle="An invalid feedback was entered" error="Please choose feedback from drop down only.">
      <formula1>"1,2,3"</formula1>
    </dataValidation>
    <dataValidation type="list" xr:uid="{95EAFCF9-FA47-45FF-8FE8-2536DB34376A}" sqref="L2" showErrorMessage="1" errorTitle="An invalid feedback was entered" error="Please choose feedback from drop down only.">
      <formula1>"1,2,3"</formula1>
    </dataValidation>
    <dataValidation type="list" xr:uid="{00B0E62A-0155-4603-8A18-65F6A875A995}" sqref="M2" showErrorMessage="1" errorTitle="An invalid feedback was entered" error="Please choose feedback from drop down only.">
      <formula1>"1,2,3"</formula1>
    </dataValidation>
    <dataValidation type="list" xr:uid="{4D3CD053-C031-46AC-BDB4-46E506115EA6}" sqref="N2" showErrorMessage="1" errorTitle="An invalid feedback was entered" error="Please choose feedback from drop down only.">
      <formula1>"1,2,3"</formula1>
    </dataValidation>
    <dataValidation type="list" xr:uid="{C8CFC5BB-2F8F-4B84-8115-525AA8F1BD8E}" sqref="O2" showErrorMessage="1" errorTitle="An invalid feedback was entered" error="Please choose feedback from drop down only.">
      <formula1>"1,2,3"</formula1>
    </dataValidation>
    <dataValidation type="list" xr:uid="{B2FB575B-18DF-4D39-B8C2-0425324A28ED}" sqref="P2" showErrorMessage="1" errorTitle="An invalid feedback was entered" error="Please choose feedback from drop down only.">
      <formula1>"1,2,3"</formula1>
    </dataValidation>
    <dataValidation type="list" xr:uid="{B1C8AE55-FCCF-4874-BF83-FC260C47AB7E}" sqref="Q2" showErrorMessage="1" errorTitle="An invalid feedback was entered" error="Please choose feedback from drop down only.">
      <formula1>"1,2,3"</formula1>
    </dataValidation>
    <dataValidation type="list" xr:uid="{B51E9EC4-7920-4577-B347-4CC4061FF6BA}" sqref="C17" showErrorMessage="1" errorTitle="An invalid feedback was entered" error="Please choose feedback from drop down only.">
      <formula1>"1-2,3-4,5-6,7-8,9-10,N/A"</formula1>
    </dataValidation>
    <dataValidation type="list" xr:uid="{186ACDE8-AB68-40FB-8921-795CD73D664F}" sqref="D17" showErrorMessage="1" errorTitle="An invalid feedback was entered" error="Please choose feedback from drop down only.">
      <formula1>"1-2,3-4,5-6,7-8,9-10,N/A"</formula1>
    </dataValidation>
    <dataValidation type="list" xr:uid="{FFA0ABD1-43DD-4A21-8D7B-FD41F2B3ACF5}" sqref="E17" showErrorMessage="1" errorTitle="An invalid feedback was entered" error="Please choose feedback from drop down only.">
      <formula1>"1-2,3-4,5-6,7-8,9-10,N/A"</formula1>
    </dataValidation>
    <dataValidation type="list" xr:uid="{D604CC38-FA6E-44E9-965A-AEC36BFEF8AE}" sqref="F17" showErrorMessage="1" errorTitle="An invalid feedback was entered" error="Please choose feedback from drop down only.">
      <formula1>"1-2,3-4,5-6,7-8,9-10,N/A"</formula1>
    </dataValidation>
    <dataValidation type="list" xr:uid="{7164B49B-A9D7-4088-9A9C-C6D4410B9B43}" sqref="G17" showErrorMessage="1" errorTitle="An invalid feedback was entered" error="Please choose feedback from drop down only.">
      <formula1>"1-2,3-4,5-6,7-8,9-10,N/A"</formula1>
    </dataValidation>
    <dataValidation type="list" xr:uid="{E6124F25-F55C-435D-930B-C3B8523446A6}" sqref="H17" showErrorMessage="1" errorTitle="An invalid feedback was entered" error="Please choose feedback from drop down only.">
      <formula1>"1-2,3-4,5-6,7-8,9-10,N/A"</formula1>
    </dataValidation>
    <dataValidation type="list" xr:uid="{CA5ED6B2-1396-4CA8-8B56-C860D334AD26}" sqref="I17" showErrorMessage="1" errorTitle="An invalid feedback was entered" error="Please choose feedback from drop down only.">
      <formula1>"1-2,3-4,5-6,7-8,9-10,N/A"</formula1>
    </dataValidation>
    <dataValidation type="list" xr:uid="{B39EB242-8579-431B-B0FD-BE0661AAE53A}" sqref="J17" showErrorMessage="1" errorTitle="An invalid feedback was entered" error="Please choose feedback from drop down only.">
      <formula1>"1-2,3-4,5-6,7-8,9-10,N/A"</formula1>
    </dataValidation>
    <dataValidation type="list" xr:uid="{97E13729-6D5E-456B-927E-7EEBF209D5D9}" sqref="K17" showErrorMessage="1" errorTitle="An invalid feedback was entered" error="Please choose feedback from drop down only.">
      <formula1>"1-2,3-4,5-6,7-8,9-10,N/A"</formula1>
    </dataValidation>
    <dataValidation type="list" xr:uid="{EFCF4973-2DB1-4CFE-ABC3-2F6785A8B41E}" sqref="L17" showErrorMessage="1" errorTitle="An invalid feedback was entered" error="Please choose feedback from drop down only.">
      <formula1>"1-2,3-4,5-6,7-8,9-10,N/A"</formula1>
    </dataValidation>
    <dataValidation type="list" xr:uid="{AF0F2708-6037-4145-AB0F-E16B07ED67DC}" sqref="M17" showErrorMessage="1" errorTitle="An invalid feedback was entered" error="Please choose feedback from drop down only.">
      <formula1>"1-2,3-4,5-6,7-8,9-10,N/A"</formula1>
    </dataValidation>
    <dataValidation type="list" xr:uid="{8D9B5CFE-D920-4CFB-BA71-950D45ADE82F}" sqref="N17" showErrorMessage="1" errorTitle="An invalid feedback was entered" error="Please choose feedback from drop down only.">
      <formula1>"1-2,3-4,5-6,7-8,9-10,N/A"</formula1>
    </dataValidation>
    <dataValidation type="list" xr:uid="{24E99F91-57A4-4320-8C50-679C84431C78}" sqref="O17" showErrorMessage="1" errorTitle="An invalid feedback was entered" error="Please choose feedback from drop down only.">
      <formula1>"1-2,3-4,5-6,7-8,9-10,N/A"</formula1>
    </dataValidation>
    <dataValidation type="list" xr:uid="{C9913568-EAE1-4496-938F-C3D89218BAD5}" sqref="P17" showErrorMessage="1" errorTitle="An invalid feedback was entered" error="Please choose feedback from drop down only.">
      <formula1>"1-2,3-4,5-6,7-8,9-10,N/A"</formula1>
    </dataValidation>
    <dataValidation type="list" xr:uid="{C26138A7-F020-4825-ABAF-F5A56A4C3741}" sqref="Q17" showErrorMessage="1" errorTitle="An invalid feedback was entered" error="Please choose feedback from drop down only.">
      <formula1>"1-2,3-4,5-6,7-8,9-10,N/A"</formula1>
    </dataValidation>
    <dataValidation type="list" xr:uid="{83F81CD4-D50F-487D-935D-7C2298D29A4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A9804E1C-513F-4F2D-B9B1-3EC960B8C08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06EC27ED-9BE2-47A5-BBFA-B66631E78EB7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528B8068-F9F0-462C-AC23-C156A346AEE3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CDC78459-3475-4A9D-9A42-12FE713B56F8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F6FB6D41-C2EB-4928-A6AA-DF4F7B2920E4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A181652D-C8DA-4AD4-9277-B35E043ADF97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CC25AD96-2F89-4CBF-96F3-DBF7B586AA8E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AED5C4F8-FE58-4F0E-BAEA-8950D3CBBD6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4432052-3433-4F69-9457-34C813BCB648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AACACBC2-FB77-4479-A432-9B44CA10B8D5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46D97257-7D72-468A-BFB0-93F86949D6E8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545445D-9797-4F8F-BF12-889AF2A19E6E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3B70048B-4D29-4605-8ECC-836C2F4DAF70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1993836-10F8-47AC-AE00-0F9B5647E25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E4CDC4CD-63F8-44C5-B271-56E2055DA98D}" sqref="C23" showErrorMessage="1" errorTitle="An invalid feedback was entered" error="Please choose feedback from drop down only.">
      <formula1>"Yetel,Bulsatcom,A1,Yetel&amp;A1,N/A"</formula1>
    </dataValidation>
    <dataValidation type="list" xr:uid="{BA0F6419-72DF-41AF-884B-CEA7E4FEBFB4}" sqref="D23" showErrorMessage="1" errorTitle="An invalid feedback was entered" error="Please choose feedback from drop down only.">
      <formula1>"Yetel,Bulsatcom,A1,Yetel&amp;A1,N/A"</formula1>
    </dataValidation>
    <dataValidation type="list" xr:uid="{4A8BE5AC-4E24-4035-82DF-6CD8007426DA}" sqref="E23" showErrorMessage="1" errorTitle="An invalid feedback was entered" error="Please choose feedback from drop down only.">
      <formula1>"Yetel,Bulsatcom,A1,Yetel&amp;A1,N/A"</formula1>
    </dataValidation>
    <dataValidation type="list" xr:uid="{4DBC946E-0654-4487-967B-95BAF3CAD888}" sqref="F23" showErrorMessage="1" errorTitle="An invalid feedback was entered" error="Please choose feedback from drop down only.">
      <formula1>"Yetel,Bulsatcom,A1,Yetel&amp;A1,N/A"</formula1>
    </dataValidation>
    <dataValidation type="list" xr:uid="{495B78B0-D71D-4914-A7DB-752E57B1DFED}" sqref="G23" showErrorMessage="1" errorTitle="An invalid feedback was entered" error="Please choose feedback from drop down only.">
      <formula1>"Yetel,Bulsatcom,A1,Yetel&amp;A1,N/A"</formula1>
    </dataValidation>
    <dataValidation type="list" xr:uid="{C4FDE31D-BDAE-48CE-BD9A-405F2B8E306F}" sqref="H23" showErrorMessage="1" errorTitle="An invalid feedback was entered" error="Please choose feedback from drop down only.">
      <formula1>"Yetel,Bulsatcom,A1,Yetel&amp;A1,N/A"</formula1>
    </dataValidation>
    <dataValidation type="list" xr:uid="{6AFD7B45-1913-4DB9-9C6B-67B946686DCB}" sqref="I23" showErrorMessage="1" errorTitle="An invalid feedback was entered" error="Please choose feedback from drop down only.">
      <formula1>"Yetel,Bulsatcom,A1,Yetel&amp;A1,N/A"</formula1>
    </dataValidation>
    <dataValidation type="list" xr:uid="{4557228E-BDEA-4994-8172-10B13253AA77}" sqref="J23" showErrorMessage="1" errorTitle="An invalid feedback was entered" error="Please choose feedback from drop down only.">
      <formula1>"Yetel,Bulsatcom,A1,Yetel&amp;A1,N/A"</formula1>
    </dataValidation>
    <dataValidation type="list" xr:uid="{E798DB4C-9D9C-4408-9184-568FB22FBD8C}" sqref="K23" showErrorMessage="1" errorTitle="An invalid feedback was entered" error="Please choose feedback from drop down only.">
      <formula1>"Yetel,Bulsatcom,A1,Yetel&amp;A1,N/A"</formula1>
    </dataValidation>
    <dataValidation type="list" xr:uid="{F71E595D-7EA0-47FE-8B8D-B324062D36E5}" sqref="L23" showErrorMessage="1" errorTitle="An invalid feedback was entered" error="Please choose feedback from drop down only.">
      <formula1>"Yetel,Bulsatcom,A1,Yetel&amp;A1,N/A"</formula1>
    </dataValidation>
    <dataValidation type="list" xr:uid="{D12A88C5-135A-4765-90E1-8AF7A6268FCA}" sqref="M23" showErrorMessage="1" errorTitle="An invalid feedback was entered" error="Please choose feedback from drop down only.">
      <formula1>"Yetel,Bulsatcom,A1,Yetel&amp;A1,N/A"</formula1>
    </dataValidation>
    <dataValidation type="list" xr:uid="{9338C72E-FBC9-43A0-BB30-4DDC4409D5DC}" sqref="N23" showErrorMessage="1" errorTitle="An invalid feedback was entered" error="Please choose feedback from drop down only.">
      <formula1>"Yetel,Bulsatcom,A1,Yetel&amp;A1,N/A"</formula1>
    </dataValidation>
    <dataValidation type="list" xr:uid="{20D87D82-5A00-43FB-AAB7-7813FBCBDD98}" sqref="O23" showErrorMessage="1" errorTitle="An invalid feedback was entered" error="Please choose feedback from drop down only.">
      <formula1>"Yetel,Bulsatcom,A1,Yetel&amp;A1,N/A"</formula1>
    </dataValidation>
    <dataValidation type="list" xr:uid="{CD14A9EE-AF1E-4593-B9EC-C4973914B9E2}" sqref="P23" showErrorMessage="1" errorTitle="An invalid feedback was entered" error="Please choose feedback from drop down only.">
      <formula1>"Yetel,Bulsatcom,A1,Yetel&amp;A1,N/A"</formula1>
    </dataValidation>
    <dataValidation type="list" xr:uid="{4E686160-CA2D-4F15-88B6-F3F456F6D688}" sqref="Q23" showErrorMessage="1" errorTitle="An invalid feedback was entered" error="Please choose feedback from drop down only.">
      <formula1>"Yetel,Bulsatcom,A1,Yetel&amp;A1,N/A"</formula1>
    </dataValidation>
    <dataValidation type="list" xr:uid="{2CD4B1DF-93D6-4975-9F25-E26C9F4B85B7}" sqref="C31" showErrorMessage="1" errorTitle="An invalid feedback was entered" error="Please choose feedback from drop down only.">
      <formula1>"1/2,5/4,7/8,RRU TOP JUMPER,N/A"</formula1>
    </dataValidation>
    <dataValidation type="list" xr:uid="{793253C3-6B62-4D5D-9885-0DB025E04937}" sqref="D31" showErrorMessage="1" errorTitle="An invalid feedback was entered" error="Please choose feedback from drop down only.">
      <formula1>"1/2,5/4,7/8,RRU TOP JUMPER,N/A"</formula1>
    </dataValidation>
    <dataValidation type="list" xr:uid="{571848AE-92AF-4251-A3BD-373F5B155ED1}" sqref="E31" showErrorMessage="1" errorTitle="An invalid feedback was entered" error="Please choose feedback from drop down only.">
      <formula1>"1/2,5/4,7/8,RRU TOP JUMPER,N/A"</formula1>
    </dataValidation>
    <dataValidation type="list" xr:uid="{29AF3CFA-B427-4DEA-9CEF-18421AF05A8D}" sqref="F31" showErrorMessage="1" errorTitle="An invalid feedback was entered" error="Please choose feedback from drop down only.">
      <formula1>"1/2,5/4,7/8,RRU TOP JUMPER,N/A"</formula1>
    </dataValidation>
    <dataValidation type="list" xr:uid="{41CEB620-F014-448C-A8F5-B0DFCBC26D7B}" sqref="G31" showErrorMessage="1" errorTitle="An invalid feedback was entered" error="Please choose feedback from drop down only.">
      <formula1>"1/2,5/4,7/8,RRU TOP JUMPER,N/A"</formula1>
    </dataValidation>
    <dataValidation type="list" xr:uid="{4ED1F143-547F-4920-9FF5-66590F95D450}" sqref="H31" showErrorMessage="1" errorTitle="An invalid feedback was entered" error="Please choose feedback from drop down only.">
      <formula1>"1/2,5/4,7/8,RRU TOP JUMPER,N/A"</formula1>
    </dataValidation>
    <dataValidation type="list" xr:uid="{DE6A1ED8-3776-4D04-BD7E-2CE4AEDAF01C}" sqref="I31" showErrorMessage="1" errorTitle="An invalid feedback was entered" error="Please choose feedback from drop down only.">
      <formula1>"1/2,5/4,7/8,RRU TOP JUMPER,N/A"</formula1>
    </dataValidation>
    <dataValidation type="list" xr:uid="{786DC78E-D53C-4674-A742-79FC7D48DB19}" sqref="J31" showErrorMessage="1" errorTitle="An invalid feedback was entered" error="Please choose feedback from drop down only.">
      <formula1>"1/2,5/4,7/8,RRU TOP JUMPER,N/A"</formula1>
    </dataValidation>
    <dataValidation type="list" xr:uid="{1B5675E3-AEFF-40A9-8CBC-5D67FD3D0B73}" sqref="K31" showErrorMessage="1" errorTitle="An invalid feedback was entered" error="Please choose feedback from drop down only.">
      <formula1>"1/2,5/4,7/8,RRU TOP JUMPER,N/A"</formula1>
    </dataValidation>
    <dataValidation type="list" xr:uid="{D17EF857-03D9-4DB7-9A6C-86F9E9AD4FF3}" sqref="L31" showErrorMessage="1" errorTitle="An invalid feedback was entered" error="Please choose feedback from drop down only.">
      <formula1>"1/2,5/4,7/8,RRU TOP JUMPER,N/A"</formula1>
    </dataValidation>
    <dataValidation type="list" xr:uid="{9EC844E1-1036-4220-A356-ED44B85A2766}" sqref="M31" showErrorMessage="1" errorTitle="An invalid feedback was entered" error="Please choose feedback from drop down only.">
      <formula1>"1/2,5/4,7/8,RRU TOP JUMPER,N/A"</formula1>
    </dataValidation>
    <dataValidation type="list" xr:uid="{D34D76C8-208C-4334-9A3A-EED33666D797}" sqref="N31" showErrorMessage="1" errorTitle="An invalid feedback was entered" error="Please choose feedback from drop down only.">
      <formula1>"1/2,5/4,7/8,RRU TOP JUMPER,N/A"</formula1>
    </dataValidation>
    <dataValidation type="list" xr:uid="{25EABCB6-C6C7-46B0-A02B-5839437A76C1}" sqref="O31" showErrorMessage="1" errorTitle="An invalid feedback was entered" error="Please choose feedback from drop down only.">
      <formula1>"1/2,5/4,7/8,RRU TOP JUMPER,N/A"</formula1>
    </dataValidation>
    <dataValidation type="list" xr:uid="{2E611BB3-A7CD-4EB2-8637-F240AD4D6CF3}" sqref="P31" showErrorMessage="1" errorTitle="An invalid feedback was entered" error="Please choose feedback from drop down only.">
      <formula1>"1/2,5/4,7/8,RRU TOP JUMPER,N/A"</formula1>
    </dataValidation>
    <dataValidation type="list" xr:uid="{50C41E11-4758-416A-BD2F-327CA17109EB}" sqref="Q31" showErrorMessage="1" errorTitle="An invalid feedback was entered" error="Please choose feedback from drop down only.">
      <formula1>"1/2,5/4,7/8,RRU TOP JUMPER,N/A"</formula1>
    </dataValidation>
    <dataValidation type="list" xr:uid="{B340907C-339A-4F4B-9867-1BD67733488C}" sqref="C4" showErrorMessage="1" errorTitle="An invalid feedback was entered" error="Please choose feedback from drop down only.">
      <formula1>"1,2,3,4,5,6,N/A"</formula1>
    </dataValidation>
    <dataValidation type="list" xr:uid="{0C6402DE-056B-49CB-B22B-BD338D2B2018}" sqref="D4" showErrorMessage="1" errorTitle="An invalid feedback was entered" error="Please choose feedback from drop down only.">
      <formula1>"1,2,3,4,5,6,N/A"</formula1>
    </dataValidation>
    <dataValidation type="list" xr:uid="{D935F529-B8A3-493E-9302-5BB59F327C32}" sqref="E4" showErrorMessage="1" errorTitle="An invalid feedback was entered" error="Please choose feedback from drop down only.">
      <formula1>"1,2,3,4,5,6,N/A"</formula1>
    </dataValidation>
    <dataValidation type="list" xr:uid="{7E3B0B92-90C4-4B7D-93F2-C4EF31E2C876}" sqref="F4" showErrorMessage="1" errorTitle="An invalid feedback was entered" error="Please choose feedback from drop down only.">
      <formula1>"1,2,3,4,5,6,N/A"</formula1>
    </dataValidation>
    <dataValidation type="list" xr:uid="{CB82E757-6C2B-4001-BDEB-56CF59368960}" sqref="G4" showErrorMessage="1" errorTitle="An invalid feedback was entered" error="Please choose feedback from drop down only.">
      <formula1>"1,2,3,4,5,6,N/A"</formula1>
    </dataValidation>
    <dataValidation type="list" xr:uid="{2D7915DE-BFCE-4FF4-B73C-217DF7E2E633}" sqref="H4" showErrorMessage="1" errorTitle="An invalid feedback was entered" error="Please choose feedback from drop down only.">
      <formula1>"1,2,3,4,5,6,N/A"</formula1>
    </dataValidation>
    <dataValidation type="list" xr:uid="{B582608F-0A88-46D1-B881-7EF7F4BB8F11}" sqref="I4" showErrorMessage="1" errorTitle="An invalid feedback was entered" error="Please choose feedback from drop down only.">
      <formula1>"1,2,3,4,5,6,N/A"</formula1>
    </dataValidation>
    <dataValidation type="list" xr:uid="{6BE875B0-7AFE-414F-8382-682B848379C4}" sqref="J4" showErrorMessage="1" errorTitle="An invalid feedback was entered" error="Please choose feedback from drop down only.">
      <formula1>"1,2,3,4,5,6,N/A"</formula1>
    </dataValidation>
    <dataValidation type="list" xr:uid="{ECAB6066-010E-4EB3-9936-210C8B6A7258}" sqref="K4" showErrorMessage="1" errorTitle="An invalid feedback was entered" error="Please choose feedback from drop down only.">
      <formula1>"1,2,3,4,5,6,N/A"</formula1>
    </dataValidation>
    <dataValidation type="list" xr:uid="{26D15DF2-C289-466A-94DF-8B800E17ADA2}" sqref="L4" showErrorMessage="1" errorTitle="An invalid feedback was entered" error="Please choose feedback from drop down only.">
      <formula1>"1,2,3,4,5,6,N/A"</formula1>
    </dataValidation>
    <dataValidation type="list" xr:uid="{4C693707-8227-4716-A8D0-D257BCFEC6BA}" sqref="M4" showErrorMessage="1" errorTitle="An invalid feedback was entered" error="Please choose feedback from drop down only.">
      <formula1>"1,2,3,4,5,6,N/A"</formula1>
    </dataValidation>
    <dataValidation type="list" xr:uid="{041BE060-B5F7-4FB6-BD71-14BCFD6E49C9}" sqref="N4" showErrorMessage="1" errorTitle="An invalid feedback was entered" error="Please choose feedback from drop down only.">
      <formula1>"1,2,3,4,5,6,N/A"</formula1>
    </dataValidation>
    <dataValidation type="list" xr:uid="{65F94784-DC4C-46A0-8E14-F596F1EE64F8}" sqref="O4" showErrorMessage="1" errorTitle="An invalid feedback was entered" error="Please choose feedback from drop down only.">
      <formula1>"1,2,3,4,5,6,N/A"</formula1>
    </dataValidation>
    <dataValidation type="list" xr:uid="{3625B45A-A767-4563-B2F8-CEAF36EC89B6}" sqref="P4" showErrorMessage="1" errorTitle="An invalid feedback was entered" error="Please choose feedback from drop down only.">
      <formula1>"1,2,3,4,5,6,N/A"</formula1>
    </dataValidation>
    <dataValidation type="list" xr:uid="{57B3E78C-85C0-4770-8E95-78E7D959F08A}" sqref="Q4" showErrorMessage="1" errorTitle="An invalid feedback was entered" error="Please choose feedback from drop down only.">
      <formula1>"1,2,3,4,5,6,N/A"</formula1>
    </dataValidation>
    <dataValidation type="list" xr:uid="{DA8BFC57-2588-4387-A816-5B62B0A1AAD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9B5E630-FDDF-461F-ADC8-CFC7CD17C318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E27F859-B587-417B-8FAF-0E153DC3777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F6EBCD2-6EB9-42D2-8E7F-2D735E860BD9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E8D46DB-DB74-4BC4-B972-01D3D3D268F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A7B975-E735-4FD2-869A-9EDB780B11C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BF75998-A040-4E0D-849A-B0F0AAFCA39C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12A778F-1041-4475-898C-1C7A9DB6624E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12DEEDB-6F3B-40F0-BC8C-F393A7BA89E2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2E8E36-B2FA-4BE3-B4E2-5B0BD8FAA376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0C9E263-6075-4083-AF0F-C1BE6BC3B63F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A1E1E68-3FAB-4FF9-81A3-AAC2D87C1B0C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43A580-747B-489C-BBA4-157929664662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F47148F-1038-4CB9-839A-FA5DF8486C12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4B2C104-D9A1-472A-BB97-F89CB4DFAF7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20ABC5E-4A71-40F6-919A-8B15A1198698}" sqref="C28" showErrorMessage="1" errorTitle="An invalid feedback was entered" error="Please choose feedback from drop down only.">
      <formula1>"Yes,No,FlexRET"</formula1>
    </dataValidation>
    <dataValidation type="list" xr:uid="{7DBBABC1-D4AC-493B-A99B-CCB555F325CC}" sqref="D28" showErrorMessage="1" errorTitle="An invalid feedback was entered" error="Please choose feedback from drop down only.">
      <formula1>"Yes,No,FlexRET"</formula1>
    </dataValidation>
    <dataValidation type="list" xr:uid="{E7AC1A76-3A4C-43C3-AE4C-5555DD8D181F}" sqref="E28" showErrorMessage="1" errorTitle="An invalid feedback was entered" error="Please choose feedback from drop down only.">
      <formula1>"Yes,No,FlexRET"</formula1>
    </dataValidation>
    <dataValidation type="list" xr:uid="{748854E3-8EE4-4BF6-83AC-353A2B73A919}" sqref="F28" showErrorMessage="1" errorTitle="An invalid feedback was entered" error="Please choose feedback from drop down only.">
      <formula1>"Yes,No,FlexRET"</formula1>
    </dataValidation>
    <dataValidation type="list" xr:uid="{99D58D31-C962-4A2D-B74C-CDFF1B2DDAF9}" sqref="G28" showErrorMessage="1" errorTitle="An invalid feedback was entered" error="Please choose feedback from drop down only.">
      <formula1>"Yes,No,FlexRET"</formula1>
    </dataValidation>
    <dataValidation type="list" xr:uid="{27842743-DFF0-4970-82D1-AA735557AFEA}" sqref="H28" showErrorMessage="1" errorTitle="An invalid feedback was entered" error="Please choose feedback from drop down only.">
      <formula1>"Yes,No,FlexRET"</formula1>
    </dataValidation>
    <dataValidation type="list" xr:uid="{72F70A72-B292-420C-A4E3-44646A2AF837}" sqref="I28" showErrorMessage="1" errorTitle="An invalid feedback was entered" error="Please choose feedback from drop down only.">
      <formula1>"Yes,No,FlexRET"</formula1>
    </dataValidation>
    <dataValidation type="list" xr:uid="{E7B2EE00-643A-4DCA-943A-202E52A28F2F}" sqref="J28" showErrorMessage="1" errorTitle="An invalid feedback was entered" error="Please choose feedback from drop down only.">
      <formula1>"Yes,No,FlexRET"</formula1>
    </dataValidation>
    <dataValidation type="list" xr:uid="{8C54E35D-6DC2-4A7A-AC1B-D538DF260270}" sqref="K28" showErrorMessage="1" errorTitle="An invalid feedback was entered" error="Please choose feedback from drop down only.">
      <formula1>"Yes,No,FlexRET"</formula1>
    </dataValidation>
    <dataValidation type="list" xr:uid="{224DE3CF-F727-4A8D-9346-73702A194CA5}" sqref="L28" showErrorMessage="1" errorTitle="An invalid feedback was entered" error="Please choose feedback from drop down only.">
      <formula1>"Yes,No,FlexRET"</formula1>
    </dataValidation>
    <dataValidation type="list" xr:uid="{6BA8044E-C72F-43F1-BE98-2336D311D7E6}" sqref="M28" showErrorMessage="1" errorTitle="An invalid feedback was entered" error="Please choose feedback from drop down only.">
      <formula1>"Yes,No,FlexRET"</formula1>
    </dataValidation>
    <dataValidation type="list" xr:uid="{4A618D5F-1E51-478F-A8C8-621A25122DE4}" sqref="N28" showErrorMessage="1" errorTitle="An invalid feedback was entered" error="Please choose feedback from drop down only.">
      <formula1>"Yes,No,FlexRET"</formula1>
    </dataValidation>
    <dataValidation type="list" xr:uid="{1104B1D5-D1C9-467F-84D7-7352029022FF}" sqref="O28" showErrorMessage="1" errorTitle="An invalid feedback was entered" error="Please choose feedback from drop down only.">
      <formula1>"Yes,No,FlexRET"</formula1>
    </dataValidation>
    <dataValidation type="list" xr:uid="{332DF157-2470-4B92-83B1-5EAD82AF9526}" sqref="P28" showErrorMessage="1" errorTitle="An invalid feedback was entered" error="Please choose feedback from drop down only.">
      <formula1>"Yes,No,FlexRET"</formula1>
    </dataValidation>
    <dataValidation type="list" xr:uid="{5DAE87FC-4371-4352-900F-40A45B818CA6}" sqref="Q28" showErrorMessage="1" errorTitle="An invalid feedback was entered" error="Please choose feedback from drop down only.">
      <formula1>"Yes,No,FlexRET"</formula1>
    </dataValidation>
    <dataValidation type="list" xr:uid="{508A5984-E831-460E-9A82-E640B641F65C}" sqref="C29" showErrorMessage="1" errorTitle="An invalid feedback was entered" error="Please choose feedback from drop down only.">
      <formula1>"Yes,No,FlexRET"</formula1>
    </dataValidation>
    <dataValidation type="list" xr:uid="{58FC9FD3-3C45-4783-95D7-C5D1E2B52ED9}" sqref="D29" showErrorMessage="1" errorTitle="An invalid feedback was entered" error="Please choose feedback from drop down only.">
      <formula1>"Yes,No,FlexRET"</formula1>
    </dataValidation>
    <dataValidation type="list" xr:uid="{DBF587E5-2499-4779-8AB6-5152FAC5734C}" sqref="E29" showErrorMessage="1" errorTitle="An invalid feedback was entered" error="Please choose feedback from drop down only.">
      <formula1>"Yes,No,FlexRET"</formula1>
    </dataValidation>
    <dataValidation type="list" xr:uid="{BB905395-B7E5-4179-8A19-22700BEA1C6C}" sqref="F29" showErrorMessage="1" errorTitle="An invalid feedback was entered" error="Please choose feedback from drop down only.">
      <formula1>"Yes,No,FlexRET"</formula1>
    </dataValidation>
    <dataValidation type="list" xr:uid="{9CA14BAB-4D0B-4C3E-A8EC-4AB6DAF33D0F}" sqref="G29" showErrorMessage="1" errorTitle="An invalid feedback was entered" error="Please choose feedback from drop down only.">
      <formula1>"Yes,No,FlexRET"</formula1>
    </dataValidation>
    <dataValidation type="list" xr:uid="{7CB3895D-6425-425E-BEE4-5587900C1984}" sqref="H29" showErrorMessage="1" errorTitle="An invalid feedback was entered" error="Please choose feedback from drop down only.">
      <formula1>"Yes,No,FlexRET"</formula1>
    </dataValidation>
    <dataValidation type="list" xr:uid="{A660C180-4A3C-46DC-8A41-17BE585EF5FD}" sqref="I29" showErrorMessage="1" errorTitle="An invalid feedback was entered" error="Please choose feedback from drop down only.">
      <formula1>"Yes,No,FlexRET"</formula1>
    </dataValidation>
    <dataValidation type="list" xr:uid="{7A1CD1A8-CCAC-4A5D-B731-5DCEF6CEF0C0}" sqref="J29" showErrorMessage="1" errorTitle="An invalid feedback was entered" error="Please choose feedback from drop down only.">
      <formula1>"Yes,No,FlexRET"</formula1>
    </dataValidation>
    <dataValidation type="list" xr:uid="{2223FFFE-2CE4-4973-BB1D-9FDD29D1AFC3}" sqref="K29" showErrorMessage="1" errorTitle="An invalid feedback was entered" error="Please choose feedback from drop down only.">
      <formula1>"Yes,No,FlexRET"</formula1>
    </dataValidation>
    <dataValidation type="list" xr:uid="{A893ECC6-4DA0-4435-9F1A-5B4B50DB479A}" sqref="L29" showErrorMessage="1" errorTitle="An invalid feedback was entered" error="Please choose feedback from drop down only.">
      <formula1>"Yes,No,FlexRET"</formula1>
    </dataValidation>
    <dataValidation type="list" xr:uid="{12EE3EEB-BC98-4E09-9DA9-7D6B142E8AFA}" sqref="M29" showErrorMessage="1" errorTitle="An invalid feedback was entered" error="Please choose feedback from drop down only.">
      <formula1>"Yes,No,FlexRET"</formula1>
    </dataValidation>
    <dataValidation type="list" xr:uid="{E3F215D5-41AA-4053-ADCE-A00ABB69A1F5}" sqref="N29" showErrorMessage="1" errorTitle="An invalid feedback was entered" error="Please choose feedback from drop down only.">
      <formula1>"Yes,No,FlexRET"</formula1>
    </dataValidation>
    <dataValidation type="list" xr:uid="{5CD70EB1-EB32-41F1-9E65-6A87B1DC4257}" sqref="O29" showErrorMessage="1" errorTitle="An invalid feedback was entered" error="Please choose feedback from drop down only.">
      <formula1>"Yes,No,FlexRET"</formula1>
    </dataValidation>
    <dataValidation type="list" xr:uid="{93369922-299D-47B5-9E62-FCB0EE7731CD}" sqref="P29" showErrorMessage="1" errorTitle="An invalid feedback was entered" error="Please choose feedback from drop down only.">
      <formula1>"Yes,No,FlexRET"</formula1>
    </dataValidation>
    <dataValidation type="list" xr:uid="{0C397365-A5C8-452D-BD6E-4621948E2ABE}" sqref="Q29" showErrorMessage="1" errorTitle="An invalid feedback was entered" error="Please choose feedback from drop down only.">
      <formula1>"Yes,No,FlexRET"</formula1>
    </dataValidation>
    <dataValidation type="list" xr:uid="{1AEED8C9-EE50-4776-B422-CE6601E4D40E}" sqref="C25" showErrorMessage="1" errorTitle="An invalid feedback was entered" error="Please choose feedback from drop down only.">
      <formula1>"G,U,L,NR,GU,UL,GL,GUL,LNR,ULNR,None"</formula1>
    </dataValidation>
    <dataValidation type="list" xr:uid="{1028B764-BF57-435C-BB8A-4A7E55F72EA0}" sqref="D25" showErrorMessage="1" errorTitle="An invalid feedback was entered" error="Please choose feedback from drop down only.">
      <formula1>"G,U,L,NR,GU,UL,GL,GUL,LNR,ULNR,None"</formula1>
    </dataValidation>
    <dataValidation type="list" xr:uid="{D7DDA3BA-3E99-4C01-BF33-1801C3487865}" sqref="E25" showErrorMessage="1" errorTitle="An invalid feedback was entered" error="Please choose feedback from drop down only.">
      <formula1>"G,U,L,NR,GU,UL,GL,GUL,LNR,ULNR,None"</formula1>
    </dataValidation>
    <dataValidation type="list" xr:uid="{067AC9B7-F396-4C84-83E2-15DEBDC4AA50}" sqref="F25" showErrorMessage="1" errorTitle="An invalid feedback was entered" error="Please choose feedback from drop down only.">
      <formula1>"G,U,L,NR,GU,UL,GL,GUL,LNR,ULNR,None"</formula1>
    </dataValidation>
    <dataValidation type="list" xr:uid="{FAEE0FEC-C020-4901-B8D0-7FE8FFFA6EC0}" sqref="G25" showErrorMessage="1" errorTitle="An invalid feedback was entered" error="Please choose feedback from drop down only.">
      <formula1>"G,U,L,NR,GU,UL,GL,GUL,LNR,ULNR,None"</formula1>
    </dataValidation>
    <dataValidation type="list" xr:uid="{9FBE204F-896F-4D9B-949C-E2251DF5B280}" sqref="H25" showErrorMessage="1" errorTitle="An invalid feedback was entered" error="Please choose feedback from drop down only.">
      <formula1>"G,U,L,NR,GU,UL,GL,GUL,LNR,ULNR,None"</formula1>
    </dataValidation>
    <dataValidation type="list" xr:uid="{FAF8FF8B-A3AD-4521-A8BB-9145A12DE39A}" sqref="I25" showErrorMessage="1" errorTitle="An invalid feedback was entered" error="Please choose feedback from drop down only.">
      <formula1>"G,U,L,NR,GU,UL,GL,GUL,LNR,ULNR,None"</formula1>
    </dataValidation>
    <dataValidation type="list" xr:uid="{15023A1C-C3D2-4B82-8022-81B663CA0C14}" sqref="J25" showErrorMessage="1" errorTitle="An invalid feedback was entered" error="Please choose feedback from drop down only.">
      <formula1>"G,U,L,NR,GU,UL,GL,GUL,LNR,ULNR,None"</formula1>
    </dataValidation>
    <dataValidation type="list" xr:uid="{E7920BA8-008A-4BE5-9814-5BCA5F1139B4}" sqref="K25" showErrorMessage="1" errorTitle="An invalid feedback was entered" error="Please choose feedback from drop down only.">
      <formula1>"G,U,L,NR,GU,UL,GL,GUL,LNR,ULNR,None"</formula1>
    </dataValidation>
    <dataValidation type="list" xr:uid="{A0DCE27F-DD50-4E03-927B-641C30967255}" sqref="L25" showErrorMessage="1" errorTitle="An invalid feedback was entered" error="Please choose feedback from drop down only.">
      <formula1>"G,U,L,NR,GU,UL,GL,GUL,LNR,ULNR,None"</formula1>
    </dataValidation>
    <dataValidation type="list" xr:uid="{6520190C-9C66-4435-8468-12F83EED64AF}" sqref="M25" showErrorMessage="1" errorTitle="An invalid feedback was entered" error="Please choose feedback from drop down only.">
      <formula1>"G,U,L,NR,GU,UL,GL,GUL,LNR,ULNR,None"</formula1>
    </dataValidation>
    <dataValidation type="list" xr:uid="{9D91BDE8-8092-4024-9304-3B5F088ECFAD}" sqref="N25" showErrorMessage="1" errorTitle="An invalid feedback was entered" error="Please choose feedback from drop down only.">
      <formula1>"G,U,L,NR,GU,UL,GL,GUL,LNR,ULNR,None"</formula1>
    </dataValidation>
    <dataValidation type="list" xr:uid="{75EF409C-A6C8-49C6-BDE2-0F2451C44820}" sqref="O25" showErrorMessage="1" errorTitle="An invalid feedback was entered" error="Please choose feedback from drop down only.">
      <formula1>"G,U,L,NR,GU,UL,GL,GUL,LNR,ULNR,None"</formula1>
    </dataValidation>
    <dataValidation type="list" xr:uid="{E81AED7A-991E-434C-88E7-38298E5E48CC}" sqref="P25" showErrorMessage="1" errorTitle="An invalid feedback was entered" error="Please choose feedback from drop down only.">
      <formula1>"G,U,L,NR,GU,UL,GL,GUL,LNR,ULNR,None"</formula1>
    </dataValidation>
    <dataValidation type="list" xr:uid="{31E59917-B7DD-4027-B33B-7A3FD5D48005}" sqref="Q25" showErrorMessage="1" errorTitle="An invalid feedback was entered" error="Please choose feedback from drop down only.">
      <formula1>"G,U,L,NR,GU,UL,GL,GUL,LNR,ULNR,None"</formula1>
    </dataValidation>
    <dataValidation type="list" xr:uid="{AF513B46-992B-466B-8DBF-64ED0611B901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1A2C0B-20E9-4D39-84F0-CCF5D9AA2ACC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AD1EAA-74A9-46BB-9284-E557FD4BD09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3E32F64-D559-422B-BB1F-3D696D15EFF5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DDE7FD9-6BC4-4F24-A973-02E47D56A4D3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36D864B-30D9-4AA4-AEDF-B306C02D4328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5E73B94-0180-49E8-BF28-2CFADAAD22C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9C7E44-AE25-4762-B778-94123CC50332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3B8E8D-3896-4D07-8C9A-824BABE29C6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92011D6-C7C4-4A2C-9A3B-5ED1F3BC311A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510A22-BBD1-4AB7-BE37-9747AC530DFD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B100D-DA57-47BF-9082-E2C226100AE5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C5AB33D-012E-497E-8733-09162206380E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2BC07EF-D529-4F4C-B09B-82159ECB0D22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2384FB-5BFA-43F7-987B-96FF9E2272A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4724636B-E616-4627-AB8A-192091A9E88A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B887DA0-0A3A-430E-BAAA-321B2C3C4A6F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E8207B36-2225-47E6-8FAD-88DA76BA80D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04C1BF-8822-467B-9AD3-DCCD2595F9B2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BBDC901E-83AC-445F-990D-BFC1D4B60EC2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EEE2A108-2DA7-4468-A10D-36CA0027DA0C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00F274B-5323-47D5-8B24-6E0068C216F2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AC57A90-440A-4FC6-A05B-0B4D4FC3F175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D0718C9-821A-45B6-BEAF-ED716CA91922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C281EB3-11DC-4A19-BEB3-1A85BCCF2B65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537FB516-0501-40CD-9291-CCE6FFCF4AA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A18BCC72-B6E8-4B8C-B61C-9162F549803A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6496A445-731C-43A2-BE36-0D75A971737B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95CBD46-9816-4ADC-8BFB-C4A5CF4D7FE4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33AC020F-7949-4640-B0D6-503D1E6DAC01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0F51FFB-A69B-4414-88F8-780D22E258EA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8665855E-3A74-49B9-A57C-81C106EBCCDA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E66CA4E3-7284-4488-96BD-682FCA9481A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02CAF652-AB77-451A-AFBB-3769A38DE879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45DC4B41-0162-46E2-A1EC-8E9A93AA3AC2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51CCA30-7727-49BC-8334-53C29B6DFFA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B3C34D6-38DA-48B3-8D3F-5EC27A3CA739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2C3FF5D9-B1B1-4866-8A81-064435A2402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4DF50B-C56A-47F9-A80F-E3D70829E62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6271A95C-9884-457B-975E-B6CEBDE7591A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6DC37637-197E-44AA-BE11-367E0E80E4EF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971F9AF-712D-422B-9A3B-12173D97D86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BF2F5277-117F-4B9E-A898-7FA6F110795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19266F23-C18A-461F-988E-B3DEF12B3C72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2D74CF9B-DD60-40AA-968D-8C617BDD843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C8A445EF-AD07-49CF-B583-25D42338C30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25D7ABC-1602-4634-BE83-910A041C2D63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5F443B72-2FA2-4151-8459-AF033BA23EC7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F8CD958F-A406-493D-A5ED-95E532B1670A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DFEB49B0-1A8A-4FCC-9C3E-5102951F67B8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6ABC9770-E043-4A97-96B1-26DBAC24AC9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7A95D03A-2150-46E4-81BE-84924748AB9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3F2B343E-1288-4CB7-B9F7-29FF16A26D4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36AD21E0-D7EF-49AC-A65D-62D017FB988D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1ADB8A2-2213-441E-9ED2-D90AE699955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C5E47A0D-7EFE-495C-A03A-3B9CCBB2B5D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548291-11DC-45C1-B83A-D92AAADB9667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3343E69-44D9-45E8-BF29-7C9414656AC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27D245CA-CA85-4167-9FAA-2D49ACCFC97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E053C05-59E3-4AE7-B23B-18AE19C2A017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29E72173-B29F-471F-8185-B10B862C88E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87D129A5-3832-4C74-BFC5-2AF18A2B16C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7FB62846-A797-4FE0-8F60-C44FFE795095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5804F0E2-1016-4E15-B399-B53B50BC1045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684C5DD8-C958-4F1F-9D53-6702C2BDC39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E7BFA3D4-DE5D-4CB7-8E5B-D4AEF30764B4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C4FE977D-31B3-4B54-BC87-5D26050A85D3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E8D2994-D1AF-43FB-BE87-BA39EEDD903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8B8DF47E-60C8-4E46-89D3-093B73A1AB4D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3B7C7E8-F260-4F00-ABEC-6856F5DC0187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8AB2C5EB-5515-439B-9DC8-1BF9C1E578D8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BC1A86B2-7E14-4B17-970D-5128BAEB83FE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B8118A47-94BD-44A0-AE11-7524F46CCD56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8686C57-EE7A-44F2-A245-A9A7FFA8D034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19F90524-B831-455B-8CF0-793E5CA00461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4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198"/>
      <c r="C1" s="258" t="s">
        <v>0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2"/>
      <c r="D4" s="243"/>
      <c r="E4" s="243"/>
      <c r="F4" s="243"/>
      <c r="G4" s="243"/>
      <c r="H4" s="243"/>
      <c r="I4" s="243"/>
      <c r="J4" s="243"/>
      <c r="K4" s="243"/>
      <c r="L4" s="243"/>
      <c r="M4" s="243"/>
      <c r="N4" s="243"/>
      <c r="O4" s="243"/>
      <c r="P4" s="244"/>
    </row>
    <row r="5" ht="24.75">
      <c r="A5" s="241"/>
      <c r="B5" s="13" t="s">
        <v>4</v>
      </c>
      <c r="C5" s="245">
        <v>250</v>
      </c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60"/>
      <c r="D6" s="261"/>
      <c r="E6" s="261"/>
      <c r="F6" s="261"/>
      <c r="G6" s="261"/>
      <c r="H6" s="261"/>
      <c r="I6" s="261"/>
      <c r="J6" s="261"/>
      <c r="K6" s="261"/>
      <c r="L6" s="261"/>
      <c r="M6" s="261"/>
      <c r="N6" s="261"/>
      <c r="O6" s="261"/>
      <c r="P6" s="262"/>
    </row>
    <row r="7" ht="17.25">
      <c r="A7" s="241"/>
      <c r="B7" s="8" t="s">
        <v>6</v>
      </c>
      <c r="C7" s="226" t="s">
        <v>7</v>
      </c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73"/>
    </row>
    <row r="8" ht="17.65" s="22" customFormat="1">
      <c r="A8" s="241"/>
      <c r="B8" s="9" t="s">
        <v>8</v>
      </c>
      <c r="C8" s="229" t="s">
        <v>7</v>
      </c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 t="s">
        <v>10</v>
      </c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>
        <v>39</v>
      </c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>
        <v>0</v>
      </c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 t="s">
        <v>26</v>
      </c>
      <c r="D18" s="64" t="s">
        <v>27</v>
      </c>
      <c r="E18" s="64" t="s">
        <v>28</v>
      </c>
      <c r="F18" s="64" t="s">
        <v>29</v>
      </c>
      <c r="G18" s="64" t="s">
        <v>30</v>
      </c>
      <c r="H18" s="65" t="s">
        <v>31</v>
      </c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 t="s">
        <v>34</v>
      </c>
      <c r="D20" s="62" t="s">
        <v>34</v>
      </c>
      <c r="E20" s="62" t="s">
        <v>35</v>
      </c>
      <c r="F20" s="62" t="s">
        <v>35</v>
      </c>
      <c r="G20" s="62" t="s">
        <v>35</v>
      </c>
      <c r="H20" s="62" t="s">
        <v>35</v>
      </c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 t="s">
        <v>40</v>
      </c>
      <c r="D24" s="25" t="s">
        <v>41</v>
      </c>
      <c r="E24" s="25" t="s">
        <v>42</v>
      </c>
      <c r="F24" s="25" t="s">
        <v>40</v>
      </c>
      <c r="G24" s="25" t="s">
        <v>43</v>
      </c>
      <c r="H24" s="25" t="s">
        <v>40</v>
      </c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>
        <v>0</v>
      </c>
      <c r="D26" s="24">
        <v>7</v>
      </c>
      <c r="E26" s="24">
        <v>6</v>
      </c>
      <c r="F26" s="24">
        <v>0</v>
      </c>
      <c r="G26" s="24">
        <v>6</v>
      </c>
      <c r="H26" s="24">
        <v>0</v>
      </c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 t="s">
        <v>50</v>
      </c>
      <c r="E30" s="24" t="s">
        <v>50</v>
      </c>
      <c r="F30" s="24"/>
      <c r="G30" s="24" t="s">
        <v>50</v>
      </c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>
        <v>0</v>
      </c>
      <c r="D32" s="25">
        <v>4</v>
      </c>
      <c r="E32" s="25">
        <v>4</v>
      </c>
      <c r="F32" s="25">
        <v>0</v>
      </c>
      <c r="G32" s="25">
        <v>4</v>
      </c>
      <c r="H32" s="25">
        <v>0</v>
      </c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 t="s">
        <v>55</v>
      </c>
      <c r="E34" s="24" t="s">
        <v>56</v>
      </c>
      <c r="F34" s="24"/>
      <c r="G34" s="24" t="s">
        <v>57</v>
      </c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 t="s">
        <v>60</v>
      </c>
      <c r="E36" s="25" t="s">
        <v>60</v>
      </c>
      <c r="F36" s="25"/>
      <c r="G36" s="25" t="s">
        <v>60</v>
      </c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 t="s">
        <v>63</v>
      </c>
      <c r="E38" s="25" t="s">
        <v>63</v>
      </c>
      <c r="F38" s="25"/>
      <c r="G38" s="25" t="s">
        <v>63</v>
      </c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 t="s">
        <v>63</v>
      </c>
      <c r="E40" s="26" t="s">
        <v>63</v>
      </c>
      <c r="F40" s="26"/>
      <c r="G40" s="26" t="s">
        <v>63</v>
      </c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80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2C8E5486-3A43-432D-9BB2-F4AA7BD4D29B}" sqref="C2" showErrorMessage="1" errorTitle="An invalid feedback was entered" error="Please choose feedback from drop down only.">
      <formula1>"1,2,3"</formula1>
    </dataValidation>
    <dataValidation type="list" xr:uid="{BD7D087C-CBAB-47B8-A22B-9B2CC651BBFF}" sqref="D2" showErrorMessage="1" errorTitle="An invalid feedback was entered" error="Please choose feedback from drop down only.">
      <formula1>"1,2,3"</formula1>
    </dataValidation>
    <dataValidation type="list" xr:uid="{733BA0B7-DF29-4F60-860E-07BA311B6F6B}" sqref="E2" showErrorMessage="1" errorTitle="An invalid feedback was entered" error="Please choose feedback from drop down only.">
      <formula1>"1,2,3"</formula1>
    </dataValidation>
    <dataValidation type="list" xr:uid="{8DBB6B83-301E-400D-9B8B-9D6159D1086F}" sqref="F2" showErrorMessage="1" errorTitle="An invalid feedback was entered" error="Please choose feedback from drop down only.">
      <formula1>"1,2,3"</formula1>
    </dataValidation>
    <dataValidation type="list" xr:uid="{9D5252DB-66D1-45B1-B895-7A38F2C0488B}" sqref="G2" showErrorMessage="1" errorTitle="An invalid feedback was entered" error="Please choose feedback from drop down only.">
      <formula1>"1,2,3"</formula1>
    </dataValidation>
    <dataValidation type="list" xr:uid="{34BC572A-D52D-426A-9FF4-401ADBE4FDDC}" sqref="H2" showErrorMessage="1" errorTitle="An invalid feedback was entered" error="Please choose feedback from drop down only.">
      <formula1>"1,2,3"</formula1>
    </dataValidation>
    <dataValidation type="list" xr:uid="{F17DE31C-9CDD-412F-8922-8A531A4F3498}" sqref="I2" showErrorMessage="1" errorTitle="An invalid feedback was entered" error="Please choose feedback from drop down only.">
      <formula1>"1,2,3"</formula1>
    </dataValidation>
    <dataValidation type="list" xr:uid="{ED7E7ACA-40A7-45BF-9BDA-CB6C024C5CA4}" sqref="J2" showErrorMessage="1" errorTitle="An invalid feedback was entered" error="Please choose feedback from drop down only.">
      <formula1>"1,2,3"</formula1>
    </dataValidation>
    <dataValidation type="list" xr:uid="{ABDA17B7-293F-49C0-8D21-A13BB3E422AF}" sqref="K2" showErrorMessage="1" errorTitle="An invalid feedback was entered" error="Please choose feedback from drop down only.">
      <formula1>"1,2,3"</formula1>
    </dataValidation>
    <dataValidation type="list" xr:uid="{26EF499F-CA7F-4635-AE60-6D4EC429B8DF}" sqref="L2" showErrorMessage="1" errorTitle="An invalid feedback was entered" error="Please choose feedback from drop down only.">
      <formula1>"1,2,3"</formula1>
    </dataValidation>
    <dataValidation type="list" xr:uid="{8187F69B-0688-4F97-950F-AE46BB4A471A}" sqref="M2" showErrorMessage="1" errorTitle="An invalid feedback was entered" error="Please choose feedback from drop down only.">
      <formula1>"1,2,3"</formula1>
    </dataValidation>
    <dataValidation type="list" xr:uid="{0D5F6175-F5F0-496C-807D-2235A977E18A}" sqref="N2" showErrorMessage="1" errorTitle="An invalid feedback was entered" error="Please choose feedback from drop down only.">
      <formula1>"1,2,3"</formula1>
    </dataValidation>
    <dataValidation type="list" xr:uid="{25D413CB-1E41-42CB-BD7D-15265FAB6089}" sqref="O2" showErrorMessage="1" errorTitle="An invalid feedback was entered" error="Please choose feedback from drop down only.">
      <formula1>"1,2,3"</formula1>
    </dataValidation>
    <dataValidation type="list" xr:uid="{7E746967-0423-4FCB-9668-7E1F40230914}" sqref="P2" showErrorMessage="1" errorTitle="An invalid feedback was entered" error="Please choose feedback from drop down only.">
      <formula1>"1,2,3"</formula1>
    </dataValidation>
    <dataValidation type="list" xr:uid="{86EC73E0-FBF4-457E-9107-C85A24C18162}" sqref="Q2" showErrorMessage="1" errorTitle="An invalid feedback was entered" error="Please choose feedback from drop down only.">
      <formula1>"1,2,3"</formula1>
    </dataValidation>
    <dataValidation type="list" xr:uid="{02660483-FFCF-4441-9B85-89B3AECADF45}" sqref="C17" showErrorMessage="1" errorTitle="An invalid feedback was entered" error="Please choose feedback from drop down only.">
      <formula1>"1-2,3-4,5-6,7-8,9-10,N/A"</formula1>
    </dataValidation>
    <dataValidation type="list" xr:uid="{CEE9E68F-87D8-4A21-A7D1-243E417F0BF2}" sqref="D17" showErrorMessage="1" errorTitle="An invalid feedback was entered" error="Please choose feedback from drop down only.">
      <formula1>"1-2,3-4,5-6,7-8,9-10,N/A"</formula1>
    </dataValidation>
    <dataValidation type="list" xr:uid="{134F5C90-CCAB-4264-8C85-C2484359046D}" sqref="E17" showErrorMessage="1" errorTitle="An invalid feedback was entered" error="Please choose feedback from drop down only.">
      <formula1>"1-2,3-4,5-6,7-8,9-10,N/A"</formula1>
    </dataValidation>
    <dataValidation type="list" xr:uid="{5B900D3E-7401-4321-9A4C-5D78535A1645}" sqref="F17" showErrorMessage="1" errorTitle="An invalid feedback was entered" error="Please choose feedback from drop down only.">
      <formula1>"1-2,3-4,5-6,7-8,9-10,N/A"</formula1>
    </dataValidation>
    <dataValidation type="list" xr:uid="{0BFC6067-C0CB-4E8B-A9F7-3E8D2A15B7CF}" sqref="G17" showErrorMessage="1" errorTitle="An invalid feedback was entered" error="Please choose feedback from drop down only.">
      <formula1>"1-2,3-4,5-6,7-8,9-10,N/A"</formula1>
    </dataValidation>
    <dataValidation type="list" xr:uid="{D92349B1-705F-4EFA-934A-C2968991D574}" sqref="H17" showErrorMessage="1" errorTitle="An invalid feedback was entered" error="Please choose feedback from drop down only.">
      <formula1>"1-2,3-4,5-6,7-8,9-10,N/A"</formula1>
    </dataValidation>
    <dataValidation type="list" xr:uid="{BB7DF1A4-0AED-4E45-87C2-CD6B02321A15}" sqref="I17" showErrorMessage="1" errorTitle="An invalid feedback was entered" error="Please choose feedback from drop down only.">
      <formula1>"1-2,3-4,5-6,7-8,9-10,N/A"</formula1>
    </dataValidation>
    <dataValidation type="list" xr:uid="{F6B1A072-27DD-4905-8300-0A436A9F387D}" sqref="J17" showErrorMessage="1" errorTitle="An invalid feedback was entered" error="Please choose feedback from drop down only.">
      <formula1>"1-2,3-4,5-6,7-8,9-10,N/A"</formula1>
    </dataValidation>
    <dataValidation type="list" xr:uid="{2E6DEF71-BAAA-4D25-88D0-FB335458E650}" sqref="K17" showErrorMessage="1" errorTitle="An invalid feedback was entered" error="Please choose feedback from drop down only.">
      <formula1>"1-2,3-4,5-6,7-8,9-10,N/A"</formula1>
    </dataValidation>
    <dataValidation type="list" xr:uid="{4BDF5396-487A-4608-88EC-FEFA7E7DAF37}" sqref="L17" showErrorMessage="1" errorTitle="An invalid feedback was entered" error="Please choose feedback from drop down only.">
      <formula1>"1-2,3-4,5-6,7-8,9-10,N/A"</formula1>
    </dataValidation>
    <dataValidation type="list" xr:uid="{46D6634E-3231-4AC3-962E-ADD283A55059}" sqref="M17" showErrorMessage="1" errorTitle="An invalid feedback was entered" error="Please choose feedback from drop down only.">
      <formula1>"1-2,3-4,5-6,7-8,9-10,N/A"</formula1>
    </dataValidation>
    <dataValidation type="list" xr:uid="{51089855-1E14-4EA6-A7B9-5C12CC9CBBA6}" sqref="N17" showErrorMessage="1" errorTitle="An invalid feedback was entered" error="Please choose feedback from drop down only.">
      <formula1>"1-2,3-4,5-6,7-8,9-10,N/A"</formula1>
    </dataValidation>
    <dataValidation type="list" xr:uid="{1AB153D2-7C5F-4121-9550-5DD7A89E698B}" sqref="O17" showErrorMessage="1" errorTitle="An invalid feedback was entered" error="Please choose feedback from drop down only.">
      <formula1>"1-2,3-4,5-6,7-8,9-10,N/A"</formula1>
    </dataValidation>
    <dataValidation type="list" xr:uid="{82CB87D0-5B29-4024-BD2F-5022A921C9F5}" sqref="P17" showErrorMessage="1" errorTitle="An invalid feedback was entered" error="Please choose feedback from drop down only.">
      <formula1>"1-2,3-4,5-6,7-8,9-10,N/A"</formula1>
    </dataValidation>
    <dataValidation type="list" xr:uid="{6206BB1F-6D27-423D-A2A8-3D40CAF63A69}" sqref="Q17" showErrorMessage="1" errorTitle="An invalid feedback was entered" error="Please choose feedback from drop down only.">
      <formula1>"1-2,3-4,5-6,7-8,9-10,N/A"</formula1>
    </dataValidation>
    <dataValidation type="list" xr:uid="{A337F40D-7C5C-448E-B03D-7C8D3094D8E5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BFD90FCE-13EB-4A55-AF44-4E2BD3E9B130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E506473-24CC-43C5-ACE5-4397114BCF3F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FFEAE9E-BE3A-4B78-AB5D-D0AA725C0BB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16EC947-043F-45CB-9084-34E75BFAF68A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E812F414-81DD-4A3F-96E4-5C1B2C51440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2C12339-7C6B-40F5-AFA5-383E2B2E46EA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02B4A4AE-41F6-427E-8F16-3AA539292DA7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F72C6C20-0D10-4F27-B141-6367B10BDD4F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F66505AB-CBEF-4726-AB52-678861D9FF87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5D98C040-28D5-4298-823C-781899DD306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DFA3C4A1-2A27-49CD-8899-58E6CF206FC9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359D5CD7-253C-413F-9101-E2CE00E02AC2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8BA68D7-49AB-4618-8B3B-78BD9A6B5784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F433D132-F048-4DA1-B4B7-D642A1504D7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9AFBBF60-3371-4719-9B96-38682F78C301}" sqref="C23" showErrorMessage="1" errorTitle="An invalid feedback was entered" error="Please choose feedback from drop down only.">
      <formula1>"Yetel,Bulsatcom,A1,Yetel&amp;A1,N/A"</formula1>
    </dataValidation>
    <dataValidation type="list" xr:uid="{BDB16EE8-66AE-40D3-A229-D4CCCC541217}" sqref="D23" showErrorMessage="1" errorTitle="An invalid feedback was entered" error="Please choose feedback from drop down only.">
      <formula1>"Yetel,Bulsatcom,A1,Yetel&amp;A1,N/A"</formula1>
    </dataValidation>
    <dataValidation type="list" xr:uid="{E5A6265E-3FCF-4774-AB22-6B9D9F3BDBCA}" sqref="E23" showErrorMessage="1" errorTitle="An invalid feedback was entered" error="Please choose feedback from drop down only.">
      <formula1>"Yetel,Bulsatcom,A1,Yetel&amp;A1,N/A"</formula1>
    </dataValidation>
    <dataValidation type="list" xr:uid="{61D6F120-0321-4B1B-A9BA-CE1B503749F0}" sqref="F23" showErrorMessage="1" errorTitle="An invalid feedback was entered" error="Please choose feedback from drop down only.">
      <formula1>"Yetel,Bulsatcom,A1,Yetel&amp;A1,N/A"</formula1>
    </dataValidation>
    <dataValidation type="list" xr:uid="{F549E81B-36F8-41B8-B791-5DCC123606B0}" sqref="G23" showErrorMessage="1" errorTitle="An invalid feedback was entered" error="Please choose feedback from drop down only.">
      <formula1>"Yetel,Bulsatcom,A1,Yetel&amp;A1,N/A"</formula1>
    </dataValidation>
    <dataValidation type="list" xr:uid="{ED0D2610-A529-427E-9998-B934C5B2260A}" sqref="H23" showErrorMessage="1" errorTitle="An invalid feedback was entered" error="Please choose feedback from drop down only.">
      <formula1>"Yetel,Bulsatcom,A1,Yetel&amp;A1,N/A"</formula1>
    </dataValidation>
    <dataValidation type="list" xr:uid="{74ACB7F6-5B50-403D-97A3-5DD7A874A576}" sqref="I23" showErrorMessage="1" errorTitle="An invalid feedback was entered" error="Please choose feedback from drop down only.">
      <formula1>"Yetel,Bulsatcom,A1,Yetel&amp;A1,N/A"</formula1>
    </dataValidation>
    <dataValidation type="list" xr:uid="{27E87792-91AB-4A73-A876-0B42BEDA56B4}" sqref="J23" showErrorMessage="1" errorTitle="An invalid feedback was entered" error="Please choose feedback from drop down only.">
      <formula1>"Yetel,Bulsatcom,A1,Yetel&amp;A1,N/A"</formula1>
    </dataValidation>
    <dataValidation type="list" xr:uid="{1C11A865-E4DD-4B71-82FF-6B2D42E0046B}" sqref="K23" showErrorMessage="1" errorTitle="An invalid feedback was entered" error="Please choose feedback from drop down only.">
      <formula1>"Yetel,Bulsatcom,A1,Yetel&amp;A1,N/A"</formula1>
    </dataValidation>
    <dataValidation type="list" xr:uid="{1F98B952-4D13-4C3E-80E5-42E77E668664}" sqref="L23" showErrorMessage="1" errorTitle="An invalid feedback was entered" error="Please choose feedback from drop down only.">
      <formula1>"Yetel,Bulsatcom,A1,Yetel&amp;A1,N/A"</formula1>
    </dataValidation>
    <dataValidation type="list" xr:uid="{1E027C87-2DB5-4F09-A9C1-0C6C376ADD5D}" sqref="M23" showErrorMessage="1" errorTitle="An invalid feedback was entered" error="Please choose feedback from drop down only.">
      <formula1>"Yetel,Bulsatcom,A1,Yetel&amp;A1,N/A"</formula1>
    </dataValidation>
    <dataValidation type="list" xr:uid="{A4F8C6EB-05A6-4FD2-A16B-6380830E78B7}" sqref="N23" showErrorMessage="1" errorTitle="An invalid feedback was entered" error="Please choose feedback from drop down only.">
      <formula1>"Yetel,Bulsatcom,A1,Yetel&amp;A1,N/A"</formula1>
    </dataValidation>
    <dataValidation type="list" xr:uid="{929E9A45-590B-455C-9EB7-0D99C03DF408}" sqref="O23" showErrorMessage="1" errorTitle="An invalid feedback was entered" error="Please choose feedback from drop down only.">
      <formula1>"Yetel,Bulsatcom,A1,Yetel&amp;A1,N/A"</formula1>
    </dataValidation>
    <dataValidation type="list" xr:uid="{3FF96C7D-6A32-43DB-A8C2-A1E788124F20}" sqref="P23" showErrorMessage="1" errorTitle="An invalid feedback was entered" error="Please choose feedback from drop down only.">
      <formula1>"Yetel,Bulsatcom,A1,Yetel&amp;A1,N/A"</formula1>
    </dataValidation>
    <dataValidation type="list" xr:uid="{3CB230CF-55A6-40CA-86D9-E57CF3426EA2}" sqref="Q23" showErrorMessage="1" errorTitle="An invalid feedback was entered" error="Please choose feedback from drop down only.">
      <formula1>"Yetel,Bulsatcom,A1,Yetel&amp;A1,N/A"</formula1>
    </dataValidation>
    <dataValidation type="list" xr:uid="{2D798A9E-7CB1-43D1-A213-C3F07C36A9BD}" sqref="C31" showErrorMessage="1" errorTitle="An invalid feedback was entered" error="Please choose feedback from drop down only.">
      <formula1>"1/2,5/4,7/8,RRU TOP JUMPER,N/A"</formula1>
    </dataValidation>
    <dataValidation type="list" xr:uid="{DCDEDDBA-8CBE-4FE9-89DA-0A9FE4CFB25E}" sqref="D31" showErrorMessage="1" errorTitle="An invalid feedback was entered" error="Please choose feedback from drop down only.">
      <formula1>"1/2,5/4,7/8,RRU TOP JUMPER,N/A"</formula1>
    </dataValidation>
    <dataValidation type="list" xr:uid="{EF97176F-3C9B-4C24-87A0-8C76E33C4966}" sqref="E31" showErrorMessage="1" errorTitle="An invalid feedback was entered" error="Please choose feedback from drop down only.">
      <formula1>"1/2,5/4,7/8,RRU TOP JUMPER,N/A"</formula1>
    </dataValidation>
    <dataValidation type="list" xr:uid="{491BA0BC-54F6-4DFE-B0C4-FC4543F5EC0F}" sqref="F31" showErrorMessage="1" errorTitle="An invalid feedback was entered" error="Please choose feedback from drop down only.">
      <formula1>"1/2,5/4,7/8,RRU TOP JUMPER,N/A"</formula1>
    </dataValidation>
    <dataValidation type="list" xr:uid="{5D62352B-A5E2-4058-9ED5-D96670B4B00E}" sqref="G31" showErrorMessage="1" errorTitle="An invalid feedback was entered" error="Please choose feedback from drop down only.">
      <formula1>"1/2,5/4,7/8,RRU TOP JUMPER,N/A"</formula1>
    </dataValidation>
    <dataValidation type="list" xr:uid="{48CD85CB-6353-4FA1-842F-C0D2B41988B8}" sqref="H31" showErrorMessage="1" errorTitle="An invalid feedback was entered" error="Please choose feedback from drop down only.">
      <formula1>"1/2,5/4,7/8,RRU TOP JUMPER,N/A"</formula1>
    </dataValidation>
    <dataValidation type="list" xr:uid="{0DE37C0A-8FAA-4A7D-84E0-06C639C0194E}" sqref="I31" showErrorMessage="1" errorTitle="An invalid feedback was entered" error="Please choose feedback from drop down only.">
      <formula1>"1/2,5/4,7/8,RRU TOP JUMPER,N/A"</formula1>
    </dataValidation>
    <dataValidation type="list" xr:uid="{76F597E1-A7A9-45F4-8107-8C6592F618F2}" sqref="J31" showErrorMessage="1" errorTitle="An invalid feedback was entered" error="Please choose feedback from drop down only.">
      <formula1>"1/2,5/4,7/8,RRU TOP JUMPER,N/A"</formula1>
    </dataValidation>
    <dataValidation type="list" xr:uid="{FC0FD5A4-2CBB-4A77-A37A-DAD216B00C7D}" sqref="K31" showErrorMessage="1" errorTitle="An invalid feedback was entered" error="Please choose feedback from drop down only.">
      <formula1>"1/2,5/4,7/8,RRU TOP JUMPER,N/A"</formula1>
    </dataValidation>
    <dataValidation type="list" xr:uid="{FC35AD18-3866-46D2-9937-A8F1E2CD6909}" sqref="L31" showErrorMessage="1" errorTitle="An invalid feedback was entered" error="Please choose feedback from drop down only.">
      <formula1>"1/2,5/4,7/8,RRU TOP JUMPER,N/A"</formula1>
    </dataValidation>
    <dataValidation type="list" xr:uid="{8D252A32-4F20-4411-B516-6681EB9C438C}" sqref="M31" showErrorMessage="1" errorTitle="An invalid feedback was entered" error="Please choose feedback from drop down only.">
      <formula1>"1/2,5/4,7/8,RRU TOP JUMPER,N/A"</formula1>
    </dataValidation>
    <dataValidation type="list" xr:uid="{B81DC8CA-C7D5-4DC7-AE6D-6474120EF2F8}" sqref="N31" showErrorMessage="1" errorTitle="An invalid feedback was entered" error="Please choose feedback from drop down only.">
      <formula1>"1/2,5/4,7/8,RRU TOP JUMPER,N/A"</formula1>
    </dataValidation>
    <dataValidation type="list" xr:uid="{03003935-3193-4CA4-9279-AF42A8D8116B}" sqref="O31" showErrorMessage="1" errorTitle="An invalid feedback was entered" error="Please choose feedback from drop down only.">
      <formula1>"1/2,5/4,7/8,RRU TOP JUMPER,N/A"</formula1>
    </dataValidation>
    <dataValidation type="list" xr:uid="{7796323D-6898-4AF3-9759-94FBB69814FD}" sqref="P31" showErrorMessage="1" errorTitle="An invalid feedback was entered" error="Please choose feedback from drop down only.">
      <formula1>"1/2,5/4,7/8,RRU TOP JUMPER,N/A"</formula1>
    </dataValidation>
    <dataValidation type="list" xr:uid="{4E86E884-935A-473C-9222-BD63F12F9E05}" sqref="Q31" showErrorMessage="1" errorTitle="An invalid feedback was entered" error="Please choose feedback from drop down only.">
      <formula1>"1/2,5/4,7/8,RRU TOP JUMPER,N/A"</formula1>
    </dataValidation>
    <dataValidation type="list" xr:uid="{F178F449-3630-4912-AD37-54C96232FFB3}" sqref="C4" showErrorMessage="1" errorTitle="An invalid feedback was entered" error="Please choose feedback from drop down only.">
      <formula1>"1,2,3,4,5,6,N/A"</formula1>
    </dataValidation>
    <dataValidation type="list" xr:uid="{192D5AD2-34EA-4715-9A91-8F5E789C37C2}" sqref="D4" showErrorMessage="1" errorTitle="An invalid feedback was entered" error="Please choose feedback from drop down only.">
      <formula1>"1,2,3,4,5,6,N/A"</formula1>
    </dataValidation>
    <dataValidation type="list" xr:uid="{F6C01DAB-FE65-4E65-8486-D921751DFB7A}" sqref="E4" showErrorMessage="1" errorTitle="An invalid feedback was entered" error="Please choose feedback from drop down only.">
      <formula1>"1,2,3,4,5,6,N/A"</formula1>
    </dataValidation>
    <dataValidation type="list" xr:uid="{156192BD-B264-47F0-85EE-9AA04630C776}" sqref="F4" showErrorMessage="1" errorTitle="An invalid feedback was entered" error="Please choose feedback from drop down only.">
      <formula1>"1,2,3,4,5,6,N/A"</formula1>
    </dataValidation>
    <dataValidation type="list" xr:uid="{E834C324-7C34-43B6-8B05-8E5CE3E65902}" sqref="G4" showErrorMessage="1" errorTitle="An invalid feedback was entered" error="Please choose feedback from drop down only.">
      <formula1>"1,2,3,4,5,6,N/A"</formula1>
    </dataValidation>
    <dataValidation type="list" xr:uid="{4E540732-62BB-48D8-BE99-AECC457B9350}" sqref="H4" showErrorMessage="1" errorTitle="An invalid feedback was entered" error="Please choose feedback from drop down only.">
      <formula1>"1,2,3,4,5,6,N/A"</formula1>
    </dataValidation>
    <dataValidation type="list" xr:uid="{9239DF8C-B7B2-420B-8E58-F66EC6CF57FC}" sqref="I4" showErrorMessage="1" errorTitle="An invalid feedback was entered" error="Please choose feedback from drop down only.">
      <formula1>"1,2,3,4,5,6,N/A"</formula1>
    </dataValidation>
    <dataValidation type="list" xr:uid="{EDEFA054-42E2-4BC7-9F52-AD75AB2120FC}" sqref="J4" showErrorMessage="1" errorTitle="An invalid feedback was entered" error="Please choose feedback from drop down only.">
      <formula1>"1,2,3,4,5,6,N/A"</formula1>
    </dataValidation>
    <dataValidation type="list" xr:uid="{B8CB1FC8-D236-4080-B980-2B3C94DEBBBE}" sqref="K4" showErrorMessage="1" errorTitle="An invalid feedback was entered" error="Please choose feedback from drop down only.">
      <formula1>"1,2,3,4,5,6,N/A"</formula1>
    </dataValidation>
    <dataValidation type="list" xr:uid="{F917222A-6C54-49BD-945D-79304EEF3519}" sqref="L4" showErrorMessage="1" errorTitle="An invalid feedback was entered" error="Please choose feedback from drop down only.">
      <formula1>"1,2,3,4,5,6,N/A"</formula1>
    </dataValidation>
    <dataValidation type="list" xr:uid="{51330A5D-1A92-487B-9111-276566C9429D}" sqref="M4" showErrorMessage="1" errorTitle="An invalid feedback was entered" error="Please choose feedback from drop down only.">
      <formula1>"1,2,3,4,5,6,N/A"</formula1>
    </dataValidation>
    <dataValidation type="list" xr:uid="{99D8452D-D292-4778-A6DC-8C7921625834}" sqref="N4" showErrorMessage="1" errorTitle="An invalid feedback was entered" error="Please choose feedback from drop down only.">
      <formula1>"1,2,3,4,5,6,N/A"</formula1>
    </dataValidation>
    <dataValidation type="list" xr:uid="{11D532CE-EF84-4938-9467-DC2ADBAA6E0E}" sqref="O4" showErrorMessage="1" errorTitle="An invalid feedback was entered" error="Please choose feedback from drop down only.">
      <formula1>"1,2,3,4,5,6,N/A"</formula1>
    </dataValidation>
    <dataValidation type="list" xr:uid="{DF43B09A-519D-4F1B-99CC-BBC350C51107}" sqref="P4" showErrorMessage="1" errorTitle="An invalid feedback was entered" error="Please choose feedback from drop down only.">
      <formula1>"1,2,3,4,5,6,N/A"</formula1>
    </dataValidation>
    <dataValidation type="list" xr:uid="{C24C46F1-FF7E-4572-826C-E5B9E0B6A772}" sqref="Q4" showErrorMessage="1" errorTitle="An invalid feedback was entered" error="Please choose feedback from drop down only.">
      <formula1>"1,2,3,4,5,6,N/A"</formula1>
    </dataValidation>
    <dataValidation type="list" xr:uid="{0CCF2582-EB82-4249-8E44-7E14491AC066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95B6855-98EA-4A86-86C3-C44F0237A69A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EC0C038-7D20-4235-B177-F9FC78C1E6B7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000E142-8F5E-4E3B-AB3F-DB60572D3677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F37E95E-1A6B-4FEF-B3C1-8F55B9A7CB7D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DB11A23-6510-4910-8281-3503B3232401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47DF42-5D29-46AD-BC51-DE01DB49F301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675F18-8779-4BBE-AF7B-644D58046429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15942F5-5680-4C37-848D-8E528E7DFBD7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628D9B-7073-466D-B144-5E896F9D661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856370-530B-4A35-9CA2-15053B11A366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C3EB8A9-0BC5-46C9-8FCF-929E89C97EE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DF82E80-F088-4B11-86E0-BEAF81FBA00D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431547-13CD-4849-9592-EEDCD72AC6F7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42C139-88A3-4701-9BCA-4F72806A35EC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C9DFB1A-2D07-4327-B558-059475387D52}" sqref="C28" showErrorMessage="1" errorTitle="An invalid feedback was entered" error="Please choose feedback from drop down only.">
      <formula1>"Yes,No,FlexRET"</formula1>
    </dataValidation>
    <dataValidation type="list" xr:uid="{A52D9863-054A-45B7-BD77-B092AF175B09}" sqref="D28" showErrorMessage="1" errorTitle="An invalid feedback was entered" error="Please choose feedback from drop down only.">
      <formula1>"Yes,No,FlexRET"</formula1>
    </dataValidation>
    <dataValidation type="list" xr:uid="{D4A7F58C-EF1B-4298-AC29-7350B2C3F883}" sqref="E28" showErrorMessage="1" errorTitle="An invalid feedback was entered" error="Please choose feedback from drop down only.">
      <formula1>"Yes,No,FlexRET"</formula1>
    </dataValidation>
    <dataValidation type="list" xr:uid="{5E63645B-9ABF-41D2-A8D0-7C1D5BA07798}" sqref="F28" showErrorMessage="1" errorTitle="An invalid feedback was entered" error="Please choose feedback from drop down only.">
      <formula1>"Yes,No,FlexRET"</formula1>
    </dataValidation>
    <dataValidation type="list" xr:uid="{EAED29D4-1F00-43E0-A210-3938AE3BA6D3}" sqref="G28" showErrorMessage="1" errorTitle="An invalid feedback was entered" error="Please choose feedback from drop down only.">
      <formula1>"Yes,No,FlexRET"</formula1>
    </dataValidation>
    <dataValidation type="list" xr:uid="{DCA84A74-B464-4F53-BE01-5AF42A83460F}" sqref="H28" showErrorMessage="1" errorTitle="An invalid feedback was entered" error="Please choose feedback from drop down only.">
      <formula1>"Yes,No,FlexRET"</formula1>
    </dataValidation>
    <dataValidation type="list" xr:uid="{04753D1F-9976-485D-8585-D8DCCDB9EF28}" sqref="I28" showErrorMessage="1" errorTitle="An invalid feedback was entered" error="Please choose feedback from drop down only.">
      <formula1>"Yes,No,FlexRET"</formula1>
    </dataValidation>
    <dataValidation type="list" xr:uid="{E99C4EFA-E3FC-44AD-A1C3-F0E38A7A0E92}" sqref="J28" showErrorMessage="1" errorTitle="An invalid feedback was entered" error="Please choose feedback from drop down only.">
      <formula1>"Yes,No,FlexRET"</formula1>
    </dataValidation>
    <dataValidation type="list" xr:uid="{AC571CD1-F351-40F3-9C6B-ADB39985E239}" sqref="K28" showErrorMessage="1" errorTitle="An invalid feedback was entered" error="Please choose feedback from drop down only.">
      <formula1>"Yes,No,FlexRET"</formula1>
    </dataValidation>
    <dataValidation type="list" xr:uid="{D2C25B93-F4CA-4259-8C39-E56038D878FB}" sqref="L28" showErrorMessage="1" errorTitle="An invalid feedback was entered" error="Please choose feedback from drop down only.">
      <formula1>"Yes,No,FlexRET"</formula1>
    </dataValidation>
    <dataValidation type="list" xr:uid="{EB121F5F-57BB-4B4D-8236-488633C23F75}" sqref="M28" showErrorMessage="1" errorTitle="An invalid feedback was entered" error="Please choose feedback from drop down only.">
      <formula1>"Yes,No,FlexRET"</formula1>
    </dataValidation>
    <dataValidation type="list" xr:uid="{7102CB05-1833-466B-BC4E-07A1D7705810}" sqref="N28" showErrorMessage="1" errorTitle="An invalid feedback was entered" error="Please choose feedback from drop down only.">
      <formula1>"Yes,No,FlexRET"</formula1>
    </dataValidation>
    <dataValidation type="list" xr:uid="{323DE924-0D25-4835-9CB8-D8A880F8A867}" sqref="O28" showErrorMessage="1" errorTitle="An invalid feedback was entered" error="Please choose feedback from drop down only.">
      <formula1>"Yes,No,FlexRET"</formula1>
    </dataValidation>
    <dataValidation type="list" xr:uid="{7742A7A2-C380-4E8B-9B51-AB7D12B98E4C}" sqref="P28" showErrorMessage="1" errorTitle="An invalid feedback was entered" error="Please choose feedback from drop down only.">
      <formula1>"Yes,No,FlexRET"</formula1>
    </dataValidation>
    <dataValidation type="list" xr:uid="{BE5DD6E4-DE55-43E5-98A9-2E9FA1F4CD92}" sqref="Q28" showErrorMessage="1" errorTitle="An invalid feedback was entered" error="Please choose feedback from drop down only.">
      <formula1>"Yes,No,FlexRET"</formula1>
    </dataValidation>
    <dataValidation type="list" xr:uid="{E2969CCE-E1B0-4CF8-8143-43B2ECA91A49}" sqref="C29" showErrorMessage="1" errorTitle="An invalid feedback was entered" error="Please choose feedback from drop down only.">
      <formula1>"Yes,No,FlexRET"</formula1>
    </dataValidation>
    <dataValidation type="list" xr:uid="{72DE52B9-183B-4A08-8A4C-0E0A6EE77144}" sqref="D29" showErrorMessage="1" errorTitle="An invalid feedback was entered" error="Please choose feedback from drop down only.">
      <formula1>"Yes,No,FlexRET"</formula1>
    </dataValidation>
    <dataValidation type="list" xr:uid="{97BE5547-FC26-455B-AF85-0041555B80AE}" sqref="E29" showErrorMessage="1" errorTitle="An invalid feedback was entered" error="Please choose feedback from drop down only.">
      <formula1>"Yes,No,FlexRET"</formula1>
    </dataValidation>
    <dataValidation type="list" xr:uid="{96CE4C9D-E376-46F9-9FF6-EA0242B6F5C7}" sqref="F29" showErrorMessage="1" errorTitle="An invalid feedback was entered" error="Please choose feedback from drop down only.">
      <formula1>"Yes,No,FlexRET"</formula1>
    </dataValidation>
    <dataValidation type="list" xr:uid="{AD3EDF5C-577B-47D6-B6E3-5B41995C7314}" sqref="G29" showErrorMessage="1" errorTitle="An invalid feedback was entered" error="Please choose feedback from drop down only.">
      <formula1>"Yes,No,FlexRET"</formula1>
    </dataValidation>
    <dataValidation type="list" xr:uid="{5D81E12B-7B55-4BF9-92FC-110CA7EFF8F0}" sqref="H29" showErrorMessage="1" errorTitle="An invalid feedback was entered" error="Please choose feedback from drop down only.">
      <formula1>"Yes,No,FlexRET"</formula1>
    </dataValidation>
    <dataValidation type="list" xr:uid="{E019FD79-88D9-418F-9CF5-DBF5024191BB}" sqref="I29" showErrorMessage="1" errorTitle="An invalid feedback was entered" error="Please choose feedback from drop down only.">
      <formula1>"Yes,No,FlexRET"</formula1>
    </dataValidation>
    <dataValidation type="list" xr:uid="{21F23EE9-0BB7-41B8-B8C5-9E9715888797}" sqref="J29" showErrorMessage="1" errorTitle="An invalid feedback was entered" error="Please choose feedback from drop down only.">
      <formula1>"Yes,No,FlexRET"</formula1>
    </dataValidation>
    <dataValidation type="list" xr:uid="{F8CB0A08-193F-40B2-B176-49AA4D6FECE5}" sqref="K29" showErrorMessage="1" errorTitle="An invalid feedback was entered" error="Please choose feedback from drop down only.">
      <formula1>"Yes,No,FlexRET"</formula1>
    </dataValidation>
    <dataValidation type="list" xr:uid="{1BB1B87D-58CE-4DBF-95EA-C5CEBE288967}" sqref="L29" showErrorMessage="1" errorTitle="An invalid feedback was entered" error="Please choose feedback from drop down only.">
      <formula1>"Yes,No,FlexRET"</formula1>
    </dataValidation>
    <dataValidation type="list" xr:uid="{0A59486D-A162-4644-8C7A-BD856E237D77}" sqref="M29" showErrorMessage="1" errorTitle="An invalid feedback was entered" error="Please choose feedback from drop down only.">
      <formula1>"Yes,No,FlexRET"</formula1>
    </dataValidation>
    <dataValidation type="list" xr:uid="{8BAA1238-6875-4CE9-93B1-2BC937D50B4A}" sqref="N29" showErrorMessage="1" errorTitle="An invalid feedback was entered" error="Please choose feedback from drop down only.">
      <formula1>"Yes,No,FlexRET"</formula1>
    </dataValidation>
    <dataValidation type="list" xr:uid="{6D54BA71-C3C9-4D65-849F-AB1E258CA56B}" sqref="O29" showErrorMessage="1" errorTitle="An invalid feedback was entered" error="Please choose feedback from drop down only.">
      <formula1>"Yes,No,FlexRET"</formula1>
    </dataValidation>
    <dataValidation type="list" xr:uid="{5BA50504-6029-48F8-85B2-3095C432DD94}" sqref="P29" showErrorMessage="1" errorTitle="An invalid feedback was entered" error="Please choose feedback from drop down only.">
      <formula1>"Yes,No,FlexRET"</formula1>
    </dataValidation>
    <dataValidation type="list" xr:uid="{187F70C5-DB5B-4901-91C2-3018FEB4CA6F}" sqref="Q29" showErrorMessage="1" errorTitle="An invalid feedback was entered" error="Please choose feedback from drop down only.">
      <formula1>"Yes,No,FlexRET"</formula1>
    </dataValidation>
    <dataValidation type="list" xr:uid="{983E0104-EC97-419C-A71F-0BE2C22B50CF}" sqref="C25" showErrorMessage="1" errorTitle="An invalid feedback was entered" error="Please choose feedback from drop down only.">
      <formula1>"G,U,L,NR,GU,UL,GL,GUL,LNR,ULNR,None"</formula1>
    </dataValidation>
    <dataValidation type="list" xr:uid="{33FCD31A-9D51-4EE6-B830-F8DAD542E5A1}" sqref="D25" showErrorMessage="1" errorTitle="An invalid feedback was entered" error="Please choose feedback from drop down only.">
      <formula1>"G,U,L,NR,GU,UL,GL,GUL,LNR,ULNR,None"</formula1>
    </dataValidation>
    <dataValidation type="list" xr:uid="{64D09EBD-3272-46F9-A174-E071B865C6EF}" sqref="E25" showErrorMessage="1" errorTitle="An invalid feedback was entered" error="Please choose feedback from drop down only.">
      <formula1>"G,U,L,NR,GU,UL,GL,GUL,LNR,ULNR,None"</formula1>
    </dataValidation>
    <dataValidation type="list" xr:uid="{071F3119-621C-4452-BCB7-FA45FE7E258F}" sqref="F25" showErrorMessage="1" errorTitle="An invalid feedback was entered" error="Please choose feedback from drop down only.">
      <formula1>"G,U,L,NR,GU,UL,GL,GUL,LNR,ULNR,None"</formula1>
    </dataValidation>
    <dataValidation type="list" xr:uid="{46BE7651-0323-440D-9DA0-B092A6E05006}" sqref="G25" showErrorMessage="1" errorTitle="An invalid feedback was entered" error="Please choose feedback from drop down only.">
      <formula1>"G,U,L,NR,GU,UL,GL,GUL,LNR,ULNR,None"</formula1>
    </dataValidation>
    <dataValidation type="list" xr:uid="{8C955E68-E30D-4D5B-835A-8ECFB0486495}" sqref="H25" showErrorMessage="1" errorTitle="An invalid feedback was entered" error="Please choose feedback from drop down only.">
      <formula1>"G,U,L,NR,GU,UL,GL,GUL,LNR,ULNR,None"</formula1>
    </dataValidation>
    <dataValidation type="list" xr:uid="{C859B991-FAAE-449C-8F56-79431678464A}" sqref="I25" showErrorMessage="1" errorTitle="An invalid feedback was entered" error="Please choose feedback from drop down only.">
      <formula1>"G,U,L,NR,GU,UL,GL,GUL,LNR,ULNR,None"</formula1>
    </dataValidation>
    <dataValidation type="list" xr:uid="{98740BE3-30DF-4844-AEBC-49DEF2237E41}" sqref="J25" showErrorMessage="1" errorTitle="An invalid feedback was entered" error="Please choose feedback from drop down only.">
      <formula1>"G,U,L,NR,GU,UL,GL,GUL,LNR,ULNR,None"</formula1>
    </dataValidation>
    <dataValidation type="list" xr:uid="{E503716A-2630-4150-9B75-5FBFADAF9D91}" sqref="K25" showErrorMessage="1" errorTitle="An invalid feedback was entered" error="Please choose feedback from drop down only.">
      <formula1>"G,U,L,NR,GU,UL,GL,GUL,LNR,ULNR,None"</formula1>
    </dataValidation>
    <dataValidation type="list" xr:uid="{11DD085D-8017-479B-92B7-46B44B345A92}" sqref="L25" showErrorMessage="1" errorTitle="An invalid feedback was entered" error="Please choose feedback from drop down only.">
      <formula1>"G,U,L,NR,GU,UL,GL,GUL,LNR,ULNR,None"</formula1>
    </dataValidation>
    <dataValidation type="list" xr:uid="{8E753BC2-2BB3-423F-8F46-245FFE0013C3}" sqref="M25" showErrorMessage="1" errorTitle="An invalid feedback was entered" error="Please choose feedback from drop down only.">
      <formula1>"G,U,L,NR,GU,UL,GL,GUL,LNR,ULNR,None"</formula1>
    </dataValidation>
    <dataValidation type="list" xr:uid="{F0B39959-40D3-438E-846A-F21F1A9FC6F6}" sqref="N25" showErrorMessage="1" errorTitle="An invalid feedback was entered" error="Please choose feedback from drop down only.">
      <formula1>"G,U,L,NR,GU,UL,GL,GUL,LNR,ULNR,None"</formula1>
    </dataValidation>
    <dataValidation type="list" xr:uid="{A1E5A713-1BA3-4676-B094-643CA44F8A50}" sqref="O25" showErrorMessage="1" errorTitle="An invalid feedback was entered" error="Please choose feedback from drop down only.">
      <formula1>"G,U,L,NR,GU,UL,GL,GUL,LNR,ULNR,None"</formula1>
    </dataValidation>
    <dataValidation type="list" xr:uid="{9505D0CB-421D-416B-8ACB-CBE19CC4A134}" sqref="P25" showErrorMessage="1" errorTitle="An invalid feedback was entered" error="Please choose feedback from drop down only.">
      <formula1>"G,U,L,NR,GU,UL,GL,GUL,LNR,ULNR,None"</formula1>
    </dataValidation>
    <dataValidation type="list" xr:uid="{140FD8DE-A166-4466-8918-643349749ED0}" sqref="Q25" showErrorMessage="1" errorTitle="An invalid feedback was entered" error="Please choose feedback from drop down only.">
      <formula1>"G,U,L,NR,GU,UL,GL,GUL,LNR,ULNR,None"</formula1>
    </dataValidation>
    <dataValidation type="list" xr:uid="{9B547394-AC0F-4051-8DAE-F0620CCE95E6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E619BB3-96DC-46A1-8F3D-84EE104A9068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61BD57-7FD0-4411-8D1F-E2A5392CE05C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812AC5-2970-4150-A991-F4D8138AED0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CD126FE-8882-4F62-A356-56291A152D4D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F2FF125-889A-4F72-8190-700E0BFF1D0D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3969891-5FDF-4FA0-8DF2-D451BC9B5837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CA5A60D-7CBC-4F0F-8094-C354759DD29C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DCE96E-B043-499C-8468-AF84B86C173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BA06AFE-6B96-48E3-839E-19E9ADD21D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3A9A3E8-5DB7-4014-9D08-7E82D706C856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D3E1830-308B-4F6A-B4A3-5B6E86CAB9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6C5DE5F-EB7F-4AB8-A32C-A7044A2ACD8F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6B0400-5ED0-46D1-BB56-3EBCA93A7C6E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94BF8B-C610-4AD7-B409-D000BA997E29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568F907-7C68-432B-A190-C320DEA5F92D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1504BC4E-EFA8-4D89-B06E-B2D51F38E77B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A5BD07F-F47F-4961-B942-0D9B73F675C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EA6B3B92-2771-457F-A071-69CDF7EFDB40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53AE78CA-B24B-4B30-B511-9C6BE5DDD8BE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D6C282E-4937-4F2A-B7A9-47F4950F651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D2602FE-31D4-4A1A-9E39-6435476C9DBC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1CEB0D30-5F2A-4D68-883C-701F1A28A8B3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188CC81B-2259-4571-8253-B95E2318687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26448AA3-74AC-4F5C-B6A5-A986F131803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1C02EEC-6FD7-4AF2-9919-F34F5784C82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21578587-EAFC-4ECA-B9F4-69769628E11B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86ED343F-C662-4A3A-90E2-369E6F44AD10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BB99DC0C-1A55-487E-862A-BEA834131EC2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B2DD160B-1A52-483F-ABAE-47D25521E1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A52F8B16-2D16-4D09-93AD-E9E29CA0694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B6673087-1EB0-4893-A65A-6B355A70F594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461457A6-4421-4CC2-9210-BC9E300E729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2D40D39-E656-460D-9DAC-BE26A9EB020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D4018CFC-7146-4EED-90ED-0A15DD4BDAE9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2D3E861-B8DA-4776-93D5-FC5F7A1BDFBD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0E7438A7-144B-44F8-87F7-0F5AEAC9B8FB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F268079-4B18-4226-99B8-8EB65D85FEFC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B245DE5E-0F33-49D3-A024-45063A543B73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F7F4012-6EBD-4881-B8D3-425E9C4E1B02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02E1BAC0-8D2D-4A82-8B3F-CA2164F485FC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F492516D-DEAB-41F0-A429-B4C7952F0D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19C4E877-AB77-4767-B38D-DD8D4ECBE67B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7AF1CE26-516F-4237-B97F-43D3DA5C19A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97D2E815-5004-41FA-8D7B-337C027F306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29E77E37-3390-4DFB-AF5B-C7C3D65BEF8E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7C32F58-A251-4C80-969A-DA339FED198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55C913E-A184-4635-8675-1E34DF4A052D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793B60C2-455B-41DF-BFDC-1F83504C19F2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6859E5CB-A78C-4AC1-8CCE-DA01C10771C4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98616C9A-6E4A-4EE9-8B24-28CC5965DE44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5039997C-142C-49FF-A63B-A5520287DA8D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1B57994-CEC2-44A4-BC4A-569E73B88B74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803A2B0-7E21-4CF7-B0E4-854E50003399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DD9DD58C-4C52-4FB3-8019-4922331B0083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0BA91A8-1968-41A3-8496-3E4AB7B3C3B8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811D05DB-B973-49B2-A5A2-AD6C2BEDDD5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AD7A5EE3-E78A-4102-AAF5-FDEA2BE5A576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EF991CA0-3DA7-4826-BECC-BCC3A2CD9A92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8AE90E04-28EE-4847-8D82-8821575A55F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1B0F2602-CF5E-4DEE-BB1F-5A4083E06CF9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3C5F843-0DB1-423A-BEB7-D64CA930E12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C133068E-EB81-435C-AF9C-AFF50334E03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0FC8B578-E12F-4747-AB96-EFF11338AF0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3EDEC383-1CC1-4AC8-BD16-E10E5F3655AB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9EE744D4-EE9E-4A14-9122-3B03B37699F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FBD29E41-D92D-47CB-AB7A-9A7125348028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8E2EF64-9B3A-429D-9EB9-4364C9495FE2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E3A8536F-C783-49E3-8061-87CAD621D86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D6629C6-B071-4480-AA94-324ABF757FB3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78E353B2-6E14-474D-8B84-B7ECE970F9D2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49306AA-92D6-4EB5-AE7B-88DCE6360366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68578E8D-AECB-47C7-9647-6E09B10C5A15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BC88B627-76F4-4D9B-8D69-38F91C991DB5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DA153091-E558-4321-B2AB-FAC7F9FFC42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5">
    <pageSetUpPr fitToPage="1"/>
  </sheetPr>
  <dimension ref="A1:U45"/>
  <sheetViews>
    <sheetView zoomScale="90" zoomScaleNormal="90" workbookViewId="0">
      <selection sqref="A1:B1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>
        <f>Common!B2</f>
        <v>0</v>
      </c>
      <c r="B1" s="266"/>
      <c r="C1" s="258" t="s">
        <v>106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9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5" t="s">
        <v>19</v>
      </c>
      <c r="D17" s="65" t="s">
        <v>20</v>
      </c>
      <c r="E17" s="65" t="s">
        <v>21</v>
      </c>
      <c r="F17" s="65" t="s">
        <v>22</v>
      </c>
      <c r="G17" s="65" t="s">
        <v>23</v>
      </c>
      <c r="H17" s="65" t="s">
        <v>24</v>
      </c>
      <c r="I17" s="65" t="s">
        <v>19</v>
      </c>
      <c r="J17" s="65" t="s">
        <v>20</v>
      </c>
      <c r="K17" s="65" t="s">
        <v>21</v>
      </c>
      <c r="L17" s="65" t="s">
        <v>22</v>
      </c>
      <c r="M17" s="65" t="s">
        <v>19</v>
      </c>
      <c r="N17" s="65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99">
        <f>VLOOKUP(C8,AntennasPortName!A:H,2,FALSE)</f>
      </c>
      <c r="D19" s="99">
        <f>VLOOKUP(C8,AntennasPortName!A:H,3,FALSE)</f>
      </c>
      <c r="E19" s="99">
        <f>VLOOKUP(C8,AntennasPortName!A:H,4,FALSE)</f>
      </c>
      <c r="F19" s="99">
        <f>VLOOKUP(C8,AntennasPortName!A:H,5,FALSE)</f>
      </c>
      <c r="G19" s="99">
        <f>VLOOKUP(C8,AntennasPortName!A:H,6,FALSE)</f>
      </c>
      <c r="H19" s="99">
        <f>VLOOKUP(C8,AntennasPortName!A:H,7,FALSE)</f>
      </c>
      <c r="I19" s="99">
        <f>VLOOKUP(I8,AntennasPortName!A:H,2,FALSE)</f>
      </c>
      <c r="J19" s="99">
        <f>VLOOKUP(I8,AntennasPortName!A:H,3,FALSE)</f>
      </c>
      <c r="K19" s="99">
        <f>VLOOKUP(I8,AntennasPortName!A:H,4,FALSE)</f>
      </c>
      <c r="L19" s="99">
        <f>VLOOKUP(I8,AntennasPortName!A:H,5,FALSE)</f>
      </c>
      <c r="M19" s="99">
        <f>VLOOKUP(M8,AntennasPortName!A:H,2,FALSE)</f>
      </c>
      <c r="N19" s="99">
        <f>VLOOKUP(M8,AntennasPortName!A:H,3,FALSE)</f>
      </c>
      <c r="O19" s="99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1:P1"/>
    <mergeCell ref="C16:H16"/>
    <mergeCell ref="I16:L16"/>
    <mergeCell ref="M16:O16"/>
    <mergeCell ref="B42:P45"/>
    <mergeCell ref="C12:H12"/>
    <mergeCell ref="I12:L12"/>
    <mergeCell ref="M12:O12"/>
    <mergeCell ref="C13:H13"/>
    <mergeCell ref="I13:L13"/>
    <mergeCell ref="M13:O13"/>
    <mergeCell ref="C14:H14"/>
    <mergeCell ref="I14:L14"/>
    <mergeCell ref="M14:O14"/>
    <mergeCell ref="C15:H15"/>
    <mergeCell ref="I15:L15"/>
    <mergeCell ref="M15:O15"/>
    <mergeCell ref="C10:H10"/>
    <mergeCell ref="I10:L10"/>
    <mergeCell ref="M10:O10"/>
    <mergeCell ref="C11:H11"/>
    <mergeCell ref="I11:L11"/>
    <mergeCell ref="M11:O11"/>
    <mergeCell ref="C8:H8"/>
    <mergeCell ref="I8:L8"/>
    <mergeCell ref="M8:O8"/>
    <mergeCell ref="C9:H9"/>
    <mergeCell ref="I9:L9"/>
    <mergeCell ref="M9:O9"/>
    <mergeCell ref="A1:B1"/>
    <mergeCell ref="A42:A45"/>
    <mergeCell ref="A36:A41"/>
    <mergeCell ref="A34:A35"/>
    <mergeCell ref="A3:A33"/>
    <mergeCell ref="C7:H7"/>
    <mergeCell ref="C2:H2"/>
    <mergeCell ref="I2:L2"/>
    <mergeCell ref="M2:O2"/>
    <mergeCell ref="I7:L7"/>
    <mergeCell ref="M7:O7"/>
    <mergeCell ref="C3:P3"/>
    <mergeCell ref="C4:P4"/>
    <mergeCell ref="C5:P5"/>
    <mergeCell ref="C6:P6"/>
  </mergeCells>
  <conditionalFormatting sqref="C22:E22 C4 H22:O22">
    <cfRule type="cellIs" dxfId="0" priority="43" operator="greaterThan">
      <formula>0</formula>
    </cfRule>
  </conditionalFormatting>
  <conditionalFormatting sqref="C21:E21 H21:O21">
    <cfRule type="expression" dxfId="1" priority="42">
      <formula>ISERROR(C21)</formula>
    </cfRule>
  </conditionalFormatting>
  <conditionalFormatting sqref="C21:E21 H21:O21">
    <cfRule type="cellIs" dxfId="1" priority="41" operator="equal">
      <formula>0</formula>
    </cfRule>
  </conditionalFormatting>
  <conditionalFormatting sqref="C21:E21 H21:O21">
    <cfRule type="cellIs" dxfId="3" priority="40" operator="greaterThan">
      <formula>0</formula>
    </cfRule>
  </conditionalFormatting>
  <conditionalFormatting sqref="C27:O27 D29:O29 D33:O33">
    <cfRule type="cellIs" dxfId="0" priority="39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5">
      <formula>ISBLANK(C8)</formula>
    </cfRule>
  </conditionalFormatting>
  <conditionalFormatting sqref="C29">
    <cfRule type="cellIs" dxfId="0" priority="37" operator="notEqual">
      <formula>VALUE(C28)</formula>
    </cfRule>
  </conditionalFormatting>
  <conditionalFormatting sqref="C29">
    <cfRule type="expression" dxfId="10" priority="36">
      <formula>ISBLANK(C29)</formula>
    </cfRule>
  </conditionalFormatting>
  <conditionalFormatting sqref="C8:O8 C10:O10 C12:O12 C14:O14 C16:O16 C31:O31 D35:O35 D37:O37 D25:O25 D39:O39 D41:O41">
    <cfRule type="cellIs" dxfId="0" priority="38" operator="notEqual">
      <formula>C7</formula>
    </cfRule>
  </conditionalFormatting>
  <conditionalFormatting sqref="C31">
    <cfRule type="expression" dxfId="10" priority="34">
      <formula>ISBLANK(C31)</formula>
    </cfRule>
  </conditionalFormatting>
  <conditionalFormatting sqref="C33">
    <cfRule type="cellIs" dxfId="0" priority="33" operator="notEqual">
      <formula>VALUE(C32)</formula>
    </cfRule>
  </conditionalFormatting>
  <conditionalFormatting sqref="C33">
    <cfRule type="expression" dxfId="10" priority="32">
      <formula>ISBLANK(C33)</formula>
    </cfRule>
  </conditionalFormatting>
  <conditionalFormatting sqref="C35">
    <cfRule type="cellIs" dxfId="0" priority="31" operator="notEqual">
      <formula>C34</formula>
    </cfRule>
  </conditionalFormatting>
  <conditionalFormatting sqref="C35">
    <cfRule type="expression" dxfId="10" priority="30">
      <formula>ISBLANK(C35)</formula>
    </cfRule>
  </conditionalFormatting>
  <conditionalFormatting sqref="C37">
    <cfRule type="cellIs" dxfId="0" priority="29" operator="notEqual">
      <formula>C36</formula>
    </cfRule>
  </conditionalFormatting>
  <conditionalFormatting sqref="C37">
    <cfRule type="expression" dxfId="10" priority="28">
      <formula>ISBLANK(C37)</formula>
    </cfRule>
  </conditionalFormatting>
  <conditionalFormatting sqref="C6">
    <cfRule type="expression" dxfId="10" priority="26">
      <formula>ISBLANK(C6)</formula>
    </cfRule>
    <cfRule type="cellIs" dxfId="0" priority="27" operator="notEqual">
      <formula>C5</formula>
    </cfRule>
  </conditionalFormatting>
  <conditionalFormatting sqref="C25">
    <cfRule type="cellIs" dxfId="0" priority="25" operator="notEqual">
      <formula>C24</formula>
    </cfRule>
  </conditionalFormatting>
  <conditionalFormatting sqref="C25">
    <cfRule type="expression" dxfId="10" priority="24">
      <formula>ISBLANK(C25)</formula>
    </cfRule>
  </conditionalFormatting>
  <conditionalFormatting sqref="C39">
    <cfRule type="cellIs" dxfId="0" priority="23" operator="notEqual">
      <formula>C38</formula>
    </cfRule>
  </conditionalFormatting>
  <conditionalFormatting sqref="C39">
    <cfRule type="expression" dxfId="10" priority="22">
      <formula>ISBLANK(C39)</formula>
    </cfRule>
  </conditionalFormatting>
  <conditionalFormatting sqref="C41">
    <cfRule type="cellIs" dxfId="0" priority="21" operator="notEqual">
      <formula>C40</formula>
    </cfRule>
  </conditionalFormatting>
  <conditionalFormatting sqref="C41">
    <cfRule type="expression" dxfId="10" priority="20">
      <formula>ISBLANK(C41)</formula>
    </cfRule>
  </conditionalFormatting>
  <conditionalFormatting sqref="C24:O41">
    <cfRule type="expression" dxfId="1" priority="19" stopIfTrue="1">
      <formula>OR(C$22="Free",C$22="Telenor",C$22="Mtel",C$22="Telenor&amp;Mtel")</formula>
    </cfRule>
  </conditionalFormatting>
  <conditionalFormatting sqref="F22:G22">
    <cfRule type="cellIs" dxfId="0" priority="18" operator="greaterThan">
      <formula>0</formula>
    </cfRule>
  </conditionalFormatting>
  <conditionalFormatting sqref="F21:G21">
    <cfRule type="expression" dxfId="1" priority="17">
      <formula>ISERROR(F21)</formula>
    </cfRule>
  </conditionalFormatting>
  <conditionalFormatting sqref="F21:G21">
    <cfRule type="cellIs" dxfId="1" priority="16" operator="equal">
      <formula>0</formula>
    </cfRule>
  </conditionalFormatting>
  <conditionalFormatting sqref="F21:G21">
    <cfRule type="cellIs" dxfId="3" priority="15" operator="greaterThan">
      <formula>0</formula>
    </cfRule>
  </conditionalFormatting>
  <conditionalFormatting sqref="P22">
    <cfRule type="cellIs" dxfId="0" priority="14" operator="greaterThan">
      <formula>0</formula>
    </cfRule>
  </conditionalFormatting>
  <conditionalFormatting sqref="P21">
    <cfRule type="expression" dxfId="1" priority="13">
      <formula>ISERROR(P21)</formula>
    </cfRule>
  </conditionalFormatting>
  <conditionalFormatting sqref="P21">
    <cfRule type="cellIs" dxfId="1" priority="12" operator="equal">
      <formula>0</formula>
    </cfRule>
  </conditionalFormatting>
  <conditionalFormatting sqref="P21">
    <cfRule type="cellIs" dxfId="3" priority="11" operator="greaterThan">
      <formula>0</formula>
    </cfRule>
  </conditionalFormatting>
  <conditionalFormatting sqref="P27 P29 P33">
    <cfRule type="cellIs" dxfId="0" priority="10" operator="notEqual">
      <formula>VALUE(P26)</formula>
    </cfRule>
  </conditionalFormatting>
  <conditionalFormatting sqref="P8 P10 P12 P14 P16 P27 P29 P31 P33 P35 P37 P25 P39 P41">
    <cfRule type="expression" dxfId="10" priority="8">
      <formula>ISBLANK(P8)</formula>
    </cfRule>
  </conditionalFormatting>
  <conditionalFormatting sqref="P8 P10 P12 P14 P16 P31 P35 P37 P25 P39 P41">
    <cfRule type="cellIs" dxfId="0" priority="9" operator="notEqual">
      <formula>P7</formula>
    </cfRule>
  </conditionalFormatting>
  <conditionalFormatting sqref="P24:P41">
    <cfRule type="expression" dxfId="1" priority="7" stopIfTrue="1">
      <formula>OR(P$22="Free",P$22="Telenor",P$22="Mtel",P$22="Telenor&amp;Mtel")</formula>
    </cfRule>
  </conditionalFormatting>
  <conditionalFormatting sqref="C19">
    <cfRule type="cellIs" dxfId="1" priority="4" operator="equal">
      <formula>0</formula>
    </cfRule>
    <cfRule type="expression" dxfId="1" priority="6">
      <formula>ISERROR(C19)</formula>
    </cfRule>
  </conditionalFormatting>
  <conditionalFormatting sqref="D19:P19">
    <cfRule type="cellIs" dxfId="1" priority="2" operator="equal">
      <formula>0</formula>
    </cfRule>
    <cfRule type="expression" dxfId="1" priority="3">
      <formula>ISERROR(D19)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C60E43D-5EDF-4293-8A9D-C12CF483EB01}" sqref="C2" showErrorMessage="1" errorTitle="An invalid feedback was entered" error="Please choose feedback from drop down only.">
      <formula1>"1,2,3"</formula1>
    </dataValidation>
    <dataValidation type="list" xr:uid="{6065BF73-D205-49AD-B989-D8DAA7C89452}" sqref="D2" showErrorMessage="1" errorTitle="An invalid feedback was entered" error="Please choose feedback from drop down only.">
      <formula1>"1,2,3"</formula1>
    </dataValidation>
    <dataValidation type="list" xr:uid="{AD9D1F15-9412-4227-BFAA-3EB001D048A4}" sqref="E2" showErrorMessage="1" errorTitle="An invalid feedback was entered" error="Please choose feedback from drop down only.">
      <formula1>"1,2,3"</formula1>
    </dataValidation>
    <dataValidation type="list" xr:uid="{1693785F-3289-4083-9726-321B3BAC1CF8}" sqref="F2" showErrorMessage="1" errorTitle="An invalid feedback was entered" error="Please choose feedback from drop down only.">
      <formula1>"1,2,3"</formula1>
    </dataValidation>
    <dataValidation type="list" xr:uid="{1D1DF70F-A4D6-4E97-9C6A-C049EF73CD39}" sqref="G2" showErrorMessage="1" errorTitle="An invalid feedback was entered" error="Please choose feedback from drop down only.">
      <formula1>"1,2,3"</formula1>
    </dataValidation>
    <dataValidation type="list" xr:uid="{FE0B2B2B-7C98-4A07-98B2-51504CD946E1}" sqref="H2" showErrorMessage="1" errorTitle="An invalid feedback was entered" error="Please choose feedback from drop down only.">
      <formula1>"1,2,3"</formula1>
    </dataValidation>
    <dataValidation type="list" xr:uid="{7B2BDF75-4213-409B-844C-BE34EDA7806B}" sqref="I2" showErrorMessage="1" errorTitle="An invalid feedback was entered" error="Please choose feedback from drop down only.">
      <formula1>"1,2,3"</formula1>
    </dataValidation>
    <dataValidation type="list" xr:uid="{1562DB47-50A5-467C-B842-40644BEFEE4E}" sqref="J2" showErrorMessage="1" errorTitle="An invalid feedback was entered" error="Please choose feedback from drop down only.">
      <formula1>"1,2,3"</formula1>
    </dataValidation>
    <dataValidation type="list" xr:uid="{E9C3B2DD-8007-409F-967A-F641BAD1EEE6}" sqref="K2" showErrorMessage="1" errorTitle="An invalid feedback was entered" error="Please choose feedback from drop down only.">
      <formula1>"1,2,3"</formula1>
    </dataValidation>
    <dataValidation type="list" xr:uid="{DC63D9CC-80E9-468A-A5FA-8BDC66CD2EC4}" sqref="L2" showErrorMessage="1" errorTitle="An invalid feedback was entered" error="Please choose feedback from drop down only.">
      <formula1>"1,2,3"</formula1>
    </dataValidation>
    <dataValidation type="list" xr:uid="{F79D5A3F-7794-449C-97E2-490ABDBEADF3}" sqref="M2" showErrorMessage="1" errorTitle="An invalid feedback was entered" error="Please choose feedback from drop down only.">
      <formula1>"1,2,3"</formula1>
    </dataValidation>
    <dataValidation type="list" xr:uid="{D0C55CF6-D7F4-4DAB-8168-37A9CE61F773}" sqref="N2" showErrorMessage="1" errorTitle="An invalid feedback was entered" error="Please choose feedback from drop down only.">
      <formula1>"1,2,3"</formula1>
    </dataValidation>
    <dataValidation type="list" xr:uid="{B786F6D5-F4D6-44BF-90B4-B7ABEB8DAE5A}" sqref="O2" showErrorMessage="1" errorTitle="An invalid feedback was entered" error="Please choose feedback from drop down only.">
      <formula1>"1,2,3"</formula1>
    </dataValidation>
    <dataValidation type="list" xr:uid="{BD0DB07C-B1C3-4512-8087-F81BC8F73748}" sqref="P2" showErrorMessage="1" errorTitle="An invalid feedback was entered" error="Please choose feedback from drop down only.">
      <formula1>"1,2,3"</formula1>
    </dataValidation>
    <dataValidation type="list" xr:uid="{765DFC66-92F9-44DB-9C53-486474D4AF0C}" sqref="Q2" showErrorMessage="1" errorTitle="An invalid feedback was entered" error="Please choose feedback from drop down only.">
      <formula1>"1,2,3"</formula1>
    </dataValidation>
    <dataValidation type="list" xr:uid="{96E8A6C9-6E0B-463C-9B3A-CBA7F07BB8C4}" sqref="C17" showErrorMessage="1" errorTitle="An invalid feedback was entered" error="Please choose feedback from drop down only.">
      <formula1>"1-2,3-4,5-6,7-8,9-10,N/A"</formula1>
    </dataValidation>
    <dataValidation type="list" xr:uid="{4A41E3CA-D5BC-4EF2-BD8C-DA6D4F42AFA2}" sqref="D17" showErrorMessage="1" errorTitle="An invalid feedback was entered" error="Please choose feedback from drop down only.">
      <formula1>"1-2,3-4,5-6,7-8,9-10,N/A"</formula1>
    </dataValidation>
    <dataValidation type="list" xr:uid="{26FBE07A-99D2-4AE7-8607-84A7CA8A5E8D}" sqref="E17" showErrorMessage="1" errorTitle="An invalid feedback was entered" error="Please choose feedback from drop down only.">
      <formula1>"1-2,3-4,5-6,7-8,9-10,N/A"</formula1>
    </dataValidation>
    <dataValidation type="list" xr:uid="{D7380921-1A30-4259-843F-76F92DA105F7}" sqref="F17" showErrorMessage="1" errorTitle="An invalid feedback was entered" error="Please choose feedback from drop down only.">
      <formula1>"1-2,3-4,5-6,7-8,9-10,N/A"</formula1>
    </dataValidation>
    <dataValidation type="list" xr:uid="{61EAA81F-5073-4324-B219-C1B406329A1F}" sqref="G17" showErrorMessage="1" errorTitle="An invalid feedback was entered" error="Please choose feedback from drop down only.">
      <formula1>"1-2,3-4,5-6,7-8,9-10,N/A"</formula1>
    </dataValidation>
    <dataValidation type="list" xr:uid="{34D36EB0-0EF5-4FC8-81DB-86C2264EE3AB}" sqref="H17" showErrorMessage="1" errorTitle="An invalid feedback was entered" error="Please choose feedback from drop down only.">
      <formula1>"1-2,3-4,5-6,7-8,9-10,N/A"</formula1>
    </dataValidation>
    <dataValidation type="list" xr:uid="{E47DA9E5-D4E9-4A26-95E3-B5279B57F849}" sqref="I17" showErrorMessage="1" errorTitle="An invalid feedback was entered" error="Please choose feedback from drop down only.">
      <formula1>"1-2,3-4,5-6,7-8,9-10,N/A"</formula1>
    </dataValidation>
    <dataValidation type="list" xr:uid="{1B865980-C4E9-49DA-83C4-30B97462B59F}" sqref="J17" showErrorMessage="1" errorTitle="An invalid feedback was entered" error="Please choose feedback from drop down only.">
      <formula1>"1-2,3-4,5-6,7-8,9-10,N/A"</formula1>
    </dataValidation>
    <dataValidation type="list" xr:uid="{F081776B-419A-47F3-A99F-1FF56A8263B4}" sqref="K17" showErrorMessage="1" errorTitle="An invalid feedback was entered" error="Please choose feedback from drop down only.">
      <formula1>"1-2,3-4,5-6,7-8,9-10,N/A"</formula1>
    </dataValidation>
    <dataValidation type="list" xr:uid="{DEDD1555-48B8-4E8D-B084-03492FDE9636}" sqref="L17" showErrorMessage="1" errorTitle="An invalid feedback was entered" error="Please choose feedback from drop down only.">
      <formula1>"1-2,3-4,5-6,7-8,9-10,N/A"</formula1>
    </dataValidation>
    <dataValidation type="list" xr:uid="{92213D0B-9F32-4C3C-BCA6-DFBCDF263F50}" sqref="M17" showErrorMessage="1" errorTitle="An invalid feedback was entered" error="Please choose feedback from drop down only.">
      <formula1>"1-2,3-4,5-6,7-8,9-10,N/A"</formula1>
    </dataValidation>
    <dataValidation type="list" xr:uid="{636DA61A-8E05-4D17-972A-DAC9A90C3EF5}" sqref="N17" showErrorMessage="1" errorTitle="An invalid feedback was entered" error="Please choose feedback from drop down only.">
      <formula1>"1-2,3-4,5-6,7-8,9-10,N/A"</formula1>
    </dataValidation>
    <dataValidation type="list" xr:uid="{1BD657C7-BA2E-4CF6-A97F-8A1D6013CD17}" sqref="O17" showErrorMessage="1" errorTitle="An invalid feedback was entered" error="Please choose feedback from drop down only.">
      <formula1>"1-2,3-4,5-6,7-8,9-10,N/A"</formula1>
    </dataValidation>
    <dataValidation type="list" xr:uid="{91F8C643-4668-4DD3-8CF5-8E189408ECFB}" sqref="P17" showErrorMessage="1" errorTitle="An invalid feedback was entered" error="Please choose feedback from drop down only.">
      <formula1>"1-2,3-4,5-6,7-8,9-10,N/A"</formula1>
    </dataValidation>
    <dataValidation type="list" xr:uid="{C34F89BB-B2A8-4977-A832-4A7E22C99064}" sqref="Q17" showErrorMessage="1" errorTitle="An invalid feedback was entered" error="Please choose feedback from drop down only.">
      <formula1>"1-2,3-4,5-6,7-8,9-10,N/A"</formula1>
    </dataValidation>
    <dataValidation type="list" xr:uid="{BF2F0899-1A23-469D-A257-20AD8BA7BF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7FD6D897-3CD9-4E2C-BC96-93D8B719F439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690D0E43-EA62-4C09-8D98-6E454216A79E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737B0F8F-3E22-492B-835F-FAEDE7B44EC1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8DB88E1-8203-4331-A6BD-1CC27BB6471B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5FFA59CC-4BBD-4D6F-BBB5-E7B7C2548231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D0909668-3B5F-47C3-98D2-C3E5425CB28C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612F0AD-4D47-4244-A1A3-51E61FE92D10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512CC5B-C537-426B-8B20-CCF4EF9BB5CC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4BAEDA9F-7C50-4005-92B7-DC6B7A0E652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6A8E58AA-BE17-4766-9429-FFE64A30C6C4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B2793117-033D-402E-98A9-D7668B834B9D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1C432017-9FBC-408C-9090-B10CBB4EF304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C336C6F8-8A94-4853-834A-58C4DBE9B8D9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C593074C-9F73-4218-A812-C23F6C8693FC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CFE6E5E6-E41A-44D9-BDAE-F4BBB833520B}" sqref="C23" showErrorMessage="1" errorTitle="An invalid feedback was entered" error="Please choose feedback from drop down only.">
      <formula1>"Yetel,Bulsatcom,A1,Yetel&amp;A1,N/A"</formula1>
    </dataValidation>
    <dataValidation type="list" xr:uid="{4F316E3B-CBF2-427B-8F1C-CEBC72F15C1D}" sqref="D23" showErrorMessage="1" errorTitle="An invalid feedback was entered" error="Please choose feedback from drop down only.">
      <formula1>"Yetel,Bulsatcom,A1,Yetel&amp;A1,N/A"</formula1>
    </dataValidation>
    <dataValidation type="list" xr:uid="{93B39C3D-02C7-4CFC-87EE-0081DBAF30F7}" sqref="E23" showErrorMessage="1" errorTitle="An invalid feedback was entered" error="Please choose feedback from drop down only.">
      <formula1>"Yetel,Bulsatcom,A1,Yetel&amp;A1,N/A"</formula1>
    </dataValidation>
    <dataValidation type="list" xr:uid="{18F48162-ADAD-4295-BCDE-DEE07BB71FA7}" sqref="F23" showErrorMessage="1" errorTitle="An invalid feedback was entered" error="Please choose feedback from drop down only.">
      <formula1>"Yetel,Bulsatcom,A1,Yetel&amp;A1,N/A"</formula1>
    </dataValidation>
    <dataValidation type="list" xr:uid="{9044BA9E-7B6A-43C6-9C81-EE5C6811BFCF}" sqref="G23" showErrorMessage="1" errorTitle="An invalid feedback was entered" error="Please choose feedback from drop down only.">
      <formula1>"Yetel,Bulsatcom,A1,Yetel&amp;A1,N/A"</formula1>
    </dataValidation>
    <dataValidation type="list" xr:uid="{392C0437-5BF0-4BC8-8FD2-EB357614864A}" sqref="H23" showErrorMessage="1" errorTitle="An invalid feedback was entered" error="Please choose feedback from drop down only.">
      <formula1>"Yetel,Bulsatcom,A1,Yetel&amp;A1,N/A"</formula1>
    </dataValidation>
    <dataValidation type="list" xr:uid="{534AE963-81A1-40D0-ABA1-7BBC7D8AD210}" sqref="I23" showErrorMessage="1" errorTitle="An invalid feedback was entered" error="Please choose feedback from drop down only.">
      <formula1>"Yetel,Bulsatcom,A1,Yetel&amp;A1,N/A"</formula1>
    </dataValidation>
    <dataValidation type="list" xr:uid="{F302D172-530A-4774-908C-C2186CC7624C}" sqref="J23" showErrorMessage="1" errorTitle="An invalid feedback was entered" error="Please choose feedback from drop down only.">
      <formula1>"Yetel,Bulsatcom,A1,Yetel&amp;A1,N/A"</formula1>
    </dataValidation>
    <dataValidation type="list" xr:uid="{18F92E19-E04D-4FF7-BE7E-E5EC8D164B58}" sqref="K23" showErrorMessage="1" errorTitle="An invalid feedback was entered" error="Please choose feedback from drop down only.">
      <formula1>"Yetel,Bulsatcom,A1,Yetel&amp;A1,N/A"</formula1>
    </dataValidation>
    <dataValidation type="list" xr:uid="{487CD5D2-BE94-4B8C-9AF7-E1871FF811BB}" sqref="L23" showErrorMessage="1" errorTitle="An invalid feedback was entered" error="Please choose feedback from drop down only.">
      <formula1>"Yetel,Bulsatcom,A1,Yetel&amp;A1,N/A"</formula1>
    </dataValidation>
    <dataValidation type="list" xr:uid="{9318AC08-CAA1-42EF-9E37-9CD77C058373}" sqref="M23" showErrorMessage="1" errorTitle="An invalid feedback was entered" error="Please choose feedback from drop down only.">
      <formula1>"Yetel,Bulsatcom,A1,Yetel&amp;A1,N/A"</formula1>
    </dataValidation>
    <dataValidation type="list" xr:uid="{21729656-26F9-4075-BA7B-E37A43B259F5}" sqref="N23" showErrorMessage="1" errorTitle="An invalid feedback was entered" error="Please choose feedback from drop down only.">
      <formula1>"Yetel,Bulsatcom,A1,Yetel&amp;A1,N/A"</formula1>
    </dataValidation>
    <dataValidation type="list" xr:uid="{6894C4D8-0091-45A7-842D-5E838F9E951F}" sqref="O23" showErrorMessage="1" errorTitle="An invalid feedback was entered" error="Please choose feedback from drop down only.">
      <formula1>"Yetel,Bulsatcom,A1,Yetel&amp;A1,N/A"</formula1>
    </dataValidation>
    <dataValidation type="list" xr:uid="{CD32B743-D37F-404F-9537-4D42D3C3BC62}" sqref="P23" showErrorMessage="1" errorTitle="An invalid feedback was entered" error="Please choose feedback from drop down only.">
      <formula1>"Yetel,Bulsatcom,A1,Yetel&amp;A1,N/A"</formula1>
    </dataValidation>
    <dataValidation type="list" xr:uid="{6A31D088-F0AB-4B99-8DBA-1DE00EC79CB3}" sqref="Q23" showErrorMessage="1" errorTitle="An invalid feedback was entered" error="Please choose feedback from drop down only.">
      <formula1>"Yetel,Bulsatcom,A1,Yetel&amp;A1,N/A"</formula1>
    </dataValidation>
    <dataValidation type="list" xr:uid="{CC0C9B5C-5B54-4855-B7EC-DED558D7DC96}" sqref="C31" showErrorMessage="1" errorTitle="An invalid feedback was entered" error="Please choose feedback from drop down only.">
      <formula1>"1/2,5/4,7/8,RRU TOP JUMPER,N/A"</formula1>
    </dataValidation>
    <dataValidation type="list" xr:uid="{782C6428-0F76-4750-A604-A90A8E11FFA5}" sqref="D31" showErrorMessage="1" errorTitle="An invalid feedback was entered" error="Please choose feedback from drop down only.">
      <formula1>"1/2,5/4,7/8,RRU TOP JUMPER,N/A"</formula1>
    </dataValidation>
    <dataValidation type="list" xr:uid="{C33811DF-0C1E-4436-AE85-EC2FEDB623F1}" sqref="E31" showErrorMessage="1" errorTitle="An invalid feedback was entered" error="Please choose feedback from drop down only.">
      <formula1>"1/2,5/4,7/8,RRU TOP JUMPER,N/A"</formula1>
    </dataValidation>
    <dataValidation type="list" xr:uid="{7A4522A1-137D-4B04-A84D-CA668E866C79}" sqref="F31" showErrorMessage="1" errorTitle="An invalid feedback was entered" error="Please choose feedback from drop down only.">
      <formula1>"1/2,5/4,7/8,RRU TOP JUMPER,N/A"</formula1>
    </dataValidation>
    <dataValidation type="list" xr:uid="{02BA57C1-5519-4FDE-96CF-B2433906E31D}" sqref="G31" showErrorMessage="1" errorTitle="An invalid feedback was entered" error="Please choose feedback from drop down only.">
      <formula1>"1/2,5/4,7/8,RRU TOP JUMPER,N/A"</formula1>
    </dataValidation>
    <dataValidation type="list" xr:uid="{E0133F64-79B3-487D-A8AD-979D4FB6FE58}" sqref="H31" showErrorMessage="1" errorTitle="An invalid feedback was entered" error="Please choose feedback from drop down only.">
      <formula1>"1/2,5/4,7/8,RRU TOP JUMPER,N/A"</formula1>
    </dataValidation>
    <dataValidation type="list" xr:uid="{1F83FF18-9221-4D20-9D19-B97C42400F19}" sqref="I31" showErrorMessage="1" errorTitle="An invalid feedback was entered" error="Please choose feedback from drop down only.">
      <formula1>"1/2,5/4,7/8,RRU TOP JUMPER,N/A"</formula1>
    </dataValidation>
    <dataValidation type="list" xr:uid="{E1B1E296-89EC-4BBD-A948-A25FD39BBCE8}" sqref="J31" showErrorMessage="1" errorTitle="An invalid feedback was entered" error="Please choose feedback from drop down only.">
      <formula1>"1/2,5/4,7/8,RRU TOP JUMPER,N/A"</formula1>
    </dataValidation>
    <dataValidation type="list" xr:uid="{09479AE9-4F6B-4544-8011-84746BC1814C}" sqref="K31" showErrorMessage="1" errorTitle="An invalid feedback was entered" error="Please choose feedback from drop down only.">
      <formula1>"1/2,5/4,7/8,RRU TOP JUMPER,N/A"</formula1>
    </dataValidation>
    <dataValidation type="list" xr:uid="{B0FEF6D4-1BEA-495C-A516-A3D20FA21B93}" sqref="L31" showErrorMessage="1" errorTitle="An invalid feedback was entered" error="Please choose feedback from drop down only.">
      <formula1>"1/2,5/4,7/8,RRU TOP JUMPER,N/A"</formula1>
    </dataValidation>
    <dataValidation type="list" xr:uid="{CB802FD7-0168-46C8-A2D3-384458847F6E}" sqref="M31" showErrorMessage="1" errorTitle="An invalid feedback was entered" error="Please choose feedback from drop down only.">
      <formula1>"1/2,5/4,7/8,RRU TOP JUMPER,N/A"</formula1>
    </dataValidation>
    <dataValidation type="list" xr:uid="{0832B217-80F9-49E1-A463-43953CF1801D}" sqref="N31" showErrorMessage="1" errorTitle="An invalid feedback was entered" error="Please choose feedback from drop down only.">
      <formula1>"1/2,5/4,7/8,RRU TOP JUMPER,N/A"</formula1>
    </dataValidation>
    <dataValidation type="list" xr:uid="{5B993CE8-38B3-475E-B06F-7E083D0A9F80}" sqref="O31" showErrorMessage="1" errorTitle="An invalid feedback was entered" error="Please choose feedback from drop down only.">
      <formula1>"1/2,5/4,7/8,RRU TOP JUMPER,N/A"</formula1>
    </dataValidation>
    <dataValidation type="list" xr:uid="{A93A44ED-F0AA-433C-BEC4-8A239122EA68}" sqref="P31" showErrorMessage="1" errorTitle="An invalid feedback was entered" error="Please choose feedback from drop down only.">
      <formula1>"1/2,5/4,7/8,RRU TOP JUMPER,N/A"</formula1>
    </dataValidation>
    <dataValidation type="list" xr:uid="{BE5625FB-BAE1-4B24-909B-E958AEC06A20}" sqref="Q31" showErrorMessage="1" errorTitle="An invalid feedback was entered" error="Please choose feedback from drop down only.">
      <formula1>"1/2,5/4,7/8,RRU TOP JUMPER,N/A"</formula1>
    </dataValidation>
    <dataValidation type="list" xr:uid="{3FE18268-66B4-4EB6-BA4A-513F77A5F5FC}" sqref="C4" showErrorMessage="1" errorTitle="An invalid feedback was entered" error="Please choose feedback from drop down only.">
      <formula1>"1,2,3,4,5,6,N/A"</formula1>
    </dataValidation>
    <dataValidation type="list" xr:uid="{B9F1F796-A129-43E3-9EF6-3C7DE024823F}" sqref="D4" showErrorMessage="1" errorTitle="An invalid feedback was entered" error="Please choose feedback from drop down only.">
      <formula1>"1,2,3,4,5,6,N/A"</formula1>
    </dataValidation>
    <dataValidation type="list" xr:uid="{71BFF2A4-6440-4DAF-9E55-02DA746C16BB}" sqref="E4" showErrorMessage="1" errorTitle="An invalid feedback was entered" error="Please choose feedback from drop down only.">
      <formula1>"1,2,3,4,5,6,N/A"</formula1>
    </dataValidation>
    <dataValidation type="list" xr:uid="{5BBF8FDB-3DEF-4501-A523-0A116D4864DC}" sqref="F4" showErrorMessage="1" errorTitle="An invalid feedback was entered" error="Please choose feedback from drop down only.">
      <formula1>"1,2,3,4,5,6,N/A"</formula1>
    </dataValidation>
    <dataValidation type="list" xr:uid="{581EE6A4-3125-4FF7-86CF-9476E327C837}" sqref="G4" showErrorMessage="1" errorTitle="An invalid feedback was entered" error="Please choose feedback from drop down only.">
      <formula1>"1,2,3,4,5,6,N/A"</formula1>
    </dataValidation>
    <dataValidation type="list" xr:uid="{ABA8A107-1837-45BA-91EC-556FCB74AD03}" sqref="H4" showErrorMessage="1" errorTitle="An invalid feedback was entered" error="Please choose feedback from drop down only.">
      <formula1>"1,2,3,4,5,6,N/A"</formula1>
    </dataValidation>
    <dataValidation type="list" xr:uid="{3DBE64B3-BA0D-4CDA-861C-7F490E95667F}" sqref="I4" showErrorMessage="1" errorTitle="An invalid feedback was entered" error="Please choose feedback from drop down only.">
      <formula1>"1,2,3,4,5,6,N/A"</formula1>
    </dataValidation>
    <dataValidation type="list" xr:uid="{D361AB9F-5D52-4DD8-AAC8-71C3540AFF62}" sqref="J4" showErrorMessage="1" errorTitle="An invalid feedback was entered" error="Please choose feedback from drop down only.">
      <formula1>"1,2,3,4,5,6,N/A"</formula1>
    </dataValidation>
    <dataValidation type="list" xr:uid="{FDBFF0F0-03FD-45CD-A93D-499763A8C8E7}" sqref="K4" showErrorMessage="1" errorTitle="An invalid feedback was entered" error="Please choose feedback from drop down only.">
      <formula1>"1,2,3,4,5,6,N/A"</formula1>
    </dataValidation>
    <dataValidation type="list" xr:uid="{452C598B-2B3C-4597-8FFF-7E495E07DE54}" sqref="L4" showErrorMessage="1" errorTitle="An invalid feedback was entered" error="Please choose feedback from drop down only.">
      <formula1>"1,2,3,4,5,6,N/A"</formula1>
    </dataValidation>
    <dataValidation type="list" xr:uid="{930E0C19-FCF4-496F-ADE7-6C07C880C93C}" sqref="M4" showErrorMessage="1" errorTitle="An invalid feedback was entered" error="Please choose feedback from drop down only.">
      <formula1>"1,2,3,4,5,6,N/A"</formula1>
    </dataValidation>
    <dataValidation type="list" xr:uid="{7E4AD0AE-F898-480B-95B5-C4B245A1CA60}" sqref="N4" showErrorMessage="1" errorTitle="An invalid feedback was entered" error="Please choose feedback from drop down only.">
      <formula1>"1,2,3,4,5,6,N/A"</formula1>
    </dataValidation>
    <dataValidation type="list" xr:uid="{3C5C8136-A861-40DA-B7F4-25794DB0FC0E}" sqref="O4" showErrorMessage="1" errorTitle="An invalid feedback was entered" error="Please choose feedback from drop down only.">
      <formula1>"1,2,3,4,5,6,N/A"</formula1>
    </dataValidation>
    <dataValidation type="list" xr:uid="{77F2442A-0754-4C17-A9AC-2E9860166B25}" sqref="P4" showErrorMessage="1" errorTitle="An invalid feedback was entered" error="Please choose feedback from drop down only.">
      <formula1>"1,2,3,4,5,6,N/A"</formula1>
    </dataValidation>
    <dataValidation type="list" xr:uid="{20F2AFA4-E201-4A8A-806F-9763AF40BD54}" sqref="Q4" showErrorMessage="1" errorTitle="An invalid feedback was entered" error="Please choose feedback from drop down only.">
      <formula1>"1,2,3,4,5,6,N/A"</formula1>
    </dataValidation>
    <dataValidation type="list" xr:uid="{5C8373F8-ED38-4A7F-8F7A-78B15CD7BCF5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B4377C-1FBF-4ED3-8C83-022FE04B4D8B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2631DC5-29DC-474C-BA6F-19011B7C849D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95F081-E992-443E-96DB-7E2204F8BF4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B08FDA-0C4A-448C-8FE2-0BE967D0399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F96C37-7986-4E09-9B59-F5E48D56DF54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C587EFBD-ADD9-4F2D-A9DA-582645E86FBB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F27A2A-ADE7-4A74-B3F1-9F25B38977C7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F62BBBE-BDF5-4203-B9D7-7E30D877CD80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BBABD36-1643-4537-8041-7B51C07B706B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4864F7-0623-442C-A223-C6F5EDB8D5C1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706BA95-6A53-4A6D-A039-EA23E29B4B25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7AEA27E-CC35-47F3-8434-1D8B1A86C2E6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B02EFC0-0EB8-40DC-B4E0-DBADC519E40F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76B2085-6BAB-4B61-8A75-4A6C12EFD528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FC6E0E-F23D-4695-9049-9D235A08076F}" sqref="C28" showErrorMessage="1" errorTitle="An invalid feedback was entered" error="Please choose feedback from drop down only.">
      <formula1>"Yes,No,FlexRET"</formula1>
    </dataValidation>
    <dataValidation type="list" xr:uid="{37CD2F6B-6246-416B-A07D-7701B946A555}" sqref="D28" showErrorMessage="1" errorTitle="An invalid feedback was entered" error="Please choose feedback from drop down only.">
      <formula1>"Yes,No,FlexRET"</formula1>
    </dataValidation>
    <dataValidation type="list" xr:uid="{011A81A0-E501-414B-A33E-0DAD83CCD78F}" sqref="E28" showErrorMessage="1" errorTitle="An invalid feedback was entered" error="Please choose feedback from drop down only.">
      <formula1>"Yes,No,FlexRET"</formula1>
    </dataValidation>
    <dataValidation type="list" xr:uid="{8A6E4666-97C3-4B9C-A37E-C257052DF121}" sqref="F28" showErrorMessage="1" errorTitle="An invalid feedback was entered" error="Please choose feedback from drop down only.">
      <formula1>"Yes,No,FlexRET"</formula1>
    </dataValidation>
    <dataValidation type="list" xr:uid="{28832F37-14F2-4962-8BFA-ECC7879F6AA5}" sqref="G28" showErrorMessage="1" errorTitle="An invalid feedback was entered" error="Please choose feedback from drop down only.">
      <formula1>"Yes,No,FlexRET"</formula1>
    </dataValidation>
    <dataValidation type="list" xr:uid="{5DBF0053-4517-437D-B1F0-71F6EDD8001C}" sqref="H28" showErrorMessage="1" errorTitle="An invalid feedback was entered" error="Please choose feedback from drop down only.">
      <formula1>"Yes,No,FlexRET"</formula1>
    </dataValidation>
    <dataValidation type="list" xr:uid="{F52C1075-225F-4913-9E23-7ED88CADECA4}" sqref="I28" showErrorMessage="1" errorTitle="An invalid feedback was entered" error="Please choose feedback from drop down only.">
      <formula1>"Yes,No,FlexRET"</formula1>
    </dataValidation>
    <dataValidation type="list" xr:uid="{631484E1-97AD-49CB-94C8-FD991AAEB87B}" sqref="J28" showErrorMessage="1" errorTitle="An invalid feedback was entered" error="Please choose feedback from drop down only.">
      <formula1>"Yes,No,FlexRET"</formula1>
    </dataValidation>
    <dataValidation type="list" xr:uid="{3DBDF232-457D-47DB-9ED9-8074DE73A63A}" sqref="K28" showErrorMessage="1" errorTitle="An invalid feedback was entered" error="Please choose feedback from drop down only.">
      <formula1>"Yes,No,FlexRET"</formula1>
    </dataValidation>
    <dataValidation type="list" xr:uid="{CA0855B0-D095-4A0B-B3E4-3D58CC6ACDA2}" sqref="L28" showErrorMessage="1" errorTitle="An invalid feedback was entered" error="Please choose feedback from drop down only.">
      <formula1>"Yes,No,FlexRET"</formula1>
    </dataValidation>
    <dataValidation type="list" xr:uid="{0C3D2729-8E66-458F-BBC9-D01AFF20106B}" sqref="M28" showErrorMessage="1" errorTitle="An invalid feedback was entered" error="Please choose feedback from drop down only.">
      <formula1>"Yes,No,FlexRET"</formula1>
    </dataValidation>
    <dataValidation type="list" xr:uid="{12947082-8909-4B4C-9D52-722EE4B8C591}" sqref="N28" showErrorMessage="1" errorTitle="An invalid feedback was entered" error="Please choose feedback from drop down only.">
      <formula1>"Yes,No,FlexRET"</formula1>
    </dataValidation>
    <dataValidation type="list" xr:uid="{75E663B3-BF17-4EAB-BDA0-B40776A86E05}" sqref="O28" showErrorMessage="1" errorTitle="An invalid feedback was entered" error="Please choose feedback from drop down only.">
      <formula1>"Yes,No,FlexRET"</formula1>
    </dataValidation>
    <dataValidation type="list" xr:uid="{F9E54CA6-EDE0-4A68-8337-BDF89714FEC9}" sqref="P28" showErrorMessage="1" errorTitle="An invalid feedback was entered" error="Please choose feedback from drop down only.">
      <formula1>"Yes,No,FlexRET"</formula1>
    </dataValidation>
    <dataValidation type="list" xr:uid="{951FE7A6-2E1C-4729-AC88-85299D30F812}" sqref="Q28" showErrorMessage="1" errorTitle="An invalid feedback was entered" error="Please choose feedback from drop down only.">
      <formula1>"Yes,No,FlexRET"</formula1>
    </dataValidation>
    <dataValidation type="list" xr:uid="{54816628-4E51-4D1B-AA3B-58E9DDB26A12}" sqref="C29" showErrorMessage="1" errorTitle="An invalid feedback was entered" error="Please choose feedback from drop down only.">
      <formula1>"Yes,No,FlexRET"</formula1>
    </dataValidation>
    <dataValidation type="list" xr:uid="{CE17E8C0-641F-45CF-88D0-591191D724B8}" sqref="D29" showErrorMessage="1" errorTitle="An invalid feedback was entered" error="Please choose feedback from drop down only.">
      <formula1>"Yes,No,FlexRET"</formula1>
    </dataValidation>
    <dataValidation type="list" xr:uid="{6AFC8A60-7C73-41FF-85E4-8ED30AE1ED0A}" sqref="E29" showErrorMessage="1" errorTitle="An invalid feedback was entered" error="Please choose feedback from drop down only.">
      <formula1>"Yes,No,FlexRET"</formula1>
    </dataValidation>
    <dataValidation type="list" xr:uid="{98657994-179D-4F5D-855F-5EEA5B6AAFEB}" sqref="F29" showErrorMessage="1" errorTitle="An invalid feedback was entered" error="Please choose feedback from drop down only.">
      <formula1>"Yes,No,FlexRET"</formula1>
    </dataValidation>
    <dataValidation type="list" xr:uid="{3060E221-C844-409D-B567-5DEE8179F518}" sqref="G29" showErrorMessage="1" errorTitle="An invalid feedback was entered" error="Please choose feedback from drop down only.">
      <formula1>"Yes,No,FlexRET"</formula1>
    </dataValidation>
    <dataValidation type="list" xr:uid="{94E746AF-7916-4A54-A707-9CE7A0F0AECB}" sqref="H29" showErrorMessage="1" errorTitle="An invalid feedback was entered" error="Please choose feedback from drop down only.">
      <formula1>"Yes,No,FlexRET"</formula1>
    </dataValidation>
    <dataValidation type="list" xr:uid="{25CBBA6F-CBB6-4ED0-8C60-54906ACC2C79}" sqref="I29" showErrorMessage="1" errorTitle="An invalid feedback was entered" error="Please choose feedback from drop down only.">
      <formula1>"Yes,No,FlexRET"</formula1>
    </dataValidation>
    <dataValidation type="list" xr:uid="{4443EE9B-A943-47AC-ABEB-D8B3CED926D7}" sqref="J29" showErrorMessage="1" errorTitle="An invalid feedback was entered" error="Please choose feedback from drop down only.">
      <formula1>"Yes,No,FlexRET"</formula1>
    </dataValidation>
    <dataValidation type="list" xr:uid="{355564D7-C416-4514-8CAF-D8C12F1C4DFE}" sqref="K29" showErrorMessage="1" errorTitle="An invalid feedback was entered" error="Please choose feedback from drop down only.">
      <formula1>"Yes,No,FlexRET"</formula1>
    </dataValidation>
    <dataValidation type="list" xr:uid="{9F1B74D6-B82D-4B8D-A6DB-F9DC1BD03288}" sqref="L29" showErrorMessage="1" errorTitle="An invalid feedback was entered" error="Please choose feedback from drop down only.">
      <formula1>"Yes,No,FlexRET"</formula1>
    </dataValidation>
    <dataValidation type="list" xr:uid="{65EFF5E5-9D13-4220-82D8-08A6FD31FEFD}" sqref="M29" showErrorMessage="1" errorTitle="An invalid feedback was entered" error="Please choose feedback from drop down only.">
      <formula1>"Yes,No,FlexRET"</formula1>
    </dataValidation>
    <dataValidation type="list" xr:uid="{41C2B2CF-C4C1-40D8-9899-39BF6BB47FFE}" sqref="N29" showErrorMessage="1" errorTitle="An invalid feedback was entered" error="Please choose feedback from drop down only.">
      <formula1>"Yes,No,FlexRET"</formula1>
    </dataValidation>
    <dataValidation type="list" xr:uid="{5B2B47F7-E85A-4C72-B810-FEB5A86CECCA}" sqref="O29" showErrorMessage="1" errorTitle="An invalid feedback was entered" error="Please choose feedback from drop down only.">
      <formula1>"Yes,No,FlexRET"</formula1>
    </dataValidation>
    <dataValidation type="list" xr:uid="{D2AF3FBB-F083-4DE4-BDB6-50F45C7242B3}" sqref="P29" showErrorMessage="1" errorTitle="An invalid feedback was entered" error="Please choose feedback from drop down only.">
      <formula1>"Yes,No,FlexRET"</formula1>
    </dataValidation>
    <dataValidation type="list" xr:uid="{6F1CCA47-5089-4EFA-878F-CE81D7EE622E}" sqref="Q29" showErrorMessage="1" errorTitle="An invalid feedback was entered" error="Please choose feedback from drop down only.">
      <formula1>"Yes,No,FlexRET"</formula1>
    </dataValidation>
    <dataValidation type="list" xr:uid="{E5D4AA19-F246-4623-B945-FA1A13070B4C}" sqref="C25" showErrorMessage="1" errorTitle="An invalid feedback was entered" error="Please choose feedback from drop down only.">
      <formula1>"G,U,L,NR,GU,UL,GL,GUL,LNR,ULNR,None"</formula1>
    </dataValidation>
    <dataValidation type="list" xr:uid="{6BC5690E-A654-4620-9CFA-D3AD6C7A8D32}" sqref="D25" showErrorMessage="1" errorTitle="An invalid feedback was entered" error="Please choose feedback from drop down only.">
      <formula1>"G,U,L,NR,GU,UL,GL,GUL,LNR,ULNR,None"</formula1>
    </dataValidation>
    <dataValidation type="list" xr:uid="{4C20CD29-E688-4127-8450-C14A6144C7C4}" sqref="E25" showErrorMessage="1" errorTitle="An invalid feedback was entered" error="Please choose feedback from drop down only.">
      <formula1>"G,U,L,NR,GU,UL,GL,GUL,LNR,ULNR,None"</formula1>
    </dataValidation>
    <dataValidation type="list" xr:uid="{E6E102C1-0161-4E79-81B6-ED7E4D2D7C45}" sqref="F25" showErrorMessage="1" errorTitle="An invalid feedback was entered" error="Please choose feedback from drop down only.">
      <formula1>"G,U,L,NR,GU,UL,GL,GUL,LNR,ULNR,None"</formula1>
    </dataValidation>
    <dataValidation type="list" xr:uid="{20C9A2C9-EF8B-418C-B922-7B70A0DADC44}" sqref="G25" showErrorMessage="1" errorTitle="An invalid feedback was entered" error="Please choose feedback from drop down only.">
      <formula1>"G,U,L,NR,GU,UL,GL,GUL,LNR,ULNR,None"</formula1>
    </dataValidation>
    <dataValidation type="list" xr:uid="{89ECD49A-893A-486D-8756-7F261B28AF81}" sqref="H25" showErrorMessage="1" errorTitle="An invalid feedback was entered" error="Please choose feedback from drop down only.">
      <formula1>"G,U,L,NR,GU,UL,GL,GUL,LNR,ULNR,None"</formula1>
    </dataValidation>
    <dataValidation type="list" xr:uid="{6502EF11-4939-4536-A34B-54B71AEBC362}" sqref="I25" showErrorMessage="1" errorTitle="An invalid feedback was entered" error="Please choose feedback from drop down only.">
      <formula1>"G,U,L,NR,GU,UL,GL,GUL,LNR,ULNR,None"</formula1>
    </dataValidation>
    <dataValidation type="list" xr:uid="{3490B2FB-7D22-49E7-AE1B-3D4F03C691EB}" sqref="J25" showErrorMessage="1" errorTitle="An invalid feedback was entered" error="Please choose feedback from drop down only.">
      <formula1>"G,U,L,NR,GU,UL,GL,GUL,LNR,ULNR,None"</formula1>
    </dataValidation>
    <dataValidation type="list" xr:uid="{C7639EA1-BCD0-42D9-802F-771DDB18A66B}" sqref="K25" showErrorMessage="1" errorTitle="An invalid feedback was entered" error="Please choose feedback from drop down only.">
      <formula1>"G,U,L,NR,GU,UL,GL,GUL,LNR,ULNR,None"</formula1>
    </dataValidation>
    <dataValidation type="list" xr:uid="{057E559E-094B-46FF-B7F3-B92D738DBBB5}" sqref="L25" showErrorMessage="1" errorTitle="An invalid feedback was entered" error="Please choose feedback from drop down only.">
      <formula1>"G,U,L,NR,GU,UL,GL,GUL,LNR,ULNR,None"</formula1>
    </dataValidation>
    <dataValidation type="list" xr:uid="{37AE4C6E-8FA3-482A-B804-CAA4AE5EE4D7}" sqref="M25" showErrorMessage="1" errorTitle="An invalid feedback was entered" error="Please choose feedback from drop down only.">
      <formula1>"G,U,L,NR,GU,UL,GL,GUL,LNR,ULNR,None"</formula1>
    </dataValidation>
    <dataValidation type="list" xr:uid="{253370BC-0375-4430-B530-65B8968521EA}" sqref="N25" showErrorMessage="1" errorTitle="An invalid feedback was entered" error="Please choose feedback from drop down only.">
      <formula1>"G,U,L,NR,GU,UL,GL,GUL,LNR,ULNR,None"</formula1>
    </dataValidation>
    <dataValidation type="list" xr:uid="{332005B1-E066-4AA5-B5D8-C8313A99BD9E}" sqref="O25" showErrorMessage="1" errorTitle="An invalid feedback was entered" error="Please choose feedback from drop down only.">
      <formula1>"G,U,L,NR,GU,UL,GL,GUL,LNR,ULNR,None"</formula1>
    </dataValidation>
    <dataValidation type="list" xr:uid="{A848ABCA-D203-4F65-BA83-FFC48750A4EF}" sqref="P25" showErrorMessage="1" errorTitle="An invalid feedback was entered" error="Please choose feedback from drop down only.">
      <formula1>"G,U,L,NR,GU,UL,GL,GUL,LNR,ULNR,None"</formula1>
    </dataValidation>
    <dataValidation type="list" xr:uid="{458AD7EB-2B4C-4AA9-9379-84343B3C1F2D}" sqref="Q25" showErrorMessage="1" errorTitle="An invalid feedback was entered" error="Please choose feedback from drop down only.">
      <formula1>"G,U,L,NR,GU,UL,GL,GUL,LNR,ULNR,None"</formula1>
    </dataValidation>
    <dataValidation type="list" xr:uid="{7964B4B9-76B9-494C-9021-78A6F9DD19ED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A58E316-24C9-433D-9AAA-3A5DE4DE00C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9CDBBEE-A3D9-4E7D-806C-03E0D43A2402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6CE1889-614C-47E4-9445-D97CC18F222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27FB94E-75D7-4698-8E4A-036E6C6AB16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ECE6BB3-8A25-4CD6-A302-051BB63D30E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90D336-6027-4FB2-A1E2-9A242072C00E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E9F660A-D7BF-4767-B7FF-AF76EDF9934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008E547-76E9-49B6-B1D5-DD890E1E6C9D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B08B3F6-F72F-4FCD-AC14-4E641707FC10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99D68A0-620D-429A-8ACE-F87EC9A331D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AAC1AD7-79A6-4577-99D6-009CDF964D2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B716765-15B6-4925-B4FE-48F00CE8EB16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6BEEBD8-0D51-41E8-A8AA-CD30A96FD0F0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6EBF5C-BF4F-4A48-A22C-54358E2FFD52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25" right="0.25" top="0.75" bottom="0.75" header="0.3" footer="0.3"/>
  <pageSetup paperSize="9" scale="56" fitToHeight="0"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979D033-76D8-4DA1-AA2C-763F87F982CC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3E48CDE4-F4EE-4EFB-9E91-723D6AB1B47C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98CC202A-BA04-4D7C-AC95-72958274DE5E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352545E3-93D4-4418-9BAE-019446B855A1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E0C50C1A-A8CA-4B14-ACC7-C35E2DF74633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B72F4C99-441D-45E1-AF41-AC4494F05C9A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4DA5B1B9-81CB-4140-A01A-B5004F3A078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D5DADF4C-2C26-4E14-8189-49F01E58CE5C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69D0AC8E-DD30-4303-88E0-33CFAE53C55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F26515A-5989-4600-A355-28336B58551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BE70AF57-1A91-439D-99F3-18450BE08F6B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D920D529-6C60-47DA-979E-D9305AFC6882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3D1DA502-B701-4FE6-A3CF-A61A993EC814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AF882348-1007-4228-983C-9091D10F2B2A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D714E37F-61A2-4E80-AC8C-A36CEF81B59D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3C9A5BBB-D3EE-49D0-89FE-F939EC7E851E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D92B55F-2B4A-4D97-A941-508CFBE9E36B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62BA6D9-E2C8-4365-8191-BAC72E3BD0C7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B28BB267-ACDD-4E03-9920-2CC87F68A00D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31EDCAAD-A545-48BA-AB43-3A4E17CD6BF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B352CDBE-5626-406F-9455-32A9C9D70869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534FF964-C0A8-4A2D-B333-5D7EBD9A4F92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5AB93513-6ACD-4C16-8C0D-D7DD5D0EA570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C3451ED-29B8-473E-B0FB-6065271B8FCC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50E99B52-B002-4CA3-B894-5D97B9C88CD7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C79EA17A-07F5-4976-A181-22A7172AFEA9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109C2CD0-A91E-4B37-BE53-5584D6CA681E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43712726-8892-48A2-B227-E34CFE0AD52A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4E682543-986C-47A7-AA95-D5AD4C42FC0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12854EF1-1413-4F44-8ADF-E618BC7FF77B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E7B4E51F-1483-46B1-83F9-55522FF4EDB5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B88223E9-8602-403F-931A-6E443F38623F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DBFDD3EF-DFA0-4E62-82EE-83CFDB1805B1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E1410346-0FB6-4C00-8A4C-4CB48F8C2833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913E6EB8-10FD-4672-8AD3-72DDE1BAED7C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2F9547CD-3386-4E0A-90B7-43FA8B1A29F0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6907243B-D744-4A02-BF9D-1588798874D6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CC3B8D9B-E64B-48F7-B5C4-290482FA195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D3DEC57B-707C-4E11-8BE4-FED56206F60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5703C895-582A-46E3-A1F7-DE30398A7DDA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26C2CB1B-1768-45CF-A520-F2C69FC6AD0F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FBB0B2E9-FEBA-4C0F-8CC5-63A07F99E08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429A9D3E-4EDE-4AB3-9F2F-4AF980486C68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8D429BD-E6B0-4124-8597-24FC66AA341C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573068C-1EF1-40D4-903D-12F86D244CA1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7B04C201-5318-47E4-A147-6F4A8EEAF358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FED2B0B-D833-4A23-834C-047624A6728D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17F7EE8A-F958-46FE-80BF-056FD129B8FA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ECB19CE6-63BD-49FB-ABCB-FDF707BD615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1F00D49-35F7-4513-8B6C-71946BAE2585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48A6CDFE-C19B-4F8D-9F62-BF91307C7850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18C00A6F-68A3-45EF-B14D-8636BE4B4DC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6373F0A0-9C37-4647-B5D8-A52FD02FD52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035EEA52-119D-4CC7-9E9F-D793F6CDB935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4CC0301-DE44-4227-90BE-CEE1B07FD99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8DB0D6E-E402-4EAB-B3EA-AA3BC743673B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FE44E5D-F9BB-47D1-9200-590381215A72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82C60FE3-173F-4612-8219-E68D6DCF2CB8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1B2A5696-0AA0-4DDE-819B-6E927856B25E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6B8462D-2B26-409D-BB6C-F4FC80541B2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6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109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1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1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0EB191B8-4043-4759-8274-58CFEC86934C}" sqref="C2" showErrorMessage="1" errorTitle="An invalid feedback was entered" error="Please choose feedback from drop down only.">
      <formula1>"1,2,3"</formula1>
    </dataValidation>
    <dataValidation type="list" xr:uid="{5406EB4E-3A7E-4297-BA56-5F2464187221}" sqref="D2" showErrorMessage="1" errorTitle="An invalid feedback was entered" error="Please choose feedback from drop down only.">
      <formula1>"1,2,3"</formula1>
    </dataValidation>
    <dataValidation type="list" xr:uid="{ED532A1B-1E8B-4CF3-A91E-49C7768DC3A4}" sqref="E2" showErrorMessage="1" errorTitle="An invalid feedback was entered" error="Please choose feedback from drop down only.">
      <formula1>"1,2,3"</formula1>
    </dataValidation>
    <dataValidation type="list" xr:uid="{FEAE82E9-A608-4E61-8A95-D3C4FCB2894A}" sqref="F2" showErrorMessage="1" errorTitle="An invalid feedback was entered" error="Please choose feedback from drop down only.">
      <formula1>"1,2,3"</formula1>
    </dataValidation>
    <dataValidation type="list" xr:uid="{A746A68F-987C-49AA-975E-B8B605895D64}" sqref="G2" showErrorMessage="1" errorTitle="An invalid feedback was entered" error="Please choose feedback from drop down only.">
      <formula1>"1,2,3"</formula1>
    </dataValidation>
    <dataValidation type="list" xr:uid="{1180AD8A-264A-4A9B-8CFA-75A7E5416D01}" sqref="H2" showErrorMessage="1" errorTitle="An invalid feedback was entered" error="Please choose feedback from drop down only.">
      <formula1>"1,2,3"</formula1>
    </dataValidation>
    <dataValidation type="list" xr:uid="{81569F19-5774-47ED-AAFE-79F9F416F1EA}" sqref="I2" showErrorMessage="1" errorTitle="An invalid feedback was entered" error="Please choose feedback from drop down only.">
      <formula1>"1,2,3"</formula1>
    </dataValidation>
    <dataValidation type="list" xr:uid="{B750EE7E-4A34-4222-A8E6-6203B1A1C937}" sqref="J2" showErrorMessage="1" errorTitle="An invalid feedback was entered" error="Please choose feedback from drop down only.">
      <formula1>"1,2,3"</formula1>
    </dataValidation>
    <dataValidation type="list" xr:uid="{1CE40ED0-7ED1-4864-B174-69D0F3ADAC4B}" sqref="K2" showErrorMessage="1" errorTitle="An invalid feedback was entered" error="Please choose feedback from drop down only.">
      <formula1>"1,2,3"</formula1>
    </dataValidation>
    <dataValidation type="list" xr:uid="{ADB498F1-DD9C-46B8-8B7B-3F74D7A7A221}" sqref="L2" showErrorMessage="1" errorTitle="An invalid feedback was entered" error="Please choose feedback from drop down only.">
      <formula1>"1,2,3"</formula1>
    </dataValidation>
    <dataValidation type="list" xr:uid="{1CEFD567-36F3-40A4-BF93-897FFE30F867}" sqref="M2" showErrorMessage="1" errorTitle="An invalid feedback was entered" error="Please choose feedback from drop down only.">
      <formula1>"1,2,3"</formula1>
    </dataValidation>
    <dataValidation type="list" xr:uid="{2C099DEF-6B27-40A0-92F1-1468FCB28B95}" sqref="N2" showErrorMessage="1" errorTitle="An invalid feedback was entered" error="Please choose feedback from drop down only.">
      <formula1>"1,2,3"</formula1>
    </dataValidation>
    <dataValidation type="list" xr:uid="{58B710CF-686D-4CEC-AF8C-2E942B6BD08C}" sqref="O2" showErrorMessage="1" errorTitle="An invalid feedback was entered" error="Please choose feedback from drop down only.">
      <formula1>"1,2,3"</formula1>
    </dataValidation>
    <dataValidation type="list" xr:uid="{B1446191-E4AB-41EB-9A46-0DE676BB950D}" sqref="P2" showErrorMessage="1" errorTitle="An invalid feedback was entered" error="Please choose feedback from drop down only.">
      <formula1>"1,2,3"</formula1>
    </dataValidation>
    <dataValidation type="list" xr:uid="{0930861B-E9D3-4421-B34F-CF30BE299A4D}" sqref="Q2" showErrorMessage="1" errorTitle="An invalid feedback was entered" error="Please choose feedback from drop down only.">
      <formula1>"1,2,3"</formula1>
    </dataValidation>
    <dataValidation type="list" xr:uid="{8470CF00-DAC5-4083-898B-0178D981967C}" sqref="C17" showErrorMessage="1" errorTitle="An invalid feedback was entered" error="Please choose feedback from drop down only.">
      <formula1>"1-2,3-4,5-6,7-8,9-10,N/A"</formula1>
    </dataValidation>
    <dataValidation type="list" xr:uid="{39F426E3-9AF3-44E1-9876-254F8FA0169B}" sqref="D17" showErrorMessage="1" errorTitle="An invalid feedback was entered" error="Please choose feedback from drop down only.">
      <formula1>"1-2,3-4,5-6,7-8,9-10,N/A"</formula1>
    </dataValidation>
    <dataValidation type="list" xr:uid="{573CE587-90FC-4844-8CA6-20368A68D067}" sqref="E17" showErrorMessage="1" errorTitle="An invalid feedback was entered" error="Please choose feedback from drop down only.">
      <formula1>"1-2,3-4,5-6,7-8,9-10,N/A"</formula1>
    </dataValidation>
    <dataValidation type="list" xr:uid="{59B2F9A8-4DEF-4FC6-8539-158D03DE92F7}" sqref="F17" showErrorMessage="1" errorTitle="An invalid feedback was entered" error="Please choose feedback from drop down only.">
      <formula1>"1-2,3-4,5-6,7-8,9-10,N/A"</formula1>
    </dataValidation>
    <dataValidation type="list" xr:uid="{8103AF46-51DB-41AE-9981-07ECAE4CEFA2}" sqref="G17" showErrorMessage="1" errorTitle="An invalid feedback was entered" error="Please choose feedback from drop down only.">
      <formula1>"1-2,3-4,5-6,7-8,9-10,N/A"</formula1>
    </dataValidation>
    <dataValidation type="list" xr:uid="{8DB1ADDF-B86D-4144-889F-6868017E4473}" sqref="H17" showErrorMessage="1" errorTitle="An invalid feedback was entered" error="Please choose feedback from drop down only.">
      <formula1>"1-2,3-4,5-6,7-8,9-10,N/A"</formula1>
    </dataValidation>
    <dataValidation type="list" xr:uid="{CADD1B4A-440A-4445-A86A-4BF0ED49090B}" sqref="I17" showErrorMessage="1" errorTitle="An invalid feedback was entered" error="Please choose feedback from drop down only.">
      <formula1>"1-2,3-4,5-6,7-8,9-10,N/A"</formula1>
    </dataValidation>
    <dataValidation type="list" xr:uid="{7F148AAD-0D17-4A6F-99A9-34B27F438F18}" sqref="J17" showErrorMessage="1" errorTitle="An invalid feedback was entered" error="Please choose feedback from drop down only.">
      <formula1>"1-2,3-4,5-6,7-8,9-10,N/A"</formula1>
    </dataValidation>
    <dataValidation type="list" xr:uid="{9B418C28-4DF6-49A0-BCFA-BA1D6E116207}" sqref="K17" showErrorMessage="1" errorTitle="An invalid feedback was entered" error="Please choose feedback from drop down only.">
      <formula1>"1-2,3-4,5-6,7-8,9-10,N/A"</formula1>
    </dataValidation>
    <dataValidation type="list" xr:uid="{A80CF56D-64F3-4932-BAE5-C9E3FED683B3}" sqref="L17" showErrorMessage="1" errorTitle="An invalid feedback was entered" error="Please choose feedback from drop down only.">
      <formula1>"1-2,3-4,5-6,7-8,9-10,N/A"</formula1>
    </dataValidation>
    <dataValidation type="list" xr:uid="{F86E534A-1C85-494E-9F35-FB0F7DB52D3C}" sqref="M17" showErrorMessage="1" errorTitle="An invalid feedback was entered" error="Please choose feedback from drop down only.">
      <formula1>"1-2,3-4,5-6,7-8,9-10,N/A"</formula1>
    </dataValidation>
    <dataValidation type="list" xr:uid="{C1BB506C-864B-4763-8038-A2854CF5A0A1}" sqref="N17" showErrorMessage="1" errorTitle="An invalid feedback was entered" error="Please choose feedback from drop down only.">
      <formula1>"1-2,3-4,5-6,7-8,9-10,N/A"</formula1>
    </dataValidation>
    <dataValidation type="list" xr:uid="{B0FE113F-15CD-4FD8-8E2F-0CC447570316}" sqref="O17" showErrorMessage="1" errorTitle="An invalid feedback was entered" error="Please choose feedback from drop down only.">
      <formula1>"1-2,3-4,5-6,7-8,9-10,N/A"</formula1>
    </dataValidation>
    <dataValidation type="list" xr:uid="{6A4F325D-B3A0-47D2-A734-C1DBDD6E0058}" sqref="P17" showErrorMessage="1" errorTitle="An invalid feedback was entered" error="Please choose feedback from drop down only.">
      <formula1>"1-2,3-4,5-6,7-8,9-10,N/A"</formula1>
    </dataValidation>
    <dataValidation type="list" xr:uid="{D49674DB-E7FB-446E-B47C-C8E8D6911485}" sqref="Q17" showErrorMessage="1" errorTitle="An invalid feedback was entered" error="Please choose feedback from drop down only.">
      <formula1>"1-2,3-4,5-6,7-8,9-10,N/A"</formula1>
    </dataValidation>
    <dataValidation type="list" xr:uid="{1F134D59-0909-406B-B432-00AE922F20C2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CC484AB7-BFBC-442C-9EC3-3D15DF28B7F8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DC9D993-54AB-43DB-B718-546F8CB1F19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A45FCE99-EF00-4271-AFB4-F3E37FEAB329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F10BAC22-1CFB-4599-85EA-9FE71D09FB8F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69E68632-151D-428F-97CE-2B07AD2EE06F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0E58731B-4FC6-4D6B-9BCA-B06B3F95D8BF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43BC7246-715A-4C11-9602-6C42663233B2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E13A89B2-3039-42A3-B3A2-04318E3347B6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5ADF744-240D-4510-8D1E-6AAD8C0EF1DC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0D34F6D6-9156-46C9-B16A-D256EF59D711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AF038887-F508-44A9-BC03-D97670F0C7DF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97BE9492-12B3-4981-8B65-C26BC71A87F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94DF9238-3DB8-44B9-B072-9F0B46BAFF1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61FAF4B9-B092-4E97-9785-72817BC2695D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9BE3375-56B8-408A-BEF7-DD5EA3C12C7B}" sqref="C23" showErrorMessage="1" errorTitle="An invalid feedback was entered" error="Please choose feedback from drop down only.">
      <formula1>"Yetel,Bulsatcom,A1,Yetel&amp;A1,N/A"</formula1>
    </dataValidation>
    <dataValidation type="list" xr:uid="{3068DA89-B21D-40D8-807F-A915A7CB1E7D}" sqref="D23" showErrorMessage="1" errorTitle="An invalid feedback was entered" error="Please choose feedback from drop down only.">
      <formula1>"Yetel,Bulsatcom,A1,Yetel&amp;A1,N/A"</formula1>
    </dataValidation>
    <dataValidation type="list" xr:uid="{A4FE0CD9-FB0C-4FDB-84E1-D19B07D74D24}" sqref="E23" showErrorMessage="1" errorTitle="An invalid feedback was entered" error="Please choose feedback from drop down only.">
      <formula1>"Yetel,Bulsatcom,A1,Yetel&amp;A1,N/A"</formula1>
    </dataValidation>
    <dataValidation type="list" xr:uid="{150A3572-654D-4018-A43F-AFA44139C4B6}" sqref="F23" showErrorMessage="1" errorTitle="An invalid feedback was entered" error="Please choose feedback from drop down only.">
      <formula1>"Yetel,Bulsatcom,A1,Yetel&amp;A1,N/A"</formula1>
    </dataValidation>
    <dataValidation type="list" xr:uid="{0CA37715-B599-4F45-B6D3-97959B28E46C}" sqref="G23" showErrorMessage="1" errorTitle="An invalid feedback was entered" error="Please choose feedback from drop down only.">
      <formula1>"Yetel,Bulsatcom,A1,Yetel&amp;A1,N/A"</formula1>
    </dataValidation>
    <dataValidation type="list" xr:uid="{3A0A6EB2-8A48-4339-9761-0C41B59BA7C6}" sqref="H23" showErrorMessage="1" errorTitle="An invalid feedback was entered" error="Please choose feedback from drop down only.">
      <formula1>"Yetel,Bulsatcom,A1,Yetel&amp;A1,N/A"</formula1>
    </dataValidation>
    <dataValidation type="list" xr:uid="{10D874B2-AF1A-4A15-9391-631E5D06291C}" sqref="I23" showErrorMessage="1" errorTitle="An invalid feedback was entered" error="Please choose feedback from drop down only.">
      <formula1>"Yetel,Bulsatcom,A1,Yetel&amp;A1,N/A"</formula1>
    </dataValidation>
    <dataValidation type="list" xr:uid="{D1C1B0C3-F045-4D07-88CD-64B5214E85E3}" sqref="J23" showErrorMessage="1" errorTitle="An invalid feedback was entered" error="Please choose feedback from drop down only.">
      <formula1>"Yetel,Bulsatcom,A1,Yetel&amp;A1,N/A"</formula1>
    </dataValidation>
    <dataValidation type="list" xr:uid="{FF654FB7-759E-49A8-A924-3CF40A6671EC}" sqref="K23" showErrorMessage="1" errorTitle="An invalid feedback was entered" error="Please choose feedback from drop down only.">
      <formula1>"Yetel,Bulsatcom,A1,Yetel&amp;A1,N/A"</formula1>
    </dataValidation>
    <dataValidation type="list" xr:uid="{EE8C7071-9BDB-4130-A877-3BAAAE02F261}" sqref="L23" showErrorMessage="1" errorTitle="An invalid feedback was entered" error="Please choose feedback from drop down only.">
      <formula1>"Yetel,Bulsatcom,A1,Yetel&amp;A1,N/A"</formula1>
    </dataValidation>
    <dataValidation type="list" xr:uid="{B75230B0-AB96-4E47-9AD5-AA5CFC7BC650}" sqref="M23" showErrorMessage="1" errorTitle="An invalid feedback was entered" error="Please choose feedback from drop down only.">
      <formula1>"Yetel,Bulsatcom,A1,Yetel&amp;A1,N/A"</formula1>
    </dataValidation>
    <dataValidation type="list" xr:uid="{D946053A-7D9B-4B01-91B5-71E206082A8C}" sqref="N23" showErrorMessage="1" errorTitle="An invalid feedback was entered" error="Please choose feedback from drop down only.">
      <formula1>"Yetel,Bulsatcom,A1,Yetel&amp;A1,N/A"</formula1>
    </dataValidation>
    <dataValidation type="list" xr:uid="{AFDF9D8D-FD9B-4FB1-A885-B6C7AC83A008}" sqref="O23" showErrorMessage="1" errorTitle="An invalid feedback was entered" error="Please choose feedback from drop down only.">
      <formula1>"Yetel,Bulsatcom,A1,Yetel&amp;A1,N/A"</formula1>
    </dataValidation>
    <dataValidation type="list" xr:uid="{43FF5252-A559-40CF-A1F4-AB8A2708D5F0}" sqref="P23" showErrorMessage="1" errorTitle="An invalid feedback was entered" error="Please choose feedback from drop down only.">
      <formula1>"Yetel,Bulsatcom,A1,Yetel&amp;A1,N/A"</formula1>
    </dataValidation>
    <dataValidation type="list" xr:uid="{AC62BE38-C0CE-4E2D-9123-C04B3442813B}" sqref="Q23" showErrorMessage="1" errorTitle="An invalid feedback was entered" error="Please choose feedback from drop down only.">
      <formula1>"Yetel,Bulsatcom,A1,Yetel&amp;A1,N/A"</formula1>
    </dataValidation>
    <dataValidation type="list" xr:uid="{3D9D6371-41DE-43F6-94ED-CC5CE7F73C2B}" sqref="C31" showErrorMessage="1" errorTitle="An invalid feedback was entered" error="Please choose feedback from drop down only.">
      <formula1>"1/2,5/4,7/8,RRU TOP JUMPER,N/A"</formula1>
    </dataValidation>
    <dataValidation type="list" xr:uid="{F0FB8786-3C8C-4D71-82D1-4F87B7EF9090}" sqref="D31" showErrorMessage="1" errorTitle="An invalid feedback was entered" error="Please choose feedback from drop down only.">
      <formula1>"1/2,5/4,7/8,RRU TOP JUMPER,N/A"</formula1>
    </dataValidation>
    <dataValidation type="list" xr:uid="{8452E0C7-46D7-451E-9336-0E093780CBDF}" sqref="E31" showErrorMessage="1" errorTitle="An invalid feedback was entered" error="Please choose feedback from drop down only.">
      <formula1>"1/2,5/4,7/8,RRU TOP JUMPER,N/A"</formula1>
    </dataValidation>
    <dataValidation type="list" xr:uid="{39363E5C-C5E9-4CC6-9FA8-BD20222B059F}" sqref="F31" showErrorMessage="1" errorTitle="An invalid feedback was entered" error="Please choose feedback from drop down only.">
      <formula1>"1/2,5/4,7/8,RRU TOP JUMPER,N/A"</formula1>
    </dataValidation>
    <dataValidation type="list" xr:uid="{B31DED4A-6716-4E9A-8216-74A1F38DFEE7}" sqref="G31" showErrorMessage="1" errorTitle="An invalid feedback was entered" error="Please choose feedback from drop down only.">
      <formula1>"1/2,5/4,7/8,RRU TOP JUMPER,N/A"</formula1>
    </dataValidation>
    <dataValidation type="list" xr:uid="{77A8946F-87AC-4DE2-B4B8-5A79A5B99169}" sqref="H31" showErrorMessage="1" errorTitle="An invalid feedback was entered" error="Please choose feedback from drop down only.">
      <formula1>"1/2,5/4,7/8,RRU TOP JUMPER,N/A"</formula1>
    </dataValidation>
    <dataValidation type="list" xr:uid="{0E8AE9B3-2D8B-425A-8244-E56CB9EF7E98}" sqref="I31" showErrorMessage="1" errorTitle="An invalid feedback was entered" error="Please choose feedback from drop down only.">
      <formula1>"1/2,5/4,7/8,RRU TOP JUMPER,N/A"</formula1>
    </dataValidation>
    <dataValidation type="list" xr:uid="{B48CA649-4E2C-4211-9B12-E8CD03E1EB4F}" sqref="J31" showErrorMessage="1" errorTitle="An invalid feedback was entered" error="Please choose feedback from drop down only.">
      <formula1>"1/2,5/4,7/8,RRU TOP JUMPER,N/A"</formula1>
    </dataValidation>
    <dataValidation type="list" xr:uid="{4386B7FC-925C-4E1F-ACB8-899565D008B1}" sqref="K31" showErrorMessage="1" errorTitle="An invalid feedback was entered" error="Please choose feedback from drop down only.">
      <formula1>"1/2,5/4,7/8,RRU TOP JUMPER,N/A"</formula1>
    </dataValidation>
    <dataValidation type="list" xr:uid="{A4919AE0-7684-4D15-8D6D-479AC38C4B09}" sqref="L31" showErrorMessage="1" errorTitle="An invalid feedback was entered" error="Please choose feedback from drop down only.">
      <formula1>"1/2,5/4,7/8,RRU TOP JUMPER,N/A"</formula1>
    </dataValidation>
    <dataValidation type="list" xr:uid="{DA5244AF-5C4E-4609-8F67-59B07C04E43B}" sqref="M31" showErrorMessage="1" errorTitle="An invalid feedback was entered" error="Please choose feedback from drop down only.">
      <formula1>"1/2,5/4,7/8,RRU TOP JUMPER,N/A"</formula1>
    </dataValidation>
    <dataValidation type="list" xr:uid="{42C0172C-3AB6-48FB-BF5C-E649B342A3A9}" sqref="N31" showErrorMessage="1" errorTitle="An invalid feedback was entered" error="Please choose feedback from drop down only.">
      <formula1>"1/2,5/4,7/8,RRU TOP JUMPER,N/A"</formula1>
    </dataValidation>
    <dataValidation type="list" xr:uid="{B347E259-AB45-4BB2-A245-048499C1B628}" sqref="O31" showErrorMessage="1" errorTitle="An invalid feedback was entered" error="Please choose feedback from drop down only.">
      <formula1>"1/2,5/4,7/8,RRU TOP JUMPER,N/A"</formula1>
    </dataValidation>
    <dataValidation type="list" xr:uid="{88DC195C-AE2D-4C4A-B629-5C38F5C57FDD}" sqref="P31" showErrorMessage="1" errorTitle="An invalid feedback was entered" error="Please choose feedback from drop down only.">
      <formula1>"1/2,5/4,7/8,RRU TOP JUMPER,N/A"</formula1>
    </dataValidation>
    <dataValidation type="list" xr:uid="{B08E0CFD-2640-4775-8753-324031FC6B9D}" sqref="Q31" showErrorMessage="1" errorTitle="An invalid feedback was entered" error="Please choose feedback from drop down only.">
      <formula1>"1/2,5/4,7/8,RRU TOP JUMPER,N/A"</formula1>
    </dataValidation>
    <dataValidation type="list" xr:uid="{D7FA633C-5B29-4E19-A41D-F7541488258F}" sqref="C4" showErrorMessage="1" errorTitle="An invalid feedback was entered" error="Please choose feedback from drop down only.">
      <formula1>"1,2,3,4,5,6,N/A"</formula1>
    </dataValidation>
    <dataValidation type="list" xr:uid="{49496D3F-669A-4EBE-AAC8-B4A38CEB261F}" sqref="D4" showErrorMessage="1" errorTitle="An invalid feedback was entered" error="Please choose feedback from drop down only.">
      <formula1>"1,2,3,4,5,6,N/A"</formula1>
    </dataValidation>
    <dataValidation type="list" xr:uid="{208FEC15-495E-42F4-B481-F6D3D6EF28E8}" sqref="E4" showErrorMessage="1" errorTitle="An invalid feedback was entered" error="Please choose feedback from drop down only.">
      <formula1>"1,2,3,4,5,6,N/A"</formula1>
    </dataValidation>
    <dataValidation type="list" xr:uid="{B68EE7FE-F30E-42F1-A070-55EE73C7480D}" sqref="F4" showErrorMessage="1" errorTitle="An invalid feedback was entered" error="Please choose feedback from drop down only.">
      <formula1>"1,2,3,4,5,6,N/A"</formula1>
    </dataValidation>
    <dataValidation type="list" xr:uid="{6A06BDCA-315C-4A81-8FCC-62D21EF54E18}" sqref="G4" showErrorMessage="1" errorTitle="An invalid feedback was entered" error="Please choose feedback from drop down only.">
      <formula1>"1,2,3,4,5,6,N/A"</formula1>
    </dataValidation>
    <dataValidation type="list" xr:uid="{76E21D80-A223-413B-AE17-44BD66CABBE2}" sqref="H4" showErrorMessage="1" errorTitle="An invalid feedback was entered" error="Please choose feedback from drop down only.">
      <formula1>"1,2,3,4,5,6,N/A"</formula1>
    </dataValidation>
    <dataValidation type="list" xr:uid="{F21E31D2-B30D-40F3-A7A4-35F92E798413}" sqref="I4" showErrorMessage="1" errorTitle="An invalid feedback was entered" error="Please choose feedback from drop down only.">
      <formula1>"1,2,3,4,5,6,N/A"</formula1>
    </dataValidation>
    <dataValidation type="list" xr:uid="{5C73DEFF-7575-4392-90DA-65D195C460C3}" sqref="J4" showErrorMessage="1" errorTitle="An invalid feedback was entered" error="Please choose feedback from drop down only.">
      <formula1>"1,2,3,4,5,6,N/A"</formula1>
    </dataValidation>
    <dataValidation type="list" xr:uid="{9E6238A7-10B1-4031-9B07-29D155B69A1B}" sqref="K4" showErrorMessage="1" errorTitle="An invalid feedback was entered" error="Please choose feedback from drop down only.">
      <formula1>"1,2,3,4,5,6,N/A"</formula1>
    </dataValidation>
    <dataValidation type="list" xr:uid="{4B2DB540-704C-45C4-9FC7-B890FA785F23}" sqref="L4" showErrorMessage="1" errorTitle="An invalid feedback was entered" error="Please choose feedback from drop down only.">
      <formula1>"1,2,3,4,5,6,N/A"</formula1>
    </dataValidation>
    <dataValidation type="list" xr:uid="{F14BF1FF-25C3-441D-9511-405FF0A1C1E4}" sqref="M4" showErrorMessage="1" errorTitle="An invalid feedback was entered" error="Please choose feedback from drop down only.">
      <formula1>"1,2,3,4,5,6,N/A"</formula1>
    </dataValidation>
    <dataValidation type="list" xr:uid="{CC9C04F0-0A24-4FAA-A92C-AF5F5611F229}" sqref="N4" showErrorMessage="1" errorTitle="An invalid feedback was entered" error="Please choose feedback from drop down only.">
      <formula1>"1,2,3,4,5,6,N/A"</formula1>
    </dataValidation>
    <dataValidation type="list" xr:uid="{4417EC85-356A-4181-83D4-10C266FA982D}" sqref="O4" showErrorMessage="1" errorTitle="An invalid feedback was entered" error="Please choose feedback from drop down only.">
      <formula1>"1,2,3,4,5,6,N/A"</formula1>
    </dataValidation>
    <dataValidation type="list" xr:uid="{947EB1A1-0C16-4E30-9062-ABF07F21D691}" sqref="P4" showErrorMessage="1" errorTitle="An invalid feedback was entered" error="Please choose feedback from drop down only.">
      <formula1>"1,2,3,4,5,6,N/A"</formula1>
    </dataValidation>
    <dataValidation type="list" xr:uid="{F98F114B-E1A5-4465-A61B-5B15C2C9542E}" sqref="Q4" showErrorMessage="1" errorTitle="An invalid feedback was entered" error="Please choose feedback from drop down only.">
      <formula1>"1,2,3,4,5,6,N/A"</formula1>
    </dataValidation>
    <dataValidation type="list" xr:uid="{6B8DF7B8-5980-4E7B-9644-9C8D3AD01EFD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581C2FA-8947-4F0D-A7DC-E520915AF5C7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DE09AC-ED39-456E-98BB-6941F082B85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80E5F2D-F386-45C8-BFBD-07FD1D2180AE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F9A6314-B910-4C2D-BE00-231232ED1A43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5F9F247-1003-4D21-BEEA-3E0A92154DE8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B122AB8-470E-49BE-9783-CA3A5FB9C3A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1857BF3-845D-4533-95F1-F5C223C9CB34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941FAAE-25E0-4564-B6F2-B6EAF722B1B9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088DC79-D4DC-40A9-B98D-AC7CF5F0CA60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B1C395-264B-408D-9EB4-650B392A01A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58C29A4-DD44-488E-852C-411A88F2E97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30971A9-15D9-436C-BF74-70B6C4616F75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29F9A43-BA0D-4910-ADD2-7EB3544DE210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8220DB1-4182-4E3C-BC64-195262E291D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0C45C6-CA56-4BF9-A686-19B063AABDCB}" sqref="C28" showErrorMessage="1" errorTitle="An invalid feedback was entered" error="Please choose feedback from drop down only.">
      <formula1>"Yes,No,FlexRET"</formula1>
    </dataValidation>
    <dataValidation type="list" xr:uid="{AA6E0401-444D-4781-A2E7-2E52CD38C5BF}" sqref="D28" showErrorMessage="1" errorTitle="An invalid feedback was entered" error="Please choose feedback from drop down only.">
      <formula1>"Yes,No,FlexRET"</formula1>
    </dataValidation>
    <dataValidation type="list" xr:uid="{A9A781F6-2641-4C8D-A360-9FD45AB40C71}" sqref="E28" showErrorMessage="1" errorTitle="An invalid feedback was entered" error="Please choose feedback from drop down only.">
      <formula1>"Yes,No,FlexRET"</formula1>
    </dataValidation>
    <dataValidation type="list" xr:uid="{6097AE22-5A6C-4E30-8685-A3115B1D6927}" sqref="F28" showErrorMessage="1" errorTitle="An invalid feedback was entered" error="Please choose feedback from drop down only.">
      <formula1>"Yes,No,FlexRET"</formula1>
    </dataValidation>
    <dataValidation type="list" xr:uid="{583AEE9A-58A6-4C0F-877C-F18DF18E9731}" sqref="G28" showErrorMessage="1" errorTitle="An invalid feedback was entered" error="Please choose feedback from drop down only.">
      <formula1>"Yes,No,FlexRET"</formula1>
    </dataValidation>
    <dataValidation type="list" xr:uid="{C58025FF-7155-43B0-BC7D-0954F0FE2C42}" sqref="H28" showErrorMessage="1" errorTitle="An invalid feedback was entered" error="Please choose feedback from drop down only.">
      <formula1>"Yes,No,FlexRET"</formula1>
    </dataValidation>
    <dataValidation type="list" xr:uid="{3B7CFA7E-4AD0-42AA-B46B-557662F93A36}" sqref="I28" showErrorMessage="1" errorTitle="An invalid feedback was entered" error="Please choose feedback from drop down only.">
      <formula1>"Yes,No,FlexRET"</formula1>
    </dataValidation>
    <dataValidation type="list" xr:uid="{1DAE6CDE-CE0B-48C4-8648-4F20F16992D1}" sqref="J28" showErrorMessage="1" errorTitle="An invalid feedback was entered" error="Please choose feedback from drop down only.">
      <formula1>"Yes,No,FlexRET"</formula1>
    </dataValidation>
    <dataValidation type="list" xr:uid="{8D3D6730-B839-46E5-A1F0-6E866EEE9DD2}" sqref="K28" showErrorMessage="1" errorTitle="An invalid feedback was entered" error="Please choose feedback from drop down only.">
      <formula1>"Yes,No,FlexRET"</formula1>
    </dataValidation>
    <dataValidation type="list" xr:uid="{11AAE169-5FF2-428B-AAFE-DB40E4F2AA32}" sqref="L28" showErrorMessage="1" errorTitle="An invalid feedback was entered" error="Please choose feedback from drop down only.">
      <formula1>"Yes,No,FlexRET"</formula1>
    </dataValidation>
    <dataValidation type="list" xr:uid="{D5263E82-6EC1-47EF-9657-8ADCE7E681FC}" sqref="M28" showErrorMessage="1" errorTitle="An invalid feedback was entered" error="Please choose feedback from drop down only.">
      <formula1>"Yes,No,FlexRET"</formula1>
    </dataValidation>
    <dataValidation type="list" xr:uid="{607F4227-B882-4A4A-AF6D-D8135F437914}" sqref="N28" showErrorMessage="1" errorTitle="An invalid feedback was entered" error="Please choose feedback from drop down only.">
      <formula1>"Yes,No,FlexRET"</formula1>
    </dataValidation>
    <dataValidation type="list" xr:uid="{C34AB82C-4B5C-497C-AFB4-AAD43B28D3F1}" sqref="O28" showErrorMessage="1" errorTitle="An invalid feedback was entered" error="Please choose feedback from drop down only.">
      <formula1>"Yes,No,FlexRET"</formula1>
    </dataValidation>
    <dataValidation type="list" xr:uid="{2D25B7CD-8718-4877-9565-D46E343FE7A8}" sqref="P28" showErrorMessage="1" errorTitle="An invalid feedback was entered" error="Please choose feedback from drop down only.">
      <formula1>"Yes,No,FlexRET"</formula1>
    </dataValidation>
    <dataValidation type="list" xr:uid="{2027A326-F5FB-448E-B056-165F0CDD9ADD}" sqref="Q28" showErrorMessage="1" errorTitle="An invalid feedback was entered" error="Please choose feedback from drop down only.">
      <formula1>"Yes,No,FlexRET"</formula1>
    </dataValidation>
    <dataValidation type="list" xr:uid="{B0B4A22B-9141-4866-87BE-88B3DA5FB183}" sqref="C29" showErrorMessage="1" errorTitle="An invalid feedback was entered" error="Please choose feedback from drop down only.">
      <formula1>"Yes,No,FlexRET"</formula1>
    </dataValidation>
    <dataValidation type="list" xr:uid="{6383C910-0921-4620-91A4-3846FF7CE3D2}" sqref="D29" showErrorMessage="1" errorTitle="An invalid feedback was entered" error="Please choose feedback from drop down only.">
      <formula1>"Yes,No,FlexRET"</formula1>
    </dataValidation>
    <dataValidation type="list" xr:uid="{2888A23E-1C8E-4088-A126-B9FC1C8A22E4}" sqref="E29" showErrorMessage="1" errorTitle="An invalid feedback was entered" error="Please choose feedback from drop down only.">
      <formula1>"Yes,No,FlexRET"</formula1>
    </dataValidation>
    <dataValidation type="list" xr:uid="{92B91A8B-18E3-4927-8D4D-C7E06ED38CF1}" sqref="F29" showErrorMessage="1" errorTitle="An invalid feedback was entered" error="Please choose feedback from drop down only.">
      <formula1>"Yes,No,FlexRET"</formula1>
    </dataValidation>
    <dataValidation type="list" xr:uid="{3168BCD9-B779-4656-8F39-8D68120B56A1}" sqref="G29" showErrorMessage="1" errorTitle="An invalid feedback was entered" error="Please choose feedback from drop down only.">
      <formula1>"Yes,No,FlexRET"</formula1>
    </dataValidation>
    <dataValidation type="list" xr:uid="{9C4C838C-AB6A-4EC3-937C-8C3DA45FE989}" sqref="H29" showErrorMessage="1" errorTitle="An invalid feedback was entered" error="Please choose feedback from drop down only.">
      <formula1>"Yes,No,FlexRET"</formula1>
    </dataValidation>
    <dataValidation type="list" xr:uid="{9BE696F2-174F-4CFF-8C8B-700221B8415C}" sqref="I29" showErrorMessage="1" errorTitle="An invalid feedback was entered" error="Please choose feedback from drop down only.">
      <formula1>"Yes,No,FlexRET"</formula1>
    </dataValidation>
    <dataValidation type="list" xr:uid="{45501643-1DDE-47E2-8511-CA01492F3DAB}" sqref="J29" showErrorMessage="1" errorTitle="An invalid feedback was entered" error="Please choose feedback from drop down only.">
      <formula1>"Yes,No,FlexRET"</formula1>
    </dataValidation>
    <dataValidation type="list" xr:uid="{651CF9D2-4DF0-4300-8C54-4E6F306E9AE2}" sqref="K29" showErrorMessage="1" errorTitle="An invalid feedback was entered" error="Please choose feedback from drop down only.">
      <formula1>"Yes,No,FlexRET"</formula1>
    </dataValidation>
    <dataValidation type="list" xr:uid="{0910EF3B-29BA-40BD-B10F-D15A7BCAF5B8}" sqref="L29" showErrorMessage="1" errorTitle="An invalid feedback was entered" error="Please choose feedback from drop down only.">
      <formula1>"Yes,No,FlexRET"</formula1>
    </dataValidation>
    <dataValidation type="list" xr:uid="{12B667A9-4EE0-4A26-8E22-E9D8771CD42F}" sqref="M29" showErrorMessage="1" errorTitle="An invalid feedback was entered" error="Please choose feedback from drop down only.">
      <formula1>"Yes,No,FlexRET"</formula1>
    </dataValidation>
    <dataValidation type="list" xr:uid="{8BC72E6B-7898-4310-A9D0-C71EC66276BE}" sqref="N29" showErrorMessage="1" errorTitle="An invalid feedback was entered" error="Please choose feedback from drop down only.">
      <formula1>"Yes,No,FlexRET"</formula1>
    </dataValidation>
    <dataValidation type="list" xr:uid="{7A3446D6-0DB5-4498-9AA1-8874FE2B46B2}" sqref="O29" showErrorMessage="1" errorTitle="An invalid feedback was entered" error="Please choose feedback from drop down only.">
      <formula1>"Yes,No,FlexRET"</formula1>
    </dataValidation>
    <dataValidation type="list" xr:uid="{18024CAC-151C-42C0-BA90-EF27BA3FFFC7}" sqref="P29" showErrorMessage="1" errorTitle="An invalid feedback was entered" error="Please choose feedback from drop down only.">
      <formula1>"Yes,No,FlexRET"</formula1>
    </dataValidation>
    <dataValidation type="list" xr:uid="{746EE470-741D-4815-94FF-6DA9D0390B3F}" sqref="Q29" showErrorMessage="1" errorTitle="An invalid feedback was entered" error="Please choose feedback from drop down only.">
      <formula1>"Yes,No,FlexRET"</formula1>
    </dataValidation>
    <dataValidation type="list" xr:uid="{1CC01A45-B395-4A9D-9193-307F4F7B776B}" sqref="C25" showErrorMessage="1" errorTitle="An invalid feedback was entered" error="Please choose feedback from drop down only.">
      <formula1>"G,U,L,NR,GU,UL,GL,GUL,LNR,ULNR,None"</formula1>
    </dataValidation>
    <dataValidation type="list" xr:uid="{07172BB2-644F-42D7-A169-AB7C007221BF}" sqref="D25" showErrorMessage="1" errorTitle="An invalid feedback was entered" error="Please choose feedback from drop down only.">
      <formula1>"G,U,L,NR,GU,UL,GL,GUL,LNR,ULNR,None"</formula1>
    </dataValidation>
    <dataValidation type="list" xr:uid="{C1AB139F-78AD-4DBB-8E80-E51FF21D79AB}" sqref="E25" showErrorMessage="1" errorTitle="An invalid feedback was entered" error="Please choose feedback from drop down only.">
      <formula1>"G,U,L,NR,GU,UL,GL,GUL,LNR,ULNR,None"</formula1>
    </dataValidation>
    <dataValidation type="list" xr:uid="{C391AA24-F22F-4618-ADA6-68C6CDD09AC9}" sqref="F25" showErrorMessage="1" errorTitle="An invalid feedback was entered" error="Please choose feedback from drop down only.">
      <formula1>"G,U,L,NR,GU,UL,GL,GUL,LNR,ULNR,None"</formula1>
    </dataValidation>
    <dataValidation type="list" xr:uid="{EAD48D64-D0B6-48E2-A856-6985BDDE5D44}" sqref="G25" showErrorMessage="1" errorTitle="An invalid feedback was entered" error="Please choose feedback from drop down only.">
      <formula1>"G,U,L,NR,GU,UL,GL,GUL,LNR,ULNR,None"</formula1>
    </dataValidation>
    <dataValidation type="list" xr:uid="{7B7B3D07-A43A-4141-B557-16C2419AB7C9}" sqref="H25" showErrorMessage="1" errorTitle="An invalid feedback was entered" error="Please choose feedback from drop down only.">
      <formula1>"G,U,L,NR,GU,UL,GL,GUL,LNR,ULNR,None"</formula1>
    </dataValidation>
    <dataValidation type="list" xr:uid="{5740AE00-7561-455D-BA71-2429AD6AC326}" sqref="I25" showErrorMessage="1" errorTitle="An invalid feedback was entered" error="Please choose feedback from drop down only.">
      <formula1>"G,U,L,NR,GU,UL,GL,GUL,LNR,ULNR,None"</formula1>
    </dataValidation>
    <dataValidation type="list" xr:uid="{1FE9EC62-8715-416B-B4F9-80A056EB6259}" sqref="J25" showErrorMessage="1" errorTitle="An invalid feedback was entered" error="Please choose feedback from drop down only.">
      <formula1>"G,U,L,NR,GU,UL,GL,GUL,LNR,ULNR,None"</formula1>
    </dataValidation>
    <dataValidation type="list" xr:uid="{874DDD72-A938-4CF4-9A01-59C12B772645}" sqref="K25" showErrorMessage="1" errorTitle="An invalid feedback was entered" error="Please choose feedback from drop down only.">
      <formula1>"G,U,L,NR,GU,UL,GL,GUL,LNR,ULNR,None"</formula1>
    </dataValidation>
    <dataValidation type="list" xr:uid="{3DBCAE21-EF3D-4C43-9234-ACE406CDEB57}" sqref="L25" showErrorMessage="1" errorTitle="An invalid feedback was entered" error="Please choose feedback from drop down only.">
      <formula1>"G,U,L,NR,GU,UL,GL,GUL,LNR,ULNR,None"</formula1>
    </dataValidation>
    <dataValidation type="list" xr:uid="{77EF58C1-A261-4735-ACD3-500BD5FC101F}" sqref="M25" showErrorMessage="1" errorTitle="An invalid feedback was entered" error="Please choose feedback from drop down only.">
      <formula1>"G,U,L,NR,GU,UL,GL,GUL,LNR,ULNR,None"</formula1>
    </dataValidation>
    <dataValidation type="list" xr:uid="{6407BDCA-0B00-4E6B-93A5-F2D7B044AA9E}" sqref="N25" showErrorMessage="1" errorTitle="An invalid feedback was entered" error="Please choose feedback from drop down only.">
      <formula1>"G,U,L,NR,GU,UL,GL,GUL,LNR,ULNR,None"</formula1>
    </dataValidation>
    <dataValidation type="list" xr:uid="{6BA37206-4069-4E8B-9E8D-5EA1324790AC}" sqref="O25" showErrorMessage="1" errorTitle="An invalid feedback was entered" error="Please choose feedback from drop down only.">
      <formula1>"G,U,L,NR,GU,UL,GL,GUL,LNR,ULNR,None"</formula1>
    </dataValidation>
    <dataValidation type="list" xr:uid="{5994E02E-E014-4110-849E-2F850B300174}" sqref="P25" showErrorMessage="1" errorTitle="An invalid feedback was entered" error="Please choose feedback from drop down only.">
      <formula1>"G,U,L,NR,GU,UL,GL,GUL,LNR,ULNR,None"</formula1>
    </dataValidation>
    <dataValidation type="list" xr:uid="{2AA8830A-F750-4819-ADEB-B9853B19480C}" sqref="Q25" showErrorMessage="1" errorTitle="An invalid feedback was entered" error="Please choose feedback from drop down only.">
      <formula1>"G,U,L,NR,GU,UL,GL,GUL,LNR,ULNR,None"</formula1>
    </dataValidation>
    <dataValidation type="list" xr:uid="{656D0B87-5345-441D-ADEF-1AD1F4C3AA38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F9C4C42-23BC-44E5-9B32-D09C01618DF3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D2ED967-5EEF-4020-96E5-90C7C86E1FAD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B3254DD-DBC0-4FF5-AFE5-E488320FEF81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DFCC891-4B8B-49E9-964A-E2AD2790B3EC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4B9839C-6301-48E9-898B-0F36F601B12B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0AD1DCC-39BD-489E-8B9C-3C8D84E30602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C3844F8-D09D-41CD-AE3C-DA27DC3D38B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3D52F05-F4F7-4C00-A016-A598DDFFB2E0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68BC0C4-E21A-4D8D-8BB9-F68564B6494E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EAB767A-EE5F-4729-8D6D-EDC6D9E963B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111A69-46DA-4D98-B6A5-FF7F718F489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F30FFB7-9A8B-4819-8452-A0DDD2055AE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C99B25D-98BE-4F94-A1DD-759E116FA9AC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FC398ED-8BB6-4771-B523-312396817AC1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38A8FD65-E72B-448C-8EB2-D7902EDA804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5616F14F-29B4-4F5E-8687-DD2386A3B48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C7AA1622-3FB4-4893-9146-B15669748AE6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811F21B2-7800-4059-9972-3D0CC35754CB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A777883-0ECD-483B-BA1F-5473EAB12988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18B10079-717C-4189-8A21-E2D346B2708B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3EB6A948-19E8-4966-A291-F663BF7F81F3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26A8B7E6-69D0-4FA3-8209-8FC6F1983C6D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AF84BAB6-D9A4-4087-9E33-B68E5ED32FC0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13EA9C6D-F13F-4C29-BBFF-0CA8BD55E6EE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6D0E1127-2D2A-4318-A9E4-02E953C42C33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4325DFAE-7543-4D6B-AD10-A7CD0415A580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1F819123-7990-4053-8883-E53CE30EB2AF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D44C57A3-5CFB-47C5-B510-BE2FD15F4113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188BA37-0A1B-4A78-AAD4-B63F7D2D709E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EC496582-A7E7-4D0B-BFAB-5DC4F7F7E96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B62D0A1-DC74-48F2-96BA-398434CAFD46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B925DC3-8477-4CB0-B9E6-EC1D4238DDE1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F2638EE-B891-4E77-9377-6208DA79604E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82820851-C682-4425-9C50-A8F4777773C6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195D6A58-B4A6-43FF-A6E9-A4FC908CC36A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F790B06-1FD7-4A9F-9E91-AEEE661D7B08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9A1C4D87-0364-46D4-9AB1-E6176DEC7AF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15477517-0B6F-40D5-8513-44A969B79EE0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7A946478-4BF2-48C6-B41D-CD157D1D6AE3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9A4DAB00-CA6C-4B4C-81DE-DDBC348B9A54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94A3B0A0-1F23-4559-A3EE-36B76C604FF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590E64E-CB9D-4B7D-9B47-4F72D8B7CB8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EDE0840C-166B-416E-9C1A-921F8077E8D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DA9B4256-C2FA-4964-BEA8-3182D5DBB05D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0B3E0E24-B6F2-4F9B-A888-97A39F461D78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03ADF1FD-F2B3-44A1-A945-1F3B29249E6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637D01B2-3FEE-4FF6-9F4A-49A24CB55C7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5A9FF9E7-EF2D-4E80-B4AC-FBE96EF2EE91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E3A8599A-963A-444E-9F5A-3198C9E3061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8DB97831-7622-4237-9928-013011FF5AEC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F670AF7-88B3-4811-8DB6-8050A0A1E13C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E9D93771-D615-4457-9AD5-89E8F8180081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CF5275EA-D5B3-4E6E-BB8F-6B248A482497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CD1AFF9D-6919-4E74-B546-977E5B2BED3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5D81FB6B-D2D9-486F-A32C-CD4B32767FEC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D6FBB34C-3D6C-41B9-B0BE-C2D0E9495C99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2F3EE60B-9247-49D2-95D9-282F434E47B0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09E5E09C-983D-4996-ABEA-D1FB77016719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CAE8F8DE-AF41-408A-870F-4F8DC76ECAD2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048BACFD-F07C-4B7F-B0F2-14C1A56C527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0C9EC246-C354-4B8D-A82B-6700D17AA3B8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80443B9-D293-480E-8292-0E345135DDAF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A783EE3-710F-41E0-88BB-9770638E3A47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52A47843-FE48-43E4-9118-797485F9986C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213726BC-7427-4F07-BE8B-45635629E5A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0E861F5A-A0FC-47A7-80AC-92FE7FACD0DF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A6063F5-AF5F-4C9A-B597-2FB276EE0DB9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A659B76B-3F00-46ED-8742-C98DFDFBA770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AD72FA70-3ABB-40C6-8825-7A50C142110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1099F00D-B0E3-41CE-BE5D-3AC873CA805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F485CB7D-3ED7-4B82-9563-C4FFC51220A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0A0D0E30-91DD-49F7-9D79-76B42F793119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84532C7A-75F5-490C-84F1-B4BDF7F5C190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F5D02368-1203-4C3C-A67C-DF6C314E3156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7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112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65">
      <c r="A3" s="241"/>
      <c r="B3" s="12" t="s">
        <v>2</v>
      </c>
      <c r="C3" s="226"/>
      <c r="D3" s="227"/>
      <c r="E3" s="227"/>
      <c r="F3" s="227"/>
      <c r="G3" s="227"/>
      <c r="H3" s="227"/>
      <c r="I3" s="227"/>
      <c r="J3" s="227"/>
      <c r="K3" s="227"/>
      <c r="L3" s="227"/>
      <c r="M3" s="227"/>
      <c r="N3" s="227"/>
      <c r="O3" s="227"/>
      <c r="P3" s="228"/>
    </row>
    <row r="4" ht="25.15" s="22" customFormat="1">
      <c r="A4" s="241"/>
      <c r="B4" s="9" t="s">
        <v>3</v>
      </c>
      <c r="C4" s="267"/>
      <c r="D4" s="268"/>
      <c r="E4" s="268"/>
      <c r="F4" s="268"/>
      <c r="G4" s="268"/>
      <c r="H4" s="268"/>
      <c r="I4" s="268"/>
      <c r="J4" s="268"/>
      <c r="K4" s="268"/>
      <c r="L4" s="268"/>
      <c r="M4" s="268"/>
      <c r="N4" s="268"/>
      <c r="O4" s="268"/>
      <c r="P4" s="269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39" priority="19" operator="equal">
      <formula>0</formula>
    </cfRule>
    <cfRule type="expression" dxfId="139" priority="20">
      <formula>ISERROR(C19)</formula>
    </cfRule>
  </conditionalFormatting>
  <conditionalFormatting sqref="D19:O19">
    <cfRule type="cellIs" dxfId="139" priority="17" operator="equal">
      <formula>0</formula>
    </cfRule>
    <cfRule type="expression" dxfId="139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D28E73A4-F77F-49A2-BCC4-8B28A26F1874}" sqref="C2" showErrorMessage="1" errorTitle="An invalid feedback was entered" error="Please choose feedback from drop down only.">
      <formula1>"1,2,3"</formula1>
    </dataValidation>
    <dataValidation type="list" xr:uid="{2C7B485D-49B5-42D5-9401-CBB7DE0531D0}" sqref="D2" showErrorMessage="1" errorTitle="An invalid feedback was entered" error="Please choose feedback from drop down only.">
      <formula1>"1,2,3"</formula1>
    </dataValidation>
    <dataValidation type="list" xr:uid="{5A24C141-2D36-4C17-A052-78CAF92290C9}" sqref="E2" showErrorMessage="1" errorTitle="An invalid feedback was entered" error="Please choose feedback from drop down only.">
      <formula1>"1,2,3"</formula1>
    </dataValidation>
    <dataValidation type="list" xr:uid="{812E9C9B-16D3-400B-8E2B-37FE526E40B0}" sqref="F2" showErrorMessage="1" errorTitle="An invalid feedback was entered" error="Please choose feedback from drop down only.">
      <formula1>"1,2,3"</formula1>
    </dataValidation>
    <dataValidation type="list" xr:uid="{F18080A1-C080-45A1-9101-5D0B50EC342E}" sqref="G2" showErrorMessage="1" errorTitle="An invalid feedback was entered" error="Please choose feedback from drop down only.">
      <formula1>"1,2,3"</formula1>
    </dataValidation>
    <dataValidation type="list" xr:uid="{219EA43A-1287-447A-92B6-0FC3A5D6F51A}" sqref="H2" showErrorMessage="1" errorTitle="An invalid feedback was entered" error="Please choose feedback from drop down only.">
      <formula1>"1,2,3"</formula1>
    </dataValidation>
    <dataValidation type="list" xr:uid="{B04615C1-E647-44B0-A7AF-D69DFB365791}" sqref="I2" showErrorMessage="1" errorTitle="An invalid feedback was entered" error="Please choose feedback from drop down only.">
      <formula1>"1,2,3"</formula1>
    </dataValidation>
    <dataValidation type="list" xr:uid="{DB3A1C11-F29A-4861-9E10-DFD59CA2C6E8}" sqref="J2" showErrorMessage="1" errorTitle="An invalid feedback was entered" error="Please choose feedback from drop down only.">
      <formula1>"1,2,3"</formula1>
    </dataValidation>
    <dataValidation type="list" xr:uid="{3762B15A-DB1C-4C77-984B-4E394AA8D09A}" sqref="K2" showErrorMessage="1" errorTitle="An invalid feedback was entered" error="Please choose feedback from drop down only.">
      <formula1>"1,2,3"</formula1>
    </dataValidation>
    <dataValidation type="list" xr:uid="{97DB0EDE-CF1D-4284-B469-FE80BDDB1724}" sqref="L2" showErrorMessage="1" errorTitle="An invalid feedback was entered" error="Please choose feedback from drop down only.">
      <formula1>"1,2,3"</formula1>
    </dataValidation>
    <dataValidation type="list" xr:uid="{484C7800-9AB4-4D61-B4F3-E642C78EF963}" sqref="M2" showErrorMessage="1" errorTitle="An invalid feedback was entered" error="Please choose feedback from drop down only.">
      <formula1>"1,2,3"</formula1>
    </dataValidation>
    <dataValidation type="list" xr:uid="{1C04C1B8-406C-4BBF-BBA6-2354D947A067}" sqref="N2" showErrorMessage="1" errorTitle="An invalid feedback was entered" error="Please choose feedback from drop down only.">
      <formula1>"1,2,3"</formula1>
    </dataValidation>
    <dataValidation type="list" xr:uid="{9CBB4913-A86A-4E6A-A91A-36478FED2B66}" sqref="O2" showErrorMessage="1" errorTitle="An invalid feedback was entered" error="Please choose feedback from drop down only.">
      <formula1>"1,2,3"</formula1>
    </dataValidation>
    <dataValidation type="list" xr:uid="{97CB7DC6-01D2-498F-8903-BF0BB0B5E4D1}" sqref="P2" showErrorMessage="1" errorTitle="An invalid feedback was entered" error="Please choose feedback from drop down only.">
      <formula1>"1,2,3"</formula1>
    </dataValidation>
    <dataValidation type="list" xr:uid="{5229F5AE-2901-47C6-8AEC-E9FD2B2BC2C7}" sqref="Q2" showErrorMessage="1" errorTitle="An invalid feedback was entered" error="Please choose feedback from drop down only.">
      <formula1>"1,2,3"</formula1>
    </dataValidation>
    <dataValidation type="list" xr:uid="{771DC450-99D4-493C-8284-527A26736EB4}" sqref="C17" showErrorMessage="1" errorTitle="An invalid feedback was entered" error="Please choose feedback from drop down only.">
      <formula1>"1-2,3-4,5-6,7-8,9-10,N/A"</formula1>
    </dataValidation>
    <dataValidation type="list" xr:uid="{681FBD91-0959-453A-B8F2-095C40A43C95}" sqref="D17" showErrorMessage="1" errorTitle="An invalid feedback was entered" error="Please choose feedback from drop down only.">
      <formula1>"1-2,3-4,5-6,7-8,9-10,N/A"</formula1>
    </dataValidation>
    <dataValidation type="list" xr:uid="{6E75C137-E79A-42FC-A7E1-CD23251EF0C6}" sqref="E17" showErrorMessage="1" errorTitle="An invalid feedback was entered" error="Please choose feedback from drop down only.">
      <formula1>"1-2,3-4,5-6,7-8,9-10,N/A"</formula1>
    </dataValidation>
    <dataValidation type="list" xr:uid="{794B473F-AF63-4F1C-9416-A671CB5E1742}" sqref="F17" showErrorMessage="1" errorTitle="An invalid feedback was entered" error="Please choose feedback from drop down only.">
      <formula1>"1-2,3-4,5-6,7-8,9-10,N/A"</formula1>
    </dataValidation>
    <dataValidation type="list" xr:uid="{4590E850-7EEA-48B9-B1A6-413BE055C348}" sqref="G17" showErrorMessage="1" errorTitle="An invalid feedback was entered" error="Please choose feedback from drop down only.">
      <formula1>"1-2,3-4,5-6,7-8,9-10,N/A"</formula1>
    </dataValidation>
    <dataValidation type="list" xr:uid="{D808B483-195B-4068-9B9A-3F4D3175BB38}" sqref="H17" showErrorMessage="1" errorTitle="An invalid feedback was entered" error="Please choose feedback from drop down only.">
      <formula1>"1-2,3-4,5-6,7-8,9-10,N/A"</formula1>
    </dataValidation>
    <dataValidation type="list" xr:uid="{89D23852-186E-45A6-B891-A571159B5D64}" sqref="I17" showErrorMessage="1" errorTitle="An invalid feedback was entered" error="Please choose feedback from drop down only.">
      <formula1>"1-2,3-4,5-6,7-8,9-10,N/A"</formula1>
    </dataValidation>
    <dataValidation type="list" xr:uid="{F486AA5F-2357-4D80-B536-C46BE63478D6}" sqref="J17" showErrorMessage="1" errorTitle="An invalid feedback was entered" error="Please choose feedback from drop down only.">
      <formula1>"1-2,3-4,5-6,7-8,9-10,N/A"</formula1>
    </dataValidation>
    <dataValidation type="list" xr:uid="{A52043A8-23DB-44B2-822F-C1A6BD125B21}" sqref="K17" showErrorMessage="1" errorTitle="An invalid feedback was entered" error="Please choose feedback from drop down only.">
      <formula1>"1-2,3-4,5-6,7-8,9-10,N/A"</formula1>
    </dataValidation>
    <dataValidation type="list" xr:uid="{EACB4851-8018-46A9-A653-BABB41B99674}" sqref="L17" showErrorMessage="1" errorTitle="An invalid feedback was entered" error="Please choose feedback from drop down only.">
      <formula1>"1-2,3-4,5-6,7-8,9-10,N/A"</formula1>
    </dataValidation>
    <dataValidation type="list" xr:uid="{92996935-557D-408E-9DF0-47514C5FB71A}" sqref="M17" showErrorMessage="1" errorTitle="An invalid feedback was entered" error="Please choose feedback from drop down only.">
      <formula1>"1-2,3-4,5-6,7-8,9-10,N/A"</formula1>
    </dataValidation>
    <dataValidation type="list" xr:uid="{6403997C-A4CC-4C1E-9208-66FD6BAAB5F2}" sqref="N17" showErrorMessage="1" errorTitle="An invalid feedback was entered" error="Please choose feedback from drop down only.">
      <formula1>"1-2,3-4,5-6,7-8,9-10,N/A"</formula1>
    </dataValidation>
    <dataValidation type="list" xr:uid="{27F764D7-9999-4C92-8AE4-0C16322BE197}" sqref="O17" showErrorMessage="1" errorTitle="An invalid feedback was entered" error="Please choose feedback from drop down only.">
      <formula1>"1-2,3-4,5-6,7-8,9-10,N/A"</formula1>
    </dataValidation>
    <dataValidation type="list" xr:uid="{9942FD9E-8D29-4F81-8B25-6BF5C641F2D9}" sqref="P17" showErrorMessage="1" errorTitle="An invalid feedback was entered" error="Please choose feedback from drop down only.">
      <formula1>"1-2,3-4,5-6,7-8,9-10,N/A"</formula1>
    </dataValidation>
    <dataValidation type="list" xr:uid="{215BA399-24A9-4793-B7B3-5B25E5C8A309}" sqref="Q17" showErrorMessage="1" errorTitle="An invalid feedback was entered" error="Please choose feedback from drop down only.">
      <formula1>"1-2,3-4,5-6,7-8,9-10,N/A"</formula1>
    </dataValidation>
    <dataValidation type="list" xr:uid="{AE804779-4909-4026-B315-03487C3481E1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46A33271-0E93-46C8-903E-41F96FD90B2F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5D04A0F5-5E9F-43D0-BF4B-52137DE24D72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C6D30B3-C9A3-4790-AE1D-9B859572F80E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77FFB855-5B98-46AC-A6C0-05B6D220F19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48CA142C-E9F2-418E-AE66-14AD5A624028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752EBCFA-D050-4D9D-8486-AE097498572B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1EA3D84E-1D38-4320-B98B-64C40EE31C2B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B7AC945-3FA5-404F-8CA2-8BBCA80C3DA7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5A44F152-51D0-415D-9BFC-2B6FE3AA7E09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99C3A90E-BC2C-4FEA-926D-D102992CF178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E3943F46-631D-4C00-A4F0-32830472120E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4CCFCB59-0A3A-47B6-8F00-AF75FD68C1B6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755CE1CF-3013-46A7-9BF3-7D5C3E21A522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F146409-E338-42AD-B756-F03045725FCB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15A35904-86F1-45A3-8A9C-B3196723ED3C}" sqref="C23" showErrorMessage="1" errorTitle="An invalid feedback was entered" error="Please choose feedback from drop down only.">
      <formula1>"Yetel,Bulsatcom,A1,Yetel&amp;A1,N/A"</formula1>
    </dataValidation>
    <dataValidation type="list" xr:uid="{3B317C25-9D52-4134-9B58-8C3EC557124D}" sqref="D23" showErrorMessage="1" errorTitle="An invalid feedback was entered" error="Please choose feedback from drop down only.">
      <formula1>"Yetel,Bulsatcom,A1,Yetel&amp;A1,N/A"</formula1>
    </dataValidation>
    <dataValidation type="list" xr:uid="{6D60D0E5-C781-4731-A920-E292596FDCD7}" sqref="E23" showErrorMessage="1" errorTitle="An invalid feedback was entered" error="Please choose feedback from drop down only.">
      <formula1>"Yetel,Bulsatcom,A1,Yetel&amp;A1,N/A"</formula1>
    </dataValidation>
    <dataValidation type="list" xr:uid="{EEE7A8DD-6005-4E11-8AF8-2E3C5953ADD6}" sqref="F23" showErrorMessage="1" errorTitle="An invalid feedback was entered" error="Please choose feedback from drop down only.">
      <formula1>"Yetel,Bulsatcom,A1,Yetel&amp;A1,N/A"</formula1>
    </dataValidation>
    <dataValidation type="list" xr:uid="{31C4D524-936F-45CC-8705-6B99A0364471}" sqref="G23" showErrorMessage="1" errorTitle="An invalid feedback was entered" error="Please choose feedback from drop down only.">
      <formula1>"Yetel,Bulsatcom,A1,Yetel&amp;A1,N/A"</formula1>
    </dataValidation>
    <dataValidation type="list" xr:uid="{63FE8177-F3C4-4063-BE0A-10E7F7E8983A}" sqref="H23" showErrorMessage="1" errorTitle="An invalid feedback was entered" error="Please choose feedback from drop down only.">
      <formula1>"Yetel,Bulsatcom,A1,Yetel&amp;A1,N/A"</formula1>
    </dataValidation>
    <dataValidation type="list" xr:uid="{3C802745-741B-4581-844A-30E7A383286A}" sqref="I23" showErrorMessage="1" errorTitle="An invalid feedback was entered" error="Please choose feedback from drop down only.">
      <formula1>"Yetel,Bulsatcom,A1,Yetel&amp;A1,N/A"</formula1>
    </dataValidation>
    <dataValidation type="list" xr:uid="{9662FCA2-62F6-407B-AEC1-9D3B8ABA1D1E}" sqref="J23" showErrorMessage="1" errorTitle="An invalid feedback was entered" error="Please choose feedback from drop down only.">
      <formula1>"Yetel,Bulsatcom,A1,Yetel&amp;A1,N/A"</formula1>
    </dataValidation>
    <dataValidation type="list" xr:uid="{620BD3E6-F9DF-4B94-96C5-E8710D33E176}" sqref="K23" showErrorMessage="1" errorTitle="An invalid feedback was entered" error="Please choose feedback from drop down only.">
      <formula1>"Yetel,Bulsatcom,A1,Yetel&amp;A1,N/A"</formula1>
    </dataValidation>
    <dataValidation type="list" xr:uid="{6C0402D3-552B-48D2-B3EF-ADC4A20DED43}" sqref="L23" showErrorMessage="1" errorTitle="An invalid feedback was entered" error="Please choose feedback from drop down only.">
      <formula1>"Yetel,Bulsatcom,A1,Yetel&amp;A1,N/A"</formula1>
    </dataValidation>
    <dataValidation type="list" xr:uid="{5E8763E4-B11D-458C-8008-E00FF92EA745}" sqref="M23" showErrorMessage="1" errorTitle="An invalid feedback was entered" error="Please choose feedback from drop down only.">
      <formula1>"Yetel,Bulsatcom,A1,Yetel&amp;A1,N/A"</formula1>
    </dataValidation>
    <dataValidation type="list" xr:uid="{44528B27-4D5C-4517-9DE0-2661D8FD72FD}" sqref="N23" showErrorMessage="1" errorTitle="An invalid feedback was entered" error="Please choose feedback from drop down only.">
      <formula1>"Yetel,Bulsatcom,A1,Yetel&amp;A1,N/A"</formula1>
    </dataValidation>
    <dataValidation type="list" xr:uid="{C5DB996B-A016-4588-BA30-2E65A5B9F18D}" sqref="O23" showErrorMessage="1" errorTitle="An invalid feedback was entered" error="Please choose feedback from drop down only.">
      <formula1>"Yetel,Bulsatcom,A1,Yetel&amp;A1,N/A"</formula1>
    </dataValidation>
    <dataValidation type="list" xr:uid="{C0423093-4088-460B-A3A1-3B20A0EEC622}" sqref="P23" showErrorMessage="1" errorTitle="An invalid feedback was entered" error="Please choose feedback from drop down only.">
      <formula1>"Yetel,Bulsatcom,A1,Yetel&amp;A1,N/A"</formula1>
    </dataValidation>
    <dataValidation type="list" xr:uid="{34A5DD2D-EE02-4EDE-A625-5FEB4EB269FF}" sqref="Q23" showErrorMessage="1" errorTitle="An invalid feedback was entered" error="Please choose feedback from drop down only.">
      <formula1>"Yetel,Bulsatcom,A1,Yetel&amp;A1,N/A"</formula1>
    </dataValidation>
    <dataValidation type="list" xr:uid="{BA623B95-ADBA-4212-958B-1FF06A6C8665}" sqref="C31" showErrorMessage="1" errorTitle="An invalid feedback was entered" error="Please choose feedback from drop down only.">
      <formula1>"1/2,5/4,7/8,RRU TOP JUMPER,N/A"</formula1>
    </dataValidation>
    <dataValidation type="list" xr:uid="{40D3B0E9-A397-4C32-AF8A-A2389E9CF6FD}" sqref="D31" showErrorMessage="1" errorTitle="An invalid feedback was entered" error="Please choose feedback from drop down only.">
      <formula1>"1/2,5/4,7/8,RRU TOP JUMPER,N/A"</formula1>
    </dataValidation>
    <dataValidation type="list" xr:uid="{9D78CBFF-6A70-4E09-8462-39535CA32792}" sqref="E31" showErrorMessage="1" errorTitle="An invalid feedback was entered" error="Please choose feedback from drop down only.">
      <formula1>"1/2,5/4,7/8,RRU TOP JUMPER,N/A"</formula1>
    </dataValidation>
    <dataValidation type="list" xr:uid="{AC810BD9-E5E3-4F36-B66A-5305CD1C95AA}" sqref="F31" showErrorMessage="1" errorTitle="An invalid feedback was entered" error="Please choose feedback from drop down only.">
      <formula1>"1/2,5/4,7/8,RRU TOP JUMPER,N/A"</formula1>
    </dataValidation>
    <dataValidation type="list" xr:uid="{BF9D91E6-B6D5-42BB-90C3-CDB7E8616BEE}" sqref="G31" showErrorMessage="1" errorTitle="An invalid feedback was entered" error="Please choose feedback from drop down only.">
      <formula1>"1/2,5/4,7/8,RRU TOP JUMPER,N/A"</formula1>
    </dataValidation>
    <dataValidation type="list" xr:uid="{9F30B2B5-FC91-4609-85C3-3A494D61A7BD}" sqref="H31" showErrorMessage="1" errorTitle="An invalid feedback was entered" error="Please choose feedback from drop down only.">
      <formula1>"1/2,5/4,7/8,RRU TOP JUMPER,N/A"</formula1>
    </dataValidation>
    <dataValidation type="list" xr:uid="{E0719C12-8ACF-406A-8425-81DBFE693C07}" sqref="I31" showErrorMessage="1" errorTitle="An invalid feedback was entered" error="Please choose feedback from drop down only.">
      <formula1>"1/2,5/4,7/8,RRU TOP JUMPER,N/A"</formula1>
    </dataValidation>
    <dataValidation type="list" xr:uid="{69B2C5D7-CCBA-4C81-A9EE-9DA33D3E9541}" sqref="J31" showErrorMessage="1" errorTitle="An invalid feedback was entered" error="Please choose feedback from drop down only.">
      <formula1>"1/2,5/4,7/8,RRU TOP JUMPER,N/A"</formula1>
    </dataValidation>
    <dataValidation type="list" xr:uid="{172E0570-6705-44EF-B936-7C17F015BADC}" sqref="K31" showErrorMessage="1" errorTitle="An invalid feedback was entered" error="Please choose feedback from drop down only.">
      <formula1>"1/2,5/4,7/8,RRU TOP JUMPER,N/A"</formula1>
    </dataValidation>
    <dataValidation type="list" xr:uid="{F0F3310C-8DC7-42AC-A469-8C1627CECBFE}" sqref="L31" showErrorMessage="1" errorTitle="An invalid feedback was entered" error="Please choose feedback from drop down only.">
      <formula1>"1/2,5/4,7/8,RRU TOP JUMPER,N/A"</formula1>
    </dataValidation>
    <dataValidation type="list" xr:uid="{B0CA45CB-2F92-4632-87A8-DC4EE2322007}" sqref="M31" showErrorMessage="1" errorTitle="An invalid feedback was entered" error="Please choose feedback from drop down only.">
      <formula1>"1/2,5/4,7/8,RRU TOP JUMPER,N/A"</formula1>
    </dataValidation>
    <dataValidation type="list" xr:uid="{92A184E5-30EC-4D5A-9BC2-1490AE010DC1}" sqref="N31" showErrorMessage="1" errorTitle="An invalid feedback was entered" error="Please choose feedback from drop down only.">
      <formula1>"1/2,5/4,7/8,RRU TOP JUMPER,N/A"</formula1>
    </dataValidation>
    <dataValidation type="list" xr:uid="{57619503-61DB-4726-8C33-E70B9F7BB592}" sqref="O31" showErrorMessage="1" errorTitle="An invalid feedback was entered" error="Please choose feedback from drop down only.">
      <formula1>"1/2,5/4,7/8,RRU TOP JUMPER,N/A"</formula1>
    </dataValidation>
    <dataValidation type="list" xr:uid="{8BD5D08D-92B8-4CC6-A07C-5D2B9EF367AB}" sqref="P31" showErrorMessage="1" errorTitle="An invalid feedback was entered" error="Please choose feedback from drop down only.">
      <formula1>"1/2,5/4,7/8,RRU TOP JUMPER,N/A"</formula1>
    </dataValidation>
    <dataValidation type="list" xr:uid="{A38055A8-8A37-4C9C-8479-7996463E8362}" sqref="Q31" showErrorMessage="1" errorTitle="An invalid feedback was entered" error="Please choose feedback from drop down only.">
      <formula1>"1/2,5/4,7/8,RRU TOP JUMPER,N/A"</formula1>
    </dataValidation>
    <dataValidation type="list" xr:uid="{54F61622-6769-4828-8097-8A25F703B8DD}" sqref="C4" showErrorMessage="1" errorTitle="An invalid feedback was entered" error="Please choose feedback from drop down only.">
      <formula1>"1,2,3,4,5,6,N/A"</formula1>
    </dataValidation>
    <dataValidation type="list" xr:uid="{D09F5152-B795-488C-9A36-50497F50A449}" sqref="D4" showErrorMessage="1" errorTitle="An invalid feedback was entered" error="Please choose feedback from drop down only.">
      <formula1>"1,2,3,4,5,6,N/A"</formula1>
    </dataValidation>
    <dataValidation type="list" xr:uid="{3400B225-38A1-478F-AD42-95C093228EBD}" sqref="E4" showErrorMessage="1" errorTitle="An invalid feedback was entered" error="Please choose feedback from drop down only.">
      <formula1>"1,2,3,4,5,6,N/A"</formula1>
    </dataValidation>
    <dataValidation type="list" xr:uid="{06D9C74F-27DA-4266-AC21-1DA16EFC0A7E}" sqref="F4" showErrorMessage="1" errorTitle="An invalid feedback was entered" error="Please choose feedback from drop down only.">
      <formula1>"1,2,3,4,5,6,N/A"</formula1>
    </dataValidation>
    <dataValidation type="list" xr:uid="{A02A2E3A-B7FF-46F6-BDE7-EDB0F1ACC22F}" sqref="G4" showErrorMessage="1" errorTitle="An invalid feedback was entered" error="Please choose feedback from drop down only.">
      <formula1>"1,2,3,4,5,6,N/A"</formula1>
    </dataValidation>
    <dataValidation type="list" xr:uid="{DCCF88BC-42B0-4555-8ED4-27654A97027B}" sqref="H4" showErrorMessage="1" errorTitle="An invalid feedback was entered" error="Please choose feedback from drop down only.">
      <formula1>"1,2,3,4,5,6,N/A"</formula1>
    </dataValidation>
    <dataValidation type="list" xr:uid="{8FCEF4B7-4A9B-4887-9A1C-B2E7A47528C2}" sqref="I4" showErrorMessage="1" errorTitle="An invalid feedback was entered" error="Please choose feedback from drop down only.">
      <formula1>"1,2,3,4,5,6,N/A"</formula1>
    </dataValidation>
    <dataValidation type="list" xr:uid="{EAED3D2A-29A6-42DC-BE4D-D6CF14D27C96}" sqref="J4" showErrorMessage="1" errorTitle="An invalid feedback was entered" error="Please choose feedback from drop down only.">
      <formula1>"1,2,3,4,5,6,N/A"</formula1>
    </dataValidation>
    <dataValidation type="list" xr:uid="{85781FC4-EA0E-484C-87A6-ED3335C70728}" sqref="K4" showErrorMessage="1" errorTitle="An invalid feedback was entered" error="Please choose feedback from drop down only.">
      <formula1>"1,2,3,4,5,6,N/A"</formula1>
    </dataValidation>
    <dataValidation type="list" xr:uid="{74B55A7A-9FCA-46BF-B294-424C3DD176D3}" sqref="L4" showErrorMessage="1" errorTitle="An invalid feedback was entered" error="Please choose feedback from drop down only.">
      <formula1>"1,2,3,4,5,6,N/A"</formula1>
    </dataValidation>
    <dataValidation type="list" xr:uid="{4F7E07AD-62A9-4CBD-BF51-AAC6185728AF}" sqref="M4" showErrorMessage="1" errorTitle="An invalid feedback was entered" error="Please choose feedback from drop down only.">
      <formula1>"1,2,3,4,5,6,N/A"</formula1>
    </dataValidation>
    <dataValidation type="list" xr:uid="{29EE4A76-C791-46E9-B0A8-338528377211}" sqref="N4" showErrorMessage="1" errorTitle="An invalid feedback was entered" error="Please choose feedback from drop down only.">
      <formula1>"1,2,3,4,5,6,N/A"</formula1>
    </dataValidation>
    <dataValidation type="list" xr:uid="{BCD37CF6-39AA-4AF0-B192-FB546D62D317}" sqref="O4" showErrorMessage="1" errorTitle="An invalid feedback was entered" error="Please choose feedback from drop down only.">
      <formula1>"1,2,3,4,5,6,N/A"</formula1>
    </dataValidation>
    <dataValidation type="list" xr:uid="{7F435432-61E7-49F2-9005-E072A46784C4}" sqref="P4" showErrorMessage="1" errorTitle="An invalid feedback was entered" error="Please choose feedback from drop down only.">
      <formula1>"1,2,3,4,5,6,N/A"</formula1>
    </dataValidation>
    <dataValidation type="list" xr:uid="{34E8744C-5A7B-4832-AF6D-CE2CA9332E6D}" sqref="Q4" showErrorMessage="1" errorTitle="An invalid feedback was entered" error="Please choose feedback from drop down only.">
      <formula1>"1,2,3,4,5,6,N/A"</formula1>
    </dataValidation>
    <dataValidation type="list" xr:uid="{8040249A-67DB-4DE6-B25A-26FBE841BDC0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2F606FA-A2DF-43DD-ABB4-2A1D80F9BBE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D77361-53FC-4184-8AF3-46CA43219F2E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85D181-4C83-4A6A-B615-93FAFA60C15B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D4E933BA-44C8-4B7C-B908-B7A4596D2CF1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3F5D327-3511-42D6-8980-19FB04E89B46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9B31F22-2C96-4B31-AFD2-19716182935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37ECEB2-C56F-437A-83F5-E5DDCD15A69B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BCBCE62-0D13-455A-B0AE-D3753298F956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13CEC06-B7C2-491D-A623-F131F968D439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8E9840D-FBB9-40CC-9023-FD5F26AE3A70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D0DC766-20E8-4EC1-9379-65EB54125D4E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C3CA33-01C7-41F1-B1B2-839DCF4A2C31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92CFF5-A68A-47FC-A9E3-C872014D02C4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26C037F-4CD8-4B22-8785-B1B9BEE089DD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B7E3C944-DB3B-40EF-82C3-1C10E2C2B77F}" sqref="C28" showErrorMessage="1" errorTitle="An invalid feedback was entered" error="Please choose feedback from drop down only.">
      <formula1>"Yes,No,FlexRET"</formula1>
    </dataValidation>
    <dataValidation type="list" xr:uid="{FB3E598E-D648-43E8-99B1-B1ABAF08CFF9}" sqref="D28" showErrorMessage="1" errorTitle="An invalid feedback was entered" error="Please choose feedback from drop down only.">
      <formula1>"Yes,No,FlexRET"</formula1>
    </dataValidation>
    <dataValidation type="list" xr:uid="{223FF47F-8CAA-4EA3-A6EA-72FAA413B979}" sqref="E28" showErrorMessage="1" errorTitle="An invalid feedback was entered" error="Please choose feedback from drop down only.">
      <formula1>"Yes,No,FlexRET"</formula1>
    </dataValidation>
    <dataValidation type="list" xr:uid="{DB5657B7-7DDC-4401-8342-6AF892501AA2}" sqref="F28" showErrorMessage="1" errorTitle="An invalid feedback was entered" error="Please choose feedback from drop down only.">
      <formula1>"Yes,No,FlexRET"</formula1>
    </dataValidation>
    <dataValidation type="list" xr:uid="{87AABC0C-08BC-4CC1-8488-81559922D117}" sqref="G28" showErrorMessage="1" errorTitle="An invalid feedback was entered" error="Please choose feedback from drop down only.">
      <formula1>"Yes,No,FlexRET"</formula1>
    </dataValidation>
    <dataValidation type="list" xr:uid="{9E65E3D3-0780-4339-92ED-914CC5A3141F}" sqref="H28" showErrorMessage="1" errorTitle="An invalid feedback was entered" error="Please choose feedback from drop down only.">
      <formula1>"Yes,No,FlexRET"</formula1>
    </dataValidation>
    <dataValidation type="list" xr:uid="{0E82CC8E-8F6C-4AB9-8092-F09A936DE682}" sqref="I28" showErrorMessage="1" errorTitle="An invalid feedback was entered" error="Please choose feedback from drop down only.">
      <formula1>"Yes,No,FlexRET"</formula1>
    </dataValidation>
    <dataValidation type="list" xr:uid="{3DA8B167-6555-4A1C-8061-9998176D7D44}" sqref="J28" showErrorMessage="1" errorTitle="An invalid feedback was entered" error="Please choose feedback from drop down only.">
      <formula1>"Yes,No,FlexRET"</formula1>
    </dataValidation>
    <dataValidation type="list" xr:uid="{3DC32E2E-DCB2-4AC8-95B5-23FF839E528A}" sqref="K28" showErrorMessage="1" errorTitle="An invalid feedback was entered" error="Please choose feedback from drop down only.">
      <formula1>"Yes,No,FlexRET"</formula1>
    </dataValidation>
    <dataValidation type="list" xr:uid="{E76CCD92-31BF-4CA6-B89A-A82E4F84D376}" sqref="L28" showErrorMessage="1" errorTitle="An invalid feedback was entered" error="Please choose feedback from drop down only.">
      <formula1>"Yes,No,FlexRET"</formula1>
    </dataValidation>
    <dataValidation type="list" xr:uid="{820D8C65-13EF-4362-BD23-2064D4582620}" sqref="M28" showErrorMessage="1" errorTitle="An invalid feedback was entered" error="Please choose feedback from drop down only.">
      <formula1>"Yes,No,FlexRET"</formula1>
    </dataValidation>
    <dataValidation type="list" xr:uid="{B64D9DBB-E01D-4C85-95E1-85D0A90ED950}" sqref="N28" showErrorMessage="1" errorTitle="An invalid feedback was entered" error="Please choose feedback from drop down only.">
      <formula1>"Yes,No,FlexRET"</formula1>
    </dataValidation>
    <dataValidation type="list" xr:uid="{A18C8CAF-01D1-4C01-BDAA-F0009FBEABBF}" sqref="O28" showErrorMessage="1" errorTitle="An invalid feedback was entered" error="Please choose feedback from drop down only.">
      <formula1>"Yes,No,FlexRET"</formula1>
    </dataValidation>
    <dataValidation type="list" xr:uid="{0A2B6667-BD57-4E77-82DA-4D9BAC5CD6FE}" sqref="P28" showErrorMessage="1" errorTitle="An invalid feedback was entered" error="Please choose feedback from drop down only.">
      <formula1>"Yes,No,FlexRET"</formula1>
    </dataValidation>
    <dataValidation type="list" xr:uid="{9EB78B9E-8F64-45D7-BBDA-21F33A4F559D}" sqref="Q28" showErrorMessage="1" errorTitle="An invalid feedback was entered" error="Please choose feedback from drop down only.">
      <formula1>"Yes,No,FlexRET"</formula1>
    </dataValidation>
    <dataValidation type="list" xr:uid="{0371DAC2-1487-4238-836B-F5853B62BA0C}" sqref="C29" showErrorMessage="1" errorTitle="An invalid feedback was entered" error="Please choose feedback from drop down only.">
      <formula1>"Yes,No,FlexRET"</formula1>
    </dataValidation>
    <dataValidation type="list" xr:uid="{2FA82029-F025-479D-B32D-B77CAED30A64}" sqref="D29" showErrorMessage="1" errorTitle="An invalid feedback was entered" error="Please choose feedback from drop down only.">
      <formula1>"Yes,No,FlexRET"</formula1>
    </dataValidation>
    <dataValidation type="list" xr:uid="{B5FBB06F-9BF0-4519-8851-B82C9D9CC936}" sqref="E29" showErrorMessage="1" errorTitle="An invalid feedback was entered" error="Please choose feedback from drop down only.">
      <formula1>"Yes,No,FlexRET"</formula1>
    </dataValidation>
    <dataValidation type="list" xr:uid="{24C3697D-2535-4A1F-8CA1-4441878BC8EC}" sqref="F29" showErrorMessage="1" errorTitle="An invalid feedback was entered" error="Please choose feedback from drop down only.">
      <formula1>"Yes,No,FlexRET"</formula1>
    </dataValidation>
    <dataValidation type="list" xr:uid="{02528667-E89C-4844-96AD-3BC691FE9231}" sqref="G29" showErrorMessage="1" errorTitle="An invalid feedback was entered" error="Please choose feedback from drop down only.">
      <formula1>"Yes,No,FlexRET"</formula1>
    </dataValidation>
    <dataValidation type="list" xr:uid="{CEAC83DF-E241-4169-8091-A72455D6B3F7}" sqref="H29" showErrorMessage="1" errorTitle="An invalid feedback was entered" error="Please choose feedback from drop down only.">
      <formula1>"Yes,No,FlexRET"</formula1>
    </dataValidation>
    <dataValidation type="list" xr:uid="{83A40989-77B0-46F7-A49F-A5F039D72C9D}" sqref="I29" showErrorMessage="1" errorTitle="An invalid feedback was entered" error="Please choose feedback from drop down only.">
      <formula1>"Yes,No,FlexRET"</formula1>
    </dataValidation>
    <dataValidation type="list" xr:uid="{816CB48D-7939-421A-A649-7494630349BC}" sqref="J29" showErrorMessage="1" errorTitle="An invalid feedback was entered" error="Please choose feedback from drop down only.">
      <formula1>"Yes,No,FlexRET"</formula1>
    </dataValidation>
    <dataValidation type="list" xr:uid="{A3836A96-C9F5-4E85-8AE9-C0AD3A11B96A}" sqref="K29" showErrorMessage="1" errorTitle="An invalid feedback was entered" error="Please choose feedback from drop down only.">
      <formula1>"Yes,No,FlexRET"</formula1>
    </dataValidation>
    <dataValidation type="list" xr:uid="{3D60BCEB-05EE-4403-BD6E-4121C82271CB}" sqref="L29" showErrorMessage="1" errorTitle="An invalid feedback was entered" error="Please choose feedback from drop down only.">
      <formula1>"Yes,No,FlexRET"</formula1>
    </dataValidation>
    <dataValidation type="list" xr:uid="{0D797D91-0CE8-4E7F-A147-FAF401FF4307}" sqref="M29" showErrorMessage="1" errorTitle="An invalid feedback was entered" error="Please choose feedback from drop down only.">
      <formula1>"Yes,No,FlexRET"</formula1>
    </dataValidation>
    <dataValidation type="list" xr:uid="{27BAF125-2E4B-44BA-8979-2C67EF8DF0A1}" sqref="N29" showErrorMessage="1" errorTitle="An invalid feedback was entered" error="Please choose feedback from drop down only.">
      <formula1>"Yes,No,FlexRET"</formula1>
    </dataValidation>
    <dataValidation type="list" xr:uid="{E8FCCE7C-E237-4697-9E11-8B40EB647824}" sqref="O29" showErrorMessage="1" errorTitle="An invalid feedback was entered" error="Please choose feedback from drop down only.">
      <formula1>"Yes,No,FlexRET"</formula1>
    </dataValidation>
    <dataValidation type="list" xr:uid="{88BCE374-D728-4872-8F6B-9CAF5D519032}" sqref="P29" showErrorMessage="1" errorTitle="An invalid feedback was entered" error="Please choose feedback from drop down only.">
      <formula1>"Yes,No,FlexRET"</formula1>
    </dataValidation>
    <dataValidation type="list" xr:uid="{149111B4-3723-431C-BC2B-DF63798C9DA3}" sqref="Q29" showErrorMessage="1" errorTitle="An invalid feedback was entered" error="Please choose feedback from drop down only.">
      <formula1>"Yes,No,FlexRET"</formula1>
    </dataValidation>
    <dataValidation type="list" xr:uid="{374C5F38-02EB-4BC8-934E-FD944D7E1C32}" sqref="C25" showErrorMessage="1" errorTitle="An invalid feedback was entered" error="Please choose feedback from drop down only.">
      <formula1>"G,U,L,NR,GU,UL,GL,GUL,LNR,ULNR,None"</formula1>
    </dataValidation>
    <dataValidation type="list" xr:uid="{47AEF0E9-393E-4DF6-9B61-7BF4F690BBD4}" sqref="D25" showErrorMessage="1" errorTitle="An invalid feedback was entered" error="Please choose feedback from drop down only.">
      <formula1>"G,U,L,NR,GU,UL,GL,GUL,LNR,ULNR,None"</formula1>
    </dataValidation>
    <dataValidation type="list" xr:uid="{575CC21C-7824-4EFB-8725-4ACB131AE8D5}" sqref="E25" showErrorMessage="1" errorTitle="An invalid feedback was entered" error="Please choose feedback from drop down only.">
      <formula1>"G,U,L,NR,GU,UL,GL,GUL,LNR,ULNR,None"</formula1>
    </dataValidation>
    <dataValidation type="list" xr:uid="{7B508EF0-7FB2-414B-8356-8B40AC929CCF}" sqref="F25" showErrorMessage="1" errorTitle="An invalid feedback was entered" error="Please choose feedback from drop down only.">
      <formula1>"G,U,L,NR,GU,UL,GL,GUL,LNR,ULNR,None"</formula1>
    </dataValidation>
    <dataValidation type="list" xr:uid="{6CAD3E1C-F35E-45BA-9BDE-B318EA5B9966}" sqref="G25" showErrorMessage="1" errorTitle="An invalid feedback was entered" error="Please choose feedback from drop down only.">
      <formula1>"G,U,L,NR,GU,UL,GL,GUL,LNR,ULNR,None"</formula1>
    </dataValidation>
    <dataValidation type="list" xr:uid="{ECCA32C0-62D7-490F-A35D-7D308040111F}" sqref="H25" showErrorMessage="1" errorTitle="An invalid feedback was entered" error="Please choose feedback from drop down only.">
      <formula1>"G,U,L,NR,GU,UL,GL,GUL,LNR,ULNR,None"</formula1>
    </dataValidation>
    <dataValidation type="list" xr:uid="{E46E33AE-40DB-4E91-B98D-7FA897D225DC}" sqref="I25" showErrorMessage="1" errorTitle="An invalid feedback was entered" error="Please choose feedback from drop down only.">
      <formula1>"G,U,L,NR,GU,UL,GL,GUL,LNR,ULNR,None"</formula1>
    </dataValidation>
    <dataValidation type="list" xr:uid="{A3A27469-8941-4C1F-8131-A6D5048E4239}" sqref="J25" showErrorMessage="1" errorTitle="An invalid feedback was entered" error="Please choose feedback from drop down only.">
      <formula1>"G,U,L,NR,GU,UL,GL,GUL,LNR,ULNR,None"</formula1>
    </dataValidation>
    <dataValidation type="list" xr:uid="{768CDA7D-AC94-46B9-867F-A66D0DF3050C}" sqref="K25" showErrorMessage="1" errorTitle="An invalid feedback was entered" error="Please choose feedback from drop down only.">
      <formula1>"G,U,L,NR,GU,UL,GL,GUL,LNR,ULNR,None"</formula1>
    </dataValidation>
    <dataValidation type="list" xr:uid="{E5969BFA-0D7F-4204-B50C-15E2330441E3}" sqref="L25" showErrorMessage="1" errorTitle="An invalid feedback was entered" error="Please choose feedback from drop down only.">
      <formula1>"G,U,L,NR,GU,UL,GL,GUL,LNR,ULNR,None"</formula1>
    </dataValidation>
    <dataValidation type="list" xr:uid="{6EA24223-031E-4935-A81A-5C8D36AED7F5}" sqref="M25" showErrorMessage="1" errorTitle="An invalid feedback was entered" error="Please choose feedback from drop down only.">
      <formula1>"G,U,L,NR,GU,UL,GL,GUL,LNR,ULNR,None"</formula1>
    </dataValidation>
    <dataValidation type="list" xr:uid="{ADCDC294-7146-4DB9-AE8B-F6E9283297B1}" sqref="N25" showErrorMessage="1" errorTitle="An invalid feedback was entered" error="Please choose feedback from drop down only.">
      <formula1>"G,U,L,NR,GU,UL,GL,GUL,LNR,ULNR,None"</formula1>
    </dataValidation>
    <dataValidation type="list" xr:uid="{E82820FC-432C-42E0-BEF0-ED591A866415}" sqref="O25" showErrorMessage="1" errorTitle="An invalid feedback was entered" error="Please choose feedback from drop down only.">
      <formula1>"G,U,L,NR,GU,UL,GL,GUL,LNR,ULNR,None"</formula1>
    </dataValidation>
    <dataValidation type="list" xr:uid="{8948F261-2A9B-4A65-81F8-F45D71F6D239}" sqref="P25" showErrorMessage="1" errorTitle="An invalid feedback was entered" error="Please choose feedback from drop down only.">
      <formula1>"G,U,L,NR,GU,UL,GL,GUL,LNR,ULNR,None"</formula1>
    </dataValidation>
    <dataValidation type="list" xr:uid="{05833076-A3F5-47F3-9829-F50DB2FF4F11}" sqref="Q25" showErrorMessage="1" errorTitle="An invalid feedback was entered" error="Please choose feedback from drop down only.">
      <formula1>"G,U,L,NR,GU,UL,GL,GUL,LNR,ULNR,None"</formula1>
    </dataValidation>
    <dataValidation type="list" xr:uid="{FE1F99C8-3761-42F9-B0E2-E8888561E86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286C844-F97A-42E3-A74A-ABABA362C86E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94FA924-C43A-42BE-BA6A-0D64F4D3E0F1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6014060-4AF4-4A05-8695-E30B33637958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8FCB113-1287-4658-970B-F287B1FAB27A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B54DA55-8059-4E63-A9F9-56AFC1651822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0DC75BA-9CFF-48F7-8F91-126F80509FA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8CAEAB-ACA9-4602-83CD-A1446C45BCFE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2921227-CA14-426D-BF53-2A9F250483A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A5A1449-6BF7-4C26-AB39-43FFBA02EA16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16CC990-576E-431B-98CC-23684C16461C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102902E-E770-4E82-81DD-5856E43F8123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01C5C27-9ACF-47DA-AD18-E6F1D61806C0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98A5E41-EEA1-45FD-B082-E04F3735B767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844B0DB-7074-4C42-9C34-F88D6C7B9B38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BC53A3C9-0C75-45A6-81CD-B6A2F9FDAED0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644A7F8D-91E4-4856-9B73-514EE3E03E4E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D4FBBBDA-23F1-4E7F-AF8C-DB35453BF429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252C6007-F2B6-46F5-A60F-DE1586A7BA38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9CC74E74-4BC7-4CBF-88E5-5CC47C66AF10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42F2EC5A-C4C5-4972-8BF6-1819054E0352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0E0C07D4-931E-4890-85A4-E271F6B369F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FA96312-DF3E-4479-9BBE-D97D5127FF2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94945D45-BE4E-48BE-86F5-686EEC4C7651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5C212967-721E-4A1F-BD79-764DD4D299B3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AE87F70A-DE6E-47ED-BA5A-BA051B458015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52E1475-5F28-44ED-B3C6-1515ED1C2E17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BC61EEE7-9F0B-434B-A002-DFAA5AE64D31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FA8B69F-8BB4-47E7-9D78-3EABD9679B2C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FE495F8E-DE6B-42C4-AF9B-FEC9E337C4A9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2A339891-CE4A-4609-96D3-A71E3E9227E4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69A03527-B3BB-4844-8FFA-7EB33B4233F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A77BB0F1-02AA-441C-90A0-82E355A04F63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2C4BB0EB-AA16-4545-B1D7-AD5B0177B8DC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C41B84B3-C0D4-4FB3-B34C-FB73542BF5CC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FDB86FA4-87BE-4DCD-B512-848827128BD2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C3F2B3ED-9095-4A81-A170-A49A70167CF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7296A968-8C9A-4F90-BC28-5A13BF5865AA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F4839F73-762E-4758-AF2D-89B09EFE83E4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38B7043A-6A84-4BEF-A281-0BDA29DFF364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36BC0706-935D-4CFF-901B-91531A318C66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F75C221-13B0-49E4-BC82-989876F392D0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2D8570B5-7669-48C3-8E6A-FCA880E63A39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9111A8D7-4F2E-40E1-8313-1EF86CB93C1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51E4BED9-F593-4C7A-8300-4A0CD8171DD4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DF106EF-BE5A-46CD-82F4-3BFC7BC9E482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D12A2CD7-7337-4028-A925-9FEE5C2BF171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C8072D3C-45B0-4C9F-A43A-1B42E3BBA08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0BF1F4A-9D5E-4FA7-902C-2110DF689589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8F1BA0C7-8D4B-4FFF-B231-E3E346E54D6D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4002ED3A-3F95-4185-ABDF-EDAA24953535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64AC44A-FEE7-4C04-897A-908629E95CE2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5BB8052-FB77-496C-B99F-03D6361C8EF8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EBB24DBF-A015-403B-B27C-500D17AE3662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0E9EF023-6D2D-48CE-8705-121FF1B611F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9C4DBF23-9F85-4FE8-B956-231B21168724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4C3A9AF7-5580-44A1-BCB4-40A195B3694F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1FEC58CE-1430-47A6-8E05-9E5111C7C713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A393B37C-200B-4AD0-BF36-B60EF5E62E8E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0CBBDBCF-8762-4FF8-BEB2-E7F9411AC62D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859C5D0F-30BF-4E38-A0F8-978E936DCE03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D017F50-389E-45CE-9E2A-4A185F957543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F33FD84D-462A-4EFD-B6A9-22E18D5BE6C4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F3ADFF16-AA0F-426A-A38D-4967710EE58A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A6DEBAB4-8062-42D0-A4DB-A0EA00C2205A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D9E69011-65B5-42C8-B701-1C4D99002048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681AD51A-3D81-419D-8063-30016D4F7E57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D01B0B79-6463-42A0-AC42-7682ACC42D01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62EB571-2606-484B-A63B-E3FC2556B81A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502BB619-0D59-40B0-AD52-45473C848DE9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F40A33F8-26B4-4BDE-A635-E8EDC746410C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0C58F4EF-7484-4C17-BD27-2CA3B2377947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AE0AA9CC-59FB-49AF-8DBF-7AF8809647EA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483AEF18-ECE1-4EB7-B279-EE4EC4E6F5CC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4D9480C5-DF89-490B-B1F5-A29E393A449E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8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115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48"/>
      <c r="D4" s="249"/>
      <c r="E4" s="249"/>
      <c r="F4" s="249"/>
      <c r="G4" s="249"/>
      <c r="H4" s="249"/>
      <c r="I4" s="249"/>
      <c r="J4" s="249"/>
      <c r="K4" s="249"/>
      <c r="L4" s="249"/>
      <c r="M4" s="249"/>
      <c r="N4" s="249"/>
      <c r="O4" s="249"/>
      <c r="P4" s="250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0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74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73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74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73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74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73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81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80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75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99">
        <f>VLOOKUP(P8,AntennasPortName!A:H,2,FALSE)</f>
      </c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M14:O14"/>
    <mergeCell ref="M10:O10"/>
    <mergeCell ref="C11:H11"/>
    <mergeCell ref="I11:L11"/>
    <mergeCell ref="M11:O11"/>
    <mergeCell ref="C12:H12"/>
    <mergeCell ref="I12:L12"/>
    <mergeCell ref="M12:O12"/>
    <mergeCell ref="C10:H10"/>
    <mergeCell ref="I10:L10"/>
    <mergeCell ref="A34:A35"/>
    <mergeCell ref="A36:A41"/>
    <mergeCell ref="A42:A45"/>
    <mergeCell ref="C15:H15"/>
    <mergeCell ref="I15:L15"/>
    <mergeCell ref="B42:P45"/>
    <mergeCell ref="M15:O15"/>
    <mergeCell ref="C16:H16"/>
    <mergeCell ref="I16:L16"/>
    <mergeCell ref="M16:O16"/>
    <mergeCell ref="A3:A33"/>
    <mergeCell ref="C13:H13"/>
    <mergeCell ref="I13:L13"/>
    <mergeCell ref="M13:O13"/>
    <mergeCell ref="C14:H14"/>
    <mergeCell ref="I14:L14"/>
    <mergeCell ref="A1:B1"/>
    <mergeCell ref="C2:H2"/>
    <mergeCell ref="I2:L2"/>
    <mergeCell ref="M2:O2"/>
    <mergeCell ref="C1:P1"/>
    <mergeCell ref="C3:P3"/>
    <mergeCell ref="C4:P4"/>
    <mergeCell ref="C5:P5"/>
    <mergeCell ref="C6:P6"/>
    <mergeCell ref="C7:H7"/>
    <mergeCell ref="I7:L7"/>
    <mergeCell ref="M7:O7"/>
    <mergeCell ref="C8:H8"/>
    <mergeCell ref="I8:L8"/>
    <mergeCell ref="M8:O8"/>
    <mergeCell ref="C9:H9"/>
    <mergeCell ref="I9:L9"/>
    <mergeCell ref="M9:O9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C19">
    <cfRule type="cellIs" dxfId="1" priority="19" operator="equal">
      <formula>0</formula>
    </cfRule>
    <cfRule type="expression" dxfId="95" priority="20">
      <formula>ISERROR(C19)</formula>
    </cfRule>
  </conditionalFormatting>
  <conditionalFormatting sqref="D19:O19">
    <cfRule type="cellIs" dxfId="1" priority="17" operator="equal">
      <formula>0</formula>
    </cfRule>
    <cfRule type="expression" dxfId="95" priority="18">
      <formula>ISERROR(D19)</formula>
    </cfRule>
  </conditionalFormatting>
  <conditionalFormatting sqref="P22">
    <cfRule type="cellIs" dxfId="0" priority="11" operator="greaterThan">
      <formula>0</formula>
    </cfRule>
  </conditionalFormatting>
  <conditionalFormatting sqref="P21">
    <cfRule type="expression" dxfId="1" priority="10">
      <formula>ISERROR(P21)</formula>
    </cfRule>
  </conditionalFormatting>
  <conditionalFormatting sqref="P21">
    <cfRule type="cellIs" dxfId="1" priority="9" operator="equal">
      <formula>0</formula>
    </cfRule>
  </conditionalFormatting>
  <conditionalFormatting sqref="P21">
    <cfRule type="cellIs" dxfId="3" priority="8" operator="greaterThan">
      <formula>0</formula>
    </cfRule>
  </conditionalFormatting>
  <conditionalFormatting sqref="P27 P29 P33">
    <cfRule type="cellIs" dxfId="0" priority="7" operator="notEqual">
      <formula>VALUE(P26)</formula>
    </cfRule>
  </conditionalFormatting>
  <conditionalFormatting sqref="P8 P10 P12 P14 P16 P27 P29 P31 P33 P35 P37 P25 P39 P41">
    <cfRule type="expression" dxfId="10" priority="5">
      <formula>ISBLANK(P8)</formula>
    </cfRule>
  </conditionalFormatting>
  <conditionalFormatting sqref="P8 P10 P12 P14 P16 P31 P35 P37 P25 P39 P41">
    <cfRule type="cellIs" dxfId="0" priority="6" operator="notEqual">
      <formula>P7</formula>
    </cfRule>
  </conditionalFormatting>
  <conditionalFormatting sqref="P24:P41">
    <cfRule type="expression" dxfId="1" priority="4" stopIfTrue="1">
      <formula>OR(P$22="Free",P$22="Telenor",P$22="Mtel",P$22="Telenor&amp;Mtel")</formula>
    </cfRule>
  </conditionalFormatting>
  <conditionalFormatting sqref="P19">
    <cfRule type="cellIs" dxfId="1" priority="2" operator="equal">
      <formula>0</formula>
    </cfRule>
    <cfRule type="expression" dxfId="1" priority="3">
      <formula>ISERROR(P19)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9F21D02E-4BC8-4C99-8755-E8C4D4D41316}" sqref="C2" showErrorMessage="1" errorTitle="An invalid feedback was entered" error="Please choose feedback from drop down only.">
      <formula1>"1,2,3"</formula1>
    </dataValidation>
    <dataValidation type="list" xr:uid="{286220DA-F3AB-4E58-A9AE-407ED193768E}" sqref="D2" showErrorMessage="1" errorTitle="An invalid feedback was entered" error="Please choose feedback from drop down only.">
      <formula1>"1,2,3"</formula1>
    </dataValidation>
    <dataValidation type="list" xr:uid="{8734218B-D91D-4FC4-AD80-E7FADB819CE1}" sqref="E2" showErrorMessage="1" errorTitle="An invalid feedback was entered" error="Please choose feedback from drop down only.">
      <formula1>"1,2,3"</formula1>
    </dataValidation>
    <dataValidation type="list" xr:uid="{4B29C201-541C-4CF0-8DDF-55FB7D6121D7}" sqref="F2" showErrorMessage="1" errorTitle="An invalid feedback was entered" error="Please choose feedback from drop down only.">
      <formula1>"1,2,3"</formula1>
    </dataValidation>
    <dataValidation type="list" xr:uid="{13B1E57B-06D4-480F-8C57-8EC32B883DDE}" sqref="G2" showErrorMessage="1" errorTitle="An invalid feedback was entered" error="Please choose feedback from drop down only.">
      <formula1>"1,2,3"</formula1>
    </dataValidation>
    <dataValidation type="list" xr:uid="{150595B7-6E86-46B1-82FF-110BC8C3BA9A}" sqref="H2" showErrorMessage="1" errorTitle="An invalid feedback was entered" error="Please choose feedback from drop down only.">
      <formula1>"1,2,3"</formula1>
    </dataValidation>
    <dataValidation type="list" xr:uid="{5991145B-C390-4291-BCAC-8330F6704761}" sqref="I2" showErrorMessage="1" errorTitle="An invalid feedback was entered" error="Please choose feedback from drop down only.">
      <formula1>"1,2,3"</formula1>
    </dataValidation>
    <dataValidation type="list" xr:uid="{A70AFB60-77C6-467D-88EC-61AA6BBA8331}" sqref="J2" showErrorMessage="1" errorTitle="An invalid feedback was entered" error="Please choose feedback from drop down only.">
      <formula1>"1,2,3"</formula1>
    </dataValidation>
    <dataValidation type="list" xr:uid="{534156B3-C957-49B8-A3E3-179FC61839F2}" sqref="K2" showErrorMessage="1" errorTitle="An invalid feedback was entered" error="Please choose feedback from drop down only.">
      <formula1>"1,2,3"</formula1>
    </dataValidation>
    <dataValidation type="list" xr:uid="{7601AD90-9771-4349-96A3-739FA4F4ECA5}" sqref="L2" showErrorMessage="1" errorTitle="An invalid feedback was entered" error="Please choose feedback from drop down only.">
      <formula1>"1,2,3"</formula1>
    </dataValidation>
    <dataValidation type="list" xr:uid="{010830C5-3649-4462-A35D-09967458F5DF}" sqref="M2" showErrorMessage="1" errorTitle="An invalid feedback was entered" error="Please choose feedback from drop down only.">
      <formula1>"1,2,3"</formula1>
    </dataValidation>
    <dataValidation type="list" xr:uid="{8AE83CC4-712E-4521-B398-8E05BA09E596}" sqref="N2" showErrorMessage="1" errorTitle="An invalid feedback was entered" error="Please choose feedback from drop down only.">
      <formula1>"1,2,3"</formula1>
    </dataValidation>
    <dataValidation type="list" xr:uid="{CBE55C7D-80DD-4EAD-ABCA-16FC0AA0939D}" sqref="O2" showErrorMessage="1" errorTitle="An invalid feedback was entered" error="Please choose feedback from drop down only.">
      <formula1>"1,2,3"</formula1>
    </dataValidation>
    <dataValidation type="list" xr:uid="{EE0F8FEE-F3A7-4BFB-945E-E21E1FF329B9}" sqref="P2" showErrorMessage="1" errorTitle="An invalid feedback was entered" error="Please choose feedback from drop down only.">
      <formula1>"1,2,3"</formula1>
    </dataValidation>
    <dataValidation type="list" xr:uid="{DE77C58C-F69F-42CA-8851-2E1936E4DD23}" sqref="Q2" showErrorMessage="1" errorTitle="An invalid feedback was entered" error="Please choose feedback from drop down only.">
      <formula1>"1,2,3"</formula1>
    </dataValidation>
    <dataValidation type="list" xr:uid="{3AAF5037-E157-47A8-A86F-0B751A640D94}" sqref="C17" showErrorMessage="1" errorTitle="An invalid feedback was entered" error="Please choose feedback from drop down only.">
      <formula1>"1-2,3-4,5-6,7-8,9-10,N/A"</formula1>
    </dataValidation>
    <dataValidation type="list" xr:uid="{57034A8D-956F-4F8F-B3BC-E80C13B0BBB4}" sqref="D17" showErrorMessage="1" errorTitle="An invalid feedback was entered" error="Please choose feedback from drop down only.">
      <formula1>"1-2,3-4,5-6,7-8,9-10,N/A"</formula1>
    </dataValidation>
    <dataValidation type="list" xr:uid="{D3A33FE5-B373-4892-983E-DE72A91F9FDB}" sqref="E17" showErrorMessage="1" errorTitle="An invalid feedback was entered" error="Please choose feedback from drop down only.">
      <formula1>"1-2,3-4,5-6,7-8,9-10,N/A"</formula1>
    </dataValidation>
    <dataValidation type="list" xr:uid="{8638443E-820C-4A9A-BDB2-D99D5CE01794}" sqref="F17" showErrorMessage="1" errorTitle="An invalid feedback was entered" error="Please choose feedback from drop down only.">
      <formula1>"1-2,3-4,5-6,7-8,9-10,N/A"</formula1>
    </dataValidation>
    <dataValidation type="list" xr:uid="{255B00B0-3E7A-4BF0-9058-6223A32ACCFB}" sqref="G17" showErrorMessage="1" errorTitle="An invalid feedback was entered" error="Please choose feedback from drop down only.">
      <formula1>"1-2,3-4,5-6,7-8,9-10,N/A"</formula1>
    </dataValidation>
    <dataValidation type="list" xr:uid="{4B6CB0C8-A91B-4022-B73F-73DDE1175C75}" sqref="H17" showErrorMessage="1" errorTitle="An invalid feedback was entered" error="Please choose feedback from drop down only.">
      <formula1>"1-2,3-4,5-6,7-8,9-10,N/A"</formula1>
    </dataValidation>
    <dataValidation type="list" xr:uid="{AF3839A0-2B24-4465-8E2D-FE7229649EC1}" sqref="I17" showErrorMessage="1" errorTitle="An invalid feedback was entered" error="Please choose feedback from drop down only.">
      <formula1>"1-2,3-4,5-6,7-8,9-10,N/A"</formula1>
    </dataValidation>
    <dataValidation type="list" xr:uid="{E2DC85F9-B484-4C32-8B6C-84E68F1A6DD0}" sqref="J17" showErrorMessage="1" errorTitle="An invalid feedback was entered" error="Please choose feedback from drop down only.">
      <formula1>"1-2,3-4,5-6,7-8,9-10,N/A"</formula1>
    </dataValidation>
    <dataValidation type="list" xr:uid="{FBA981D4-7CF1-4A82-A9BD-11E7B1BDF01C}" sqref="K17" showErrorMessage="1" errorTitle="An invalid feedback was entered" error="Please choose feedback from drop down only.">
      <formula1>"1-2,3-4,5-6,7-8,9-10,N/A"</formula1>
    </dataValidation>
    <dataValidation type="list" xr:uid="{C806D228-E135-473B-932F-4BFB392F0439}" sqref="L17" showErrorMessage="1" errorTitle="An invalid feedback was entered" error="Please choose feedback from drop down only.">
      <formula1>"1-2,3-4,5-6,7-8,9-10,N/A"</formula1>
    </dataValidation>
    <dataValidation type="list" xr:uid="{4B198614-496F-42CF-AB57-0702C717E5BA}" sqref="M17" showErrorMessage="1" errorTitle="An invalid feedback was entered" error="Please choose feedback from drop down only.">
      <formula1>"1-2,3-4,5-6,7-8,9-10,N/A"</formula1>
    </dataValidation>
    <dataValidation type="list" xr:uid="{3EE8DA9D-E721-471E-9304-13DF4C893D8C}" sqref="N17" showErrorMessage="1" errorTitle="An invalid feedback was entered" error="Please choose feedback from drop down only.">
      <formula1>"1-2,3-4,5-6,7-8,9-10,N/A"</formula1>
    </dataValidation>
    <dataValidation type="list" xr:uid="{D4239712-23DE-4173-96E1-830E5353EBC4}" sqref="O17" showErrorMessage="1" errorTitle="An invalid feedback was entered" error="Please choose feedback from drop down only.">
      <formula1>"1-2,3-4,5-6,7-8,9-10,N/A"</formula1>
    </dataValidation>
    <dataValidation type="list" xr:uid="{0EEAE81A-BA11-4E25-BA2C-59F7493AA3C8}" sqref="P17" showErrorMessage="1" errorTitle="An invalid feedback was entered" error="Please choose feedback from drop down only.">
      <formula1>"1-2,3-4,5-6,7-8,9-10,N/A"</formula1>
    </dataValidation>
    <dataValidation type="list" xr:uid="{C1BBAD51-FE2F-48F6-85E8-493C6DD38171}" sqref="Q17" showErrorMessage="1" errorTitle="An invalid feedback was entered" error="Please choose feedback from drop down only.">
      <formula1>"1-2,3-4,5-6,7-8,9-10,N/A"</formula1>
    </dataValidation>
    <dataValidation type="list" xr:uid="{E6D20BEA-0A19-4541-89A5-C4A93E1044B0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621E6A8C-10C0-4D34-BA88-2742A13DF072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9ED9E1A7-DAFF-4B87-A46F-A13A59354E44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62996A50-AFF2-483A-9FF4-E4EE75B91B10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07DDF130-87EC-47F9-B43D-2C1473543C5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305ED1BD-BF5D-4805-8129-4C98BC94438D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F5D0FFAE-A63B-4E31-BABB-090D7EF292AE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DCE8C4F8-D5BE-4C04-AF85-F08752178BEA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9463EE2E-38AC-4069-84A3-712210619E58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6873218D-B3AA-4C5F-AA34-1CCDC4747166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C81903B9-AE73-4A8F-BD9B-D949BC18684C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C66C9506-9C0B-4B83-8498-C04A4075B296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A14A6F07-9678-4972-9625-0281DFE01159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46CD6223-7EBF-42CD-83EA-C9EAE01DCEF5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D2A1893F-364F-40B0-B382-F25A682D5A07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D63DDBDF-E207-4AF1-8F56-96CB0B5BBB74}" sqref="C23" showErrorMessage="1" errorTitle="An invalid feedback was entered" error="Please choose feedback from drop down only.">
      <formula1>"Yetel,Bulsatcom,A1,Yetel&amp;A1,N/A"</formula1>
    </dataValidation>
    <dataValidation type="list" xr:uid="{CF7C7219-9668-43C9-8173-91810EFD8205}" sqref="D23" showErrorMessage="1" errorTitle="An invalid feedback was entered" error="Please choose feedback from drop down only.">
      <formula1>"Yetel,Bulsatcom,A1,Yetel&amp;A1,N/A"</formula1>
    </dataValidation>
    <dataValidation type="list" xr:uid="{4B3F2687-CC21-4203-942B-13EFC440FD0C}" sqref="E23" showErrorMessage="1" errorTitle="An invalid feedback was entered" error="Please choose feedback from drop down only.">
      <formula1>"Yetel,Bulsatcom,A1,Yetel&amp;A1,N/A"</formula1>
    </dataValidation>
    <dataValidation type="list" xr:uid="{7B257202-8A5D-4DB2-B8F3-9F88B981371E}" sqref="F23" showErrorMessage="1" errorTitle="An invalid feedback was entered" error="Please choose feedback from drop down only.">
      <formula1>"Yetel,Bulsatcom,A1,Yetel&amp;A1,N/A"</formula1>
    </dataValidation>
    <dataValidation type="list" xr:uid="{02EDB896-3EE2-4201-9ABB-FABF2809B4AE}" sqref="G23" showErrorMessage="1" errorTitle="An invalid feedback was entered" error="Please choose feedback from drop down only.">
      <formula1>"Yetel,Bulsatcom,A1,Yetel&amp;A1,N/A"</formula1>
    </dataValidation>
    <dataValidation type="list" xr:uid="{A5C07B8B-141E-4815-A561-1BE54199A19C}" sqref="H23" showErrorMessage="1" errorTitle="An invalid feedback was entered" error="Please choose feedback from drop down only.">
      <formula1>"Yetel,Bulsatcom,A1,Yetel&amp;A1,N/A"</formula1>
    </dataValidation>
    <dataValidation type="list" xr:uid="{2D4E8214-82D2-43E2-AD2F-96B1BF264E80}" sqref="I23" showErrorMessage="1" errorTitle="An invalid feedback was entered" error="Please choose feedback from drop down only.">
      <formula1>"Yetel,Bulsatcom,A1,Yetel&amp;A1,N/A"</formula1>
    </dataValidation>
    <dataValidation type="list" xr:uid="{B9A10FB1-28C6-4A21-9071-D5F76CED45ED}" sqref="J23" showErrorMessage="1" errorTitle="An invalid feedback was entered" error="Please choose feedback from drop down only.">
      <formula1>"Yetel,Bulsatcom,A1,Yetel&amp;A1,N/A"</formula1>
    </dataValidation>
    <dataValidation type="list" xr:uid="{A12D78CA-AD14-4DBD-AC91-1D86F9A2F778}" sqref="K23" showErrorMessage="1" errorTitle="An invalid feedback was entered" error="Please choose feedback from drop down only.">
      <formula1>"Yetel,Bulsatcom,A1,Yetel&amp;A1,N/A"</formula1>
    </dataValidation>
    <dataValidation type="list" xr:uid="{8E094DBD-ECE4-4C8D-90D6-6C83BD5E2DB0}" sqref="L23" showErrorMessage="1" errorTitle="An invalid feedback was entered" error="Please choose feedback from drop down only.">
      <formula1>"Yetel,Bulsatcom,A1,Yetel&amp;A1,N/A"</formula1>
    </dataValidation>
    <dataValidation type="list" xr:uid="{4F9C49DB-16E4-4DB9-9418-B9B9A87EDB2B}" sqref="M23" showErrorMessage="1" errorTitle="An invalid feedback was entered" error="Please choose feedback from drop down only.">
      <formula1>"Yetel,Bulsatcom,A1,Yetel&amp;A1,N/A"</formula1>
    </dataValidation>
    <dataValidation type="list" xr:uid="{7C1F23DE-61E8-471E-9706-1ACEBC1C10C9}" sqref="N23" showErrorMessage="1" errorTitle="An invalid feedback was entered" error="Please choose feedback from drop down only.">
      <formula1>"Yetel,Bulsatcom,A1,Yetel&amp;A1,N/A"</formula1>
    </dataValidation>
    <dataValidation type="list" xr:uid="{DE8BF694-CDBD-4976-AA14-0211E62229D2}" sqref="O23" showErrorMessage="1" errorTitle="An invalid feedback was entered" error="Please choose feedback from drop down only.">
      <formula1>"Yetel,Bulsatcom,A1,Yetel&amp;A1,N/A"</formula1>
    </dataValidation>
    <dataValidation type="list" xr:uid="{DFC26447-E240-4F32-B366-BD327C0854F8}" sqref="P23" showErrorMessage="1" errorTitle="An invalid feedback was entered" error="Please choose feedback from drop down only.">
      <formula1>"Yetel,Bulsatcom,A1,Yetel&amp;A1,N/A"</formula1>
    </dataValidation>
    <dataValidation type="list" xr:uid="{58A543C6-02CB-4BF1-833C-3BBC587FCC09}" sqref="Q23" showErrorMessage="1" errorTitle="An invalid feedback was entered" error="Please choose feedback from drop down only.">
      <formula1>"Yetel,Bulsatcom,A1,Yetel&amp;A1,N/A"</formula1>
    </dataValidation>
    <dataValidation type="list" xr:uid="{2A1EE710-2117-400F-BE6B-75DEB6CDF4E4}" sqref="C31" showErrorMessage="1" errorTitle="An invalid feedback was entered" error="Please choose feedback from drop down only.">
      <formula1>"1/2,5/4,7/8,RRU TOP JUMPER,N/A"</formula1>
    </dataValidation>
    <dataValidation type="list" xr:uid="{F55E2EF8-D9C4-442C-A6D4-447B88DD78BA}" sqref="D31" showErrorMessage="1" errorTitle="An invalid feedback was entered" error="Please choose feedback from drop down only.">
      <formula1>"1/2,5/4,7/8,RRU TOP JUMPER,N/A"</formula1>
    </dataValidation>
    <dataValidation type="list" xr:uid="{6B3A4D60-5D3A-4147-B01C-E29F95C85B4A}" sqref="E31" showErrorMessage="1" errorTitle="An invalid feedback was entered" error="Please choose feedback from drop down only.">
      <formula1>"1/2,5/4,7/8,RRU TOP JUMPER,N/A"</formula1>
    </dataValidation>
    <dataValidation type="list" xr:uid="{584C0388-559F-48EF-8345-EF6FEC3B4B7E}" sqref="F31" showErrorMessage="1" errorTitle="An invalid feedback was entered" error="Please choose feedback from drop down only.">
      <formula1>"1/2,5/4,7/8,RRU TOP JUMPER,N/A"</formula1>
    </dataValidation>
    <dataValidation type="list" xr:uid="{F69A9AB6-235C-4F5A-9293-F428C0174115}" sqref="G31" showErrorMessage="1" errorTitle="An invalid feedback was entered" error="Please choose feedback from drop down only.">
      <formula1>"1/2,5/4,7/8,RRU TOP JUMPER,N/A"</formula1>
    </dataValidation>
    <dataValidation type="list" xr:uid="{226D9509-BE13-429E-9018-175E39192B4D}" sqref="H31" showErrorMessage="1" errorTitle="An invalid feedback was entered" error="Please choose feedback from drop down only.">
      <formula1>"1/2,5/4,7/8,RRU TOP JUMPER,N/A"</formula1>
    </dataValidation>
    <dataValidation type="list" xr:uid="{10B14CAA-EE05-44A4-AD22-7A06B30387C2}" sqref="I31" showErrorMessage="1" errorTitle="An invalid feedback was entered" error="Please choose feedback from drop down only.">
      <formula1>"1/2,5/4,7/8,RRU TOP JUMPER,N/A"</formula1>
    </dataValidation>
    <dataValidation type="list" xr:uid="{28CE586B-CD17-48FC-BCC3-63AEC64D0492}" sqref="J31" showErrorMessage="1" errorTitle="An invalid feedback was entered" error="Please choose feedback from drop down only.">
      <formula1>"1/2,5/4,7/8,RRU TOP JUMPER,N/A"</formula1>
    </dataValidation>
    <dataValidation type="list" xr:uid="{B64B3505-9EB4-4FB1-AAA5-05375013B052}" sqref="K31" showErrorMessage="1" errorTitle="An invalid feedback was entered" error="Please choose feedback from drop down only.">
      <formula1>"1/2,5/4,7/8,RRU TOP JUMPER,N/A"</formula1>
    </dataValidation>
    <dataValidation type="list" xr:uid="{001B0D2B-D9D0-47A9-BD10-E3B936B92316}" sqref="L31" showErrorMessage="1" errorTitle="An invalid feedback was entered" error="Please choose feedback from drop down only.">
      <formula1>"1/2,5/4,7/8,RRU TOP JUMPER,N/A"</formula1>
    </dataValidation>
    <dataValidation type="list" xr:uid="{45F603B5-0FB8-4237-8AB5-1CF1D2C01971}" sqref="M31" showErrorMessage="1" errorTitle="An invalid feedback was entered" error="Please choose feedback from drop down only.">
      <formula1>"1/2,5/4,7/8,RRU TOP JUMPER,N/A"</formula1>
    </dataValidation>
    <dataValidation type="list" xr:uid="{9E851493-EA96-4EE5-9164-195D3D49A0C3}" sqref="N31" showErrorMessage="1" errorTitle="An invalid feedback was entered" error="Please choose feedback from drop down only.">
      <formula1>"1/2,5/4,7/8,RRU TOP JUMPER,N/A"</formula1>
    </dataValidation>
    <dataValidation type="list" xr:uid="{B3743FE2-46D1-40EE-8211-97EC1849CD20}" sqref="O31" showErrorMessage="1" errorTitle="An invalid feedback was entered" error="Please choose feedback from drop down only.">
      <formula1>"1/2,5/4,7/8,RRU TOP JUMPER,N/A"</formula1>
    </dataValidation>
    <dataValidation type="list" xr:uid="{9B029F3D-12CC-4326-9E84-D23542FA0E2B}" sqref="P31" showErrorMessage="1" errorTitle="An invalid feedback was entered" error="Please choose feedback from drop down only.">
      <formula1>"1/2,5/4,7/8,RRU TOP JUMPER,N/A"</formula1>
    </dataValidation>
    <dataValidation type="list" xr:uid="{678463A5-7283-4BCE-87B8-A289DBB9794E}" sqref="Q31" showErrorMessage="1" errorTitle="An invalid feedback was entered" error="Please choose feedback from drop down only.">
      <formula1>"1/2,5/4,7/8,RRU TOP JUMPER,N/A"</formula1>
    </dataValidation>
    <dataValidation type="list" xr:uid="{62DD8408-FFC0-4BE9-8B1D-B63FF8E76320}" sqref="C4" showErrorMessage="1" errorTitle="An invalid feedback was entered" error="Please choose feedback from drop down only.">
      <formula1>"1,2,3,4,5,6,N/A"</formula1>
    </dataValidation>
    <dataValidation type="list" xr:uid="{6B9C3E5D-5735-4F4A-9E4D-DAEBCCA87C81}" sqref="D4" showErrorMessage="1" errorTitle="An invalid feedback was entered" error="Please choose feedback from drop down only.">
      <formula1>"1,2,3,4,5,6,N/A"</formula1>
    </dataValidation>
    <dataValidation type="list" xr:uid="{DC4F0068-54F0-4590-B3FF-ABE30090964B}" sqref="E4" showErrorMessage="1" errorTitle="An invalid feedback was entered" error="Please choose feedback from drop down only.">
      <formula1>"1,2,3,4,5,6,N/A"</formula1>
    </dataValidation>
    <dataValidation type="list" xr:uid="{295D3669-BE5B-4E39-8591-339A1B721540}" sqref="F4" showErrorMessage="1" errorTitle="An invalid feedback was entered" error="Please choose feedback from drop down only.">
      <formula1>"1,2,3,4,5,6,N/A"</formula1>
    </dataValidation>
    <dataValidation type="list" xr:uid="{110C801C-31E7-4A59-AD59-A6DC32CE4C44}" sqref="G4" showErrorMessage="1" errorTitle="An invalid feedback was entered" error="Please choose feedback from drop down only.">
      <formula1>"1,2,3,4,5,6,N/A"</formula1>
    </dataValidation>
    <dataValidation type="list" xr:uid="{556760CE-4892-4DD9-A967-5A299BDEBC0E}" sqref="H4" showErrorMessage="1" errorTitle="An invalid feedback was entered" error="Please choose feedback from drop down only.">
      <formula1>"1,2,3,4,5,6,N/A"</formula1>
    </dataValidation>
    <dataValidation type="list" xr:uid="{07CEB2B9-0610-44DB-9346-BD790F564A21}" sqref="I4" showErrorMessage="1" errorTitle="An invalid feedback was entered" error="Please choose feedback from drop down only.">
      <formula1>"1,2,3,4,5,6,N/A"</formula1>
    </dataValidation>
    <dataValidation type="list" xr:uid="{31397F5B-1003-47D5-81AA-526F1495DA86}" sqref="J4" showErrorMessage="1" errorTitle="An invalid feedback was entered" error="Please choose feedback from drop down only.">
      <formula1>"1,2,3,4,5,6,N/A"</formula1>
    </dataValidation>
    <dataValidation type="list" xr:uid="{5BD0FF81-3F2B-47E6-A721-A44B25F59D32}" sqref="K4" showErrorMessage="1" errorTitle="An invalid feedback was entered" error="Please choose feedback from drop down only.">
      <formula1>"1,2,3,4,5,6,N/A"</formula1>
    </dataValidation>
    <dataValidation type="list" xr:uid="{A88AA6D5-812A-4200-AF3D-50AD836D18A5}" sqref="L4" showErrorMessage="1" errorTitle="An invalid feedback was entered" error="Please choose feedback from drop down only.">
      <formula1>"1,2,3,4,5,6,N/A"</formula1>
    </dataValidation>
    <dataValidation type="list" xr:uid="{B07AC828-8962-497B-80DC-725BBAE6C23D}" sqref="M4" showErrorMessage="1" errorTitle="An invalid feedback was entered" error="Please choose feedback from drop down only.">
      <formula1>"1,2,3,4,5,6,N/A"</formula1>
    </dataValidation>
    <dataValidation type="list" xr:uid="{131F2126-5F9D-4F71-9633-645840BA8CDC}" sqref="N4" showErrorMessage="1" errorTitle="An invalid feedback was entered" error="Please choose feedback from drop down only.">
      <formula1>"1,2,3,4,5,6,N/A"</formula1>
    </dataValidation>
    <dataValidation type="list" xr:uid="{B41A6042-00B4-407D-A1DF-62AFDF75FBFC}" sqref="O4" showErrorMessage="1" errorTitle="An invalid feedback was entered" error="Please choose feedback from drop down only.">
      <formula1>"1,2,3,4,5,6,N/A"</formula1>
    </dataValidation>
    <dataValidation type="list" xr:uid="{9CA458E0-45E8-482A-9A90-66949723050A}" sqref="P4" showErrorMessage="1" errorTitle="An invalid feedback was entered" error="Please choose feedback from drop down only.">
      <formula1>"1,2,3,4,5,6,N/A"</formula1>
    </dataValidation>
    <dataValidation type="list" xr:uid="{3B14656A-6775-46DC-8846-79DE5F8C960A}" sqref="Q4" showErrorMessage="1" errorTitle="An invalid feedback was entered" error="Please choose feedback from drop down only.">
      <formula1>"1,2,3,4,5,6,N/A"</formula1>
    </dataValidation>
    <dataValidation type="list" xr:uid="{0818E5B9-562E-4ED2-A2CB-681B370690FF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D9536FE-473B-4339-B982-E51003149F40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28DAC475-E7C4-43A0-969B-5DB511FA0899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D2D843F-98B8-4FF7-9BB0-FE0CB74243B6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6E9DB2-0402-4829-8F09-C60A5034874A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9837A12-2A6C-4618-8334-95917D7ABEDF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FA90A4-AAC6-4D0C-8C3B-43EEB6743508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C1ADEDC-AA39-4DEC-A0F0-F8F21726E3F3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C7ED63-D240-4EB1-A8CA-7C4FD65E2C2C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B634830-C9C3-4702-BB8B-EF36FE5CB6BD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04ED465-20B3-4FCE-B5E3-5A96B84C90A8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2AD60E3-9D5E-4200-8C9E-B97712108098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47073EE-608B-45F8-9320-6FE973537BD8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2317F4-58BA-4E69-A9ED-2DC331787761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62CFE97-D0A1-4356-A4A8-BE38825F563B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24A0D28-E3E3-4982-9566-E9EF76865183}" sqref="C28" showErrorMessage="1" errorTitle="An invalid feedback was entered" error="Please choose feedback from drop down only.">
      <formula1>"Yes,No,FlexRET"</formula1>
    </dataValidation>
    <dataValidation type="list" xr:uid="{40B7B770-0793-476F-A2D8-47E9A03BF087}" sqref="D28" showErrorMessage="1" errorTitle="An invalid feedback was entered" error="Please choose feedback from drop down only.">
      <formula1>"Yes,No,FlexRET"</formula1>
    </dataValidation>
    <dataValidation type="list" xr:uid="{55488CB7-ED29-4666-BA86-55340CF1DFA5}" sqref="E28" showErrorMessage="1" errorTitle="An invalid feedback was entered" error="Please choose feedback from drop down only.">
      <formula1>"Yes,No,FlexRET"</formula1>
    </dataValidation>
    <dataValidation type="list" xr:uid="{85C72915-2A51-4948-8ACF-C30678283F4A}" sqref="F28" showErrorMessage="1" errorTitle="An invalid feedback was entered" error="Please choose feedback from drop down only.">
      <formula1>"Yes,No,FlexRET"</formula1>
    </dataValidation>
    <dataValidation type="list" xr:uid="{8C039958-B814-4772-8D2D-73DF1242F955}" sqref="G28" showErrorMessage="1" errorTitle="An invalid feedback was entered" error="Please choose feedback from drop down only.">
      <formula1>"Yes,No,FlexRET"</formula1>
    </dataValidation>
    <dataValidation type="list" xr:uid="{278FB161-CF00-4A8C-9211-890BF4C7CDFD}" sqref="H28" showErrorMessage="1" errorTitle="An invalid feedback was entered" error="Please choose feedback from drop down only.">
      <formula1>"Yes,No,FlexRET"</formula1>
    </dataValidation>
    <dataValidation type="list" xr:uid="{89852EF2-4F00-4D5D-809C-F50E3077B3EF}" sqref="I28" showErrorMessage="1" errorTitle="An invalid feedback was entered" error="Please choose feedback from drop down only.">
      <formula1>"Yes,No,FlexRET"</formula1>
    </dataValidation>
    <dataValidation type="list" xr:uid="{8AA71143-6710-4D06-962F-5EC3C366DF32}" sqref="J28" showErrorMessage="1" errorTitle="An invalid feedback was entered" error="Please choose feedback from drop down only.">
      <formula1>"Yes,No,FlexRET"</formula1>
    </dataValidation>
    <dataValidation type="list" xr:uid="{128009A8-FD43-4937-BC46-672A95F3B8BA}" sqref="K28" showErrorMessage="1" errorTitle="An invalid feedback was entered" error="Please choose feedback from drop down only.">
      <formula1>"Yes,No,FlexRET"</formula1>
    </dataValidation>
    <dataValidation type="list" xr:uid="{30E8D27C-EC6C-4436-BB22-258CACF5E7D8}" sqref="L28" showErrorMessage="1" errorTitle="An invalid feedback was entered" error="Please choose feedback from drop down only.">
      <formula1>"Yes,No,FlexRET"</formula1>
    </dataValidation>
    <dataValidation type="list" xr:uid="{BF420242-D511-4825-9C33-57F15C9A5CC7}" sqref="M28" showErrorMessage="1" errorTitle="An invalid feedback was entered" error="Please choose feedback from drop down only.">
      <formula1>"Yes,No,FlexRET"</formula1>
    </dataValidation>
    <dataValidation type="list" xr:uid="{FB3FF99F-A9E7-4842-B28B-CE55DBC807EB}" sqref="N28" showErrorMessage="1" errorTitle="An invalid feedback was entered" error="Please choose feedback from drop down only.">
      <formula1>"Yes,No,FlexRET"</formula1>
    </dataValidation>
    <dataValidation type="list" xr:uid="{A71F6F71-DAAA-4F0E-99F0-A15C5B8C93EB}" sqref="O28" showErrorMessage="1" errorTitle="An invalid feedback was entered" error="Please choose feedback from drop down only.">
      <formula1>"Yes,No,FlexRET"</formula1>
    </dataValidation>
    <dataValidation type="list" xr:uid="{C1C3A5CD-BC7C-486A-9B81-1F1D8A260BB5}" sqref="P28" showErrorMessage="1" errorTitle="An invalid feedback was entered" error="Please choose feedback from drop down only.">
      <formula1>"Yes,No,FlexRET"</formula1>
    </dataValidation>
    <dataValidation type="list" xr:uid="{3F7784E0-D089-410E-924E-85E7558C51CD}" sqref="Q28" showErrorMessage="1" errorTitle="An invalid feedback was entered" error="Please choose feedback from drop down only.">
      <formula1>"Yes,No,FlexRET"</formula1>
    </dataValidation>
    <dataValidation type="list" xr:uid="{DE5688B5-F88D-42CC-B40D-0DB5C26BAFFA}" sqref="C29" showErrorMessage="1" errorTitle="An invalid feedback was entered" error="Please choose feedback from drop down only.">
      <formula1>"Yes,No,FlexRET"</formula1>
    </dataValidation>
    <dataValidation type="list" xr:uid="{F91F5136-EE05-4B4E-93A3-94ADFDB11F87}" sqref="D29" showErrorMessage="1" errorTitle="An invalid feedback was entered" error="Please choose feedback from drop down only.">
      <formula1>"Yes,No,FlexRET"</formula1>
    </dataValidation>
    <dataValidation type="list" xr:uid="{A046F030-EDF1-4C98-86B5-E9CE379CD3C4}" sqref="E29" showErrorMessage="1" errorTitle="An invalid feedback was entered" error="Please choose feedback from drop down only.">
      <formula1>"Yes,No,FlexRET"</formula1>
    </dataValidation>
    <dataValidation type="list" xr:uid="{7016AA38-7349-473D-8C0C-FC515B202899}" sqref="F29" showErrorMessage="1" errorTitle="An invalid feedback was entered" error="Please choose feedback from drop down only.">
      <formula1>"Yes,No,FlexRET"</formula1>
    </dataValidation>
    <dataValidation type="list" xr:uid="{40A027F5-FF26-49D0-8EE5-486F221A69D4}" sqref="G29" showErrorMessage="1" errorTitle="An invalid feedback was entered" error="Please choose feedback from drop down only.">
      <formula1>"Yes,No,FlexRET"</formula1>
    </dataValidation>
    <dataValidation type="list" xr:uid="{446938B4-8E83-4097-A9B6-924C6C903958}" sqref="H29" showErrorMessage="1" errorTitle="An invalid feedback was entered" error="Please choose feedback from drop down only.">
      <formula1>"Yes,No,FlexRET"</formula1>
    </dataValidation>
    <dataValidation type="list" xr:uid="{5101200D-2AD3-4F6F-99D3-B7D5FE703455}" sqref="I29" showErrorMessage="1" errorTitle="An invalid feedback was entered" error="Please choose feedback from drop down only.">
      <formula1>"Yes,No,FlexRET"</formula1>
    </dataValidation>
    <dataValidation type="list" xr:uid="{9330B25C-47C3-496B-9B73-EB5FD19B2271}" sqref="J29" showErrorMessage="1" errorTitle="An invalid feedback was entered" error="Please choose feedback from drop down only.">
      <formula1>"Yes,No,FlexRET"</formula1>
    </dataValidation>
    <dataValidation type="list" xr:uid="{0B365525-E9A1-4F88-B0DF-50F06ECCE4E9}" sqref="K29" showErrorMessage="1" errorTitle="An invalid feedback was entered" error="Please choose feedback from drop down only.">
      <formula1>"Yes,No,FlexRET"</formula1>
    </dataValidation>
    <dataValidation type="list" xr:uid="{96E107BA-BA11-4642-8D04-7EE43F270793}" sqref="L29" showErrorMessage="1" errorTitle="An invalid feedback was entered" error="Please choose feedback from drop down only.">
      <formula1>"Yes,No,FlexRET"</formula1>
    </dataValidation>
    <dataValidation type="list" xr:uid="{68E2DF6E-17AE-4183-96C8-4C47C99A1A21}" sqref="M29" showErrorMessage="1" errorTitle="An invalid feedback was entered" error="Please choose feedback from drop down only.">
      <formula1>"Yes,No,FlexRET"</formula1>
    </dataValidation>
    <dataValidation type="list" xr:uid="{D7F276F6-D378-4331-88C6-019CC5C71006}" sqref="N29" showErrorMessage="1" errorTitle="An invalid feedback was entered" error="Please choose feedback from drop down only.">
      <formula1>"Yes,No,FlexRET"</formula1>
    </dataValidation>
    <dataValidation type="list" xr:uid="{000F1ABC-D89B-4286-ADD3-33734AE4B365}" sqref="O29" showErrorMessage="1" errorTitle="An invalid feedback was entered" error="Please choose feedback from drop down only.">
      <formula1>"Yes,No,FlexRET"</formula1>
    </dataValidation>
    <dataValidation type="list" xr:uid="{E2556CF4-55BC-48DC-9572-21C38888ED81}" sqref="P29" showErrorMessage="1" errorTitle="An invalid feedback was entered" error="Please choose feedback from drop down only.">
      <formula1>"Yes,No,FlexRET"</formula1>
    </dataValidation>
    <dataValidation type="list" xr:uid="{53BB74E5-ACAF-4E2F-ADD1-5DD1CA4EB947}" sqref="Q29" showErrorMessage="1" errorTitle="An invalid feedback was entered" error="Please choose feedback from drop down only.">
      <formula1>"Yes,No,FlexRET"</formula1>
    </dataValidation>
    <dataValidation type="list" xr:uid="{F83588F2-35A6-4029-A440-833F7DB433B0}" sqref="C25" showErrorMessage="1" errorTitle="An invalid feedback was entered" error="Please choose feedback from drop down only.">
      <formula1>"G,U,L,NR,GU,UL,GL,GUL,LNR,ULNR,None"</formula1>
    </dataValidation>
    <dataValidation type="list" xr:uid="{E44F5C02-C9EA-4AF0-B77F-8F6FE61EA55D}" sqref="D25" showErrorMessage="1" errorTitle="An invalid feedback was entered" error="Please choose feedback from drop down only.">
      <formula1>"G,U,L,NR,GU,UL,GL,GUL,LNR,ULNR,None"</formula1>
    </dataValidation>
    <dataValidation type="list" xr:uid="{E8D86DE6-CD65-481E-8962-D0C4FD51C766}" sqref="E25" showErrorMessage="1" errorTitle="An invalid feedback was entered" error="Please choose feedback from drop down only.">
      <formula1>"G,U,L,NR,GU,UL,GL,GUL,LNR,ULNR,None"</formula1>
    </dataValidation>
    <dataValidation type="list" xr:uid="{3FF9BFE7-E701-4B86-90F6-7FDCD072D1C5}" sqref="F25" showErrorMessage="1" errorTitle="An invalid feedback was entered" error="Please choose feedback from drop down only.">
      <formula1>"G,U,L,NR,GU,UL,GL,GUL,LNR,ULNR,None"</formula1>
    </dataValidation>
    <dataValidation type="list" xr:uid="{E912130E-D7E7-49E0-8A57-95CD77524C12}" sqref="G25" showErrorMessage="1" errorTitle="An invalid feedback was entered" error="Please choose feedback from drop down only.">
      <formula1>"G,U,L,NR,GU,UL,GL,GUL,LNR,ULNR,None"</formula1>
    </dataValidation>
    <dataValidation type="list" xr:uid="{64445844-B124-47BD-B842-98A2A7D0F493}" sqref="H25" showErrorMessage="1" errorTitle="An invalid feedback was entered" error="Please choose feedback from drop down only.">
      <formula1>"G,U,L,NR,GU,UL,GL,GUL,LNR,ULNR,None"</formula1>
    </dataValidation>
    <dataValidation type="list" xr:uid="{BD3B789A-B89A-4AE3-8EDF-F373AFE72525}" sqref="I25" showErrorMessage="1" errorTitle="An invalid feedback was entered" error="Please choose feedback from drop down only.">
      <formula1>"G,U,L,NR,GU,UL,GL,GUL,LNR,ULNR,None"</formula1>
    </dataValidation>
    <dataValidation type="list" xr:uid="{E4E2F768-774D-4D27-A935-B9EA3B5C354F}" sqref="J25" showErrorMessage="1" errorTitle="An invalid feedback was entered" error="Please choose feedback from drop down only.">
      <formula1>"G,U,L,NR,GU,UL,GL,GUL,LNR,ULNR,None"</formula1>
    </dataValidation>
    <dataValidation type="list" xr:uid="{12056B7B-5706-4C7E-A4A3-A3AE64718112}" sqref="K25" showErrorMessage="1" errorTitle="An invalid feedback was entered" error="Please choose feedback from drop down only.">
      <formula1>"G,U,L,NR,GU,UL,GL,GUL,LNR,ULNR,None"</formula1>
    </dataValidation>
    <dataValidation type="list" xr:uid="{C648AD35-7377-4B7D-8B2D-03FA7286F0E0}" sqref="L25" showErrorMessage="1" errorTitle="An invalid feedback was entered" error="Please choose feedback from drop down only.">
      <formula1>"G,U,L,NR,GU,UL,GL,GUL,LNR,ULNR,None"</formula1>
    </dataValidation>
    <dataValidation type="list" xr:uid="{F02CBDA1-0A41-492D-B7B8-0D2FAC89E751}" sqref="M25" showErrorMessage="1" errorTitle="An invalid feedback was entered" error="Please choose feedback from drop down only.">
      <formula1>"G,U,L,NR,GU,UL,GL,GUL,LNR,ULNR,None"</formula1>
    </dataValidation>
    <dataValidation type="list" xr:uid="{68EF206D-952E-4E0A-8079-53D45A830F58}" sqref="N25" showErrorMessage="1" errorTitle="An invalid feedback was entered" error="Please choose feedback from drop down only.">
      <formula1>"G,U,L,NR,GU,UL,GL,GUL,LNR,ULNR,None"</formula1>
    </dataValidation>
    <dataValidation type="list" xr:uid="{21745B98-48A8-496C-9DE9-F80B54B0D522}" sqref="O25" showErrorMessage="1" errorTitle="An invalid feedback was entered" error="Please choose feedback from drop down only.">
      <formula1>"G,U,L,NR,GU,UL,GL,GUL,LNR,ULNR,None"</formula1>
    </dataValidation>
    <dataValidation type="list" xr:uid="{EAD31955-220B-41BF-BDFA-75979495097E}" sqref="P25" showErrorMessage="1" errorTitle="An invalid feedback was entered" error="Please choose feedback from drop down only.">
      <formula1>"G,U,L,NR,GU,UL,GL,GUL,LNR,ULNR,None"</formula1>
    </dataValidation>
    <dataValidation type="list" xr:uid="{A929D1AE-B2F1-44A3-BB9D-31F61492E2F4}" sqref="Q25" showErrorMessage="1" errorTitle="An invalid feedback was entered" error="Please choose feedback from drop down only.">
      <formula1>"G,U,L,NR,GU,UL,GL,GUL,LNR,ULNR,None"</formula1>
    </dataValidation>
    <dataValidation type="list" xr:uid="{5CBD95E3-4BCD-4D3F-8831-D4D489B9D217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E2774ED1-E89F-43CA-92DF-9C7A8CDE848F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4428C2B-BFF8-43C4-A67C-7EB621C2F10E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CD0FC8E-AD54-4F02-BAA7-C1509A0117E6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DD91F08-B80B-4403-8027-881987887E19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E9C0A0F-3CF4-4EDE-A98E-E0BD12D50B67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704A436-7FF2-4CEC-AD53-EC62171641EB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8FDD514-5813-4445-B455-1C479A209A65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CE9018-EC93-447C-9D74-5CF436E284B3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48EA74E-28D9-4ADC-B292-1D4CFD7D951B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E27BBBD-90AF-41C8-93A1-C38B9454E98B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3D488BB-20C0-4320-8DDA-FC5FF378D209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0AF85A8-F1BF-4601-9619-77FE4A0421C4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18EABAE-3C9B-4CC0-9D6D-1B3F960F0426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1D4994D-C328-4FE2-BF2F-469601B4B00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C08EB683-431D-4180-BAEF-65A547D9512E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0DCA242F-BFC5-4741-8785-B6258EED2E30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72DA5AD2-C6D3-48B1-A2A3-5B55E9E60C7D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9A329D3-1ACC-46D4-86E8-48BCED9925E5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C993492B-9972-4EFC-8AFC-32CE971FB4CF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6C6BFA44-633C-44CF-A33A-040789878B25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52A7D60D-F4DA-4080-B13C-B22093039405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51F35C70-B3F4-4D18-A85F-1A3C44A8E4B7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D1D183EC-255C-4F09-AFAC-5EA84336990F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68C1EE43-DD0B-41C1-80D7-F364DEC7235A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2DE371A6-CAED-43C5-B091-D9570FE351C1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B495A289-A7E3-47FF-B61C-1357423CDA5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90F48638-5577-4A6F-AAA2-733EB0AA1F83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5028CF73-82D2-4ECF-B2C9-887CDC6F3FAF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7E6B3FBD-245D-4E1E-9A87-6CB9C5391E3A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F520AA4E-A953-4CF5-8275-5E452F1C8C68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1ACB9F21-4C50-4D7C-B048-85F65B2C9497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167BFE35-3CDE-4892-87D6-069A4579DB6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F5553600-6DD4-409D-A4C6-DBA353015F56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70E70125-A8DC-44C5-95C0-F080C73554B7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D3A4BF5E-906F-4518-B348-C10734F5B9E3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FC76E8FA-EA2D-4648-AC82-C4C953DD3C6A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1CFC6532-C563-4E6A-9B2E-390066B52449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9336E40D-8319-4282-BCAE-0ED9F794D79B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8FDAA125-64BC-4136-9DBF-8D41450C493B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4AD5329-0086-49A5-A507-EA3C113B481E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D4CACD46-FF7C-49B9-8EDC-F0A0A08ECFA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3B5D32C8-5625-410D-A067-D2B5EF780BE6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C6F65B78-4090-43F4-8A4C-45F89B68391F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3CB4618F-FAAE-4025-8620-22A7C3911AFE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B667A5-E9F6-4399-96BD-289A7060778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FA93CB8F-EC1E-45E4-A43C-6D80C338E49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39D410AB-CA57-4D60-B6BC-6B72F8A7E716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A7D4A140-5424-4664-BD16-ADF4DC1E5FB0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77277BAC-23E9-45F7-8894-4D87C27A9375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77D015C9-068D-4A91-8310-4FA4610E696B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1A289EBF-64E4-4A40-BDD0-B1147326F08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7715438C-642B-42CE-B6A0-FE7108F6DDF9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6C5B72F2-BDEB-436C-A979-C5AD494939E4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4BC52876-482C-4C36-90C8-5F6B6D59A296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DB120AB-2458-4B93-8B1D-125E06FDBE89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5DDE36AE-4C44-4E6A-B246-3127840C1CB8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6D4F8E6-44E4-4347-BA35-1C86B2976092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A4F707-374D-4F0A-973D-AB0463AD2CA1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01B816D-3AE3-4612-8BC8-9E97274C5216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EB9EF983-4A0A-4252-95F4-D2CAA6ACD53D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CA37070B-E1EC-4CBD-9CCF-60E3836C0C29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A20813AE-6B12-4436-BC99-DC0EC5FDC41D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27B86E75-3368-476B-87EE-B6F3BAEA443C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DFA6762-F3EE-415E-824A-FB360C65A2E0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08273BAA-4649-49CF-BF85-B948D1EFB9D6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BAD0E886-33EA-4D1C-A80D-718AE19DD6D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5701C60B-D903-4502-9D01-9BD2D3C919A6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BF272B31-5981-4793-AD13-491AC07D07AF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1C51BE13-9326-4A90-84B5-5364126FE772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9C79A034-7ED2-43AA-AB76-2943CFDE9270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268D2B06-D0C8-4604-B8A5-71534257454A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1F824905-C108-4BFC-8D40-092FD7A6659F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FEC00966-F2FB-4985-AC1C-0BD461F5AD19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BB013807-F64A-428F-8673-FBF79738EEBB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9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117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63"/>
      <c r="D5" s="264"/>
      <c r="E5" s="264"/>
      <c r="F5" s="264"/>
      <c r="G5" s="264"/>
      <c r="H5" s="264"/>
      <c r="I5" s="264"/>
      <c r="J5" s="264"/>
      <c r="K5" s="264"/>
      <c r="L5" s="264"/>
      <c r="M5" s="264"/>
      <c r="N5" s="264"/>
      <c r="O5" s="264"/>
      <c r="P5" s="265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00"/>
      <c r="E16" s="200"/>
      <c r="F16" s="200"/>
      <c r="G16" s="200"/>
      <c r="H16" s="201"/>
      <c r="I16" s="202"/>
      <c r="J16" s="203"/>
      <c r="K16" s="203"/>
      <c r="L16" s="204"/>
      <c r="M16" s="202"/>
      <c r="N16" s="203"/>
      <c r="O16" s="204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7" operator="greaterThan">
      <formula>0</formula>
    </cfRule>
  </conditionalFormatting>
  <conditionalFormatting sqref="C21:E21 H21:O21">
    <cfRule type="expression" dxfId="1" priority="46">
      <formula>ISERROR(C21)</formula>
    </cfRule>
  </conditionalFormatting>
  <conditionalFormatting sqref="C21:E21 H21:O21">
    <cfRule type="cellIs" dxfId="1" priority="45" operator="equal">
      <formula>0</formula>
    </cfRule>
  </conditionalFormatting>
  <conditionalFormatting sqref="C21:E21 H21:O21">
    <cfRule type="cellIs" dxfId="3" priority="44" operator="greaterThan">
      <formula>0</formula>
    </cfRule>
  </conditionalFormatting>
  <conditionalFormatting sqref="C27:O27 D29:O29 D33:O33">
    <cfRule type="cellIs" dxfId="0" priority="43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39">
      <formula>ISBLANK(C8)</formula>
    </cfRule>
  </conditionalFormatting>
  <conditionalFormatting sqref="C29">
    <cfRule type="cellIs" dxfId="0" priority="41" operator="notEqual">
      <formula>VALUE(C28)</formula>
    </cfRule>
  </conditionalFormatting>
  <conditionalFormatting sqref="C29">
    <cfRule type="expression" dxfId="10" priority="40">
      <formula>ISBLANK(C29)</formula>
    </cfRule>
  </conditionalFormatting>
  <conditionalFormatting sqref="C8:O8 C10:O10 C12:O12 C14:O14 C16:O16 C31:O31 D35:O35 D37:O37 D25:O25 D39:O39 D41:O41">
    <cfRule type="cellIs" dxfId="0" priority="42" operator="notEqual">
      <formula>C7</formula>
    </cfRule>
  </conditionalFormatting>
  <conditionalFormatting sqref="C31">
    <cfRule type="expression" dxfId="10" priority="38">
      <formula>ISBLANK(C31)</formula>
    </cfRule>
  </conditionalFormatting>
  <conditionalFormatting sqref="C33">
    <cfRule type="cellIs" dxfId="0" priority="37" operator="notEqual">
      <formula>VALUE(C32)</formula>
    </cfRule>
  </conditionalFormatting>
  <conditionalFormatting sqref="C33">
    <cfRule type="expression" dxfId="10" priority="36">
      <formula>ISBLANK(C33)</formula>
    </cfRule>
  </conditionalFormatting>
  <conditionalFormatting sqref="C35">
    <cfRule type="cellIs" dxfId="0" priority="35" operator="notEqual">
      <formula>C34</formula>
    </cfRule>
  </conditionalFormatting>
  <conditionalFormatting sqref="C35">
    <cfRule type="expression" dxfId="10" priority="34">
      <formula>ISBLANK(C35)</formula>
    </cfRule>
  </conditionalFormatting>
  <conditionalFormatting sqref="C37">
    <cfRule type="cellIs" dxfId="0" priority="33" operator="notEqual">
      <formula>C36</formula>
    </cfRule>
  </conditionalFormatting>
  <conditionalFormatting sqref="C37">
    <cfRule type="expression" dxfId="10" priority="32">
      <formula>ISBLANK(C37)</formula>
    </cfRule>
  </conditionalFormatting>
  <conditionalFormatting sqref="C6">
    <cfRule type="expression" dxfId="10" priority="30">
      <formula>ISBLANK(C6)</formula>
    </cfRule>
    <cfRule type="cellIs" dxfId="0" priority="31" operator="notEqual">
      <formula>C5</formula>
    </cfRule>
  </conditionalFormatting>
  <conditionalFormatting sqref="C25">
    <cfRule type="cellIs" dxfId="0" priority="29" operator="notEqual">
      <formula>C24</formula>
    </cfRule>
  </conditionalFormatting>
  <conditionalFormatting sqref="C25">
    <cfRule type="expression" dxfId="10" priority="28">
      <formula>ISBLANK(C25)</formula>
    </cfRule>
  </conditionalFormatting>
  <conditionalFormatting sqref="C39">
    <cfRule type="cellIs" dxfId="0" priority="27" operator="notEqual">
      <formula>C38</formula>
    </cfRule>
  </conditionalFormatting>
  <conditionalFormatting sqref="C39">
    <cfRule type="expression" dxfId="10" priority="26">
      <formula>ISBLANK(C39)</formula>
    </cfRule>
  </conditionalFormatting>
  <conditionalFormatting sqref="C41">
    <cfRule type="cellIs" dxfId="0" priority="25" operator="notEqual">
      <formula>C40</formula>
    </cfRule>
  </conditionalFormatting>
  <conditionalFormatting sqref="C41">
    <cfRule type="expression" dxfId="10" priority="24">
      <formula>ISBLANK(C41)</formula>
    </cfRule>
  </conditionalFormatting>
  <conditionalFormatting sqref="C24:O41">
    <cfRule type="expression" dxfId="1" priority="23" stopIfTrue="1">
      <formula>OR(C$22="Free",C$22="Telenor",C$22="Mtel",C$22="Telenor&amp;Mtel")</formula>
    </cfRule>
  </conditionalFormatting>
  <conditionalFormatting sqref="F22:G22">
    <cfRule type="cellIs" dxfId="0" priority="22" operator="greaterThan">
      <formula>0</formula>
    </cfRule>
  </conditionalFormatting>
  <conditionalFormatting sqref="F21:G21">
    <cfRule type="expression" dxfId="1" priority="21">
      <formula>ISERROR(F21)</formula>
    </cfRule>
  </conditionalFormatting>
  <conditionalFormatting sqref="F21:G21">
    <cfRule type="cellIs" dxfId="1" priority="20" operator="equal">
      <formula>0</formula>
    </cfRule>
  </conditionalFormatting>
  <conditionalFormatting sqref="F21:G21">
    <cfRule type="cellIs" dxfId="3" priority="19" operator="greaterThan">
      <formula>0</formula>
    </cfRule>
  </conditionalFormatting>
  <conditionalFormatting sqref="P22">
    <cfRule type="cellIs" dxfId="0" priority="18" operator="greaterThan">
      <formula>0</formula>
    </cfRule>
  </conditionalFormatting>
  <conditionalFormatting sqref="P27 P29 P33">
    <cfRule type="cellIs" dxfId="0" priority="14" operator="notEqual">
      <formula>VALUE(P26)</formula>
    </cfRule>
  </conditionalFormatting>
  <conditionalFormatting sqref="P8 P10 P12 P14 P16 P27 P29 P31 P33 P35 P37 P25 P39 P41">
    <cfRule type="expression" dxfId="10" priority="12">
      <formula>ISBLANK(P8)</formula>
    </cfRule>
  </conditionalFormatting>
  <conditionalFormatting sqref="P8 P10 P12 P14 P16 P31 P35 P37 P25 P39 P41">
    <cfRule type="cellIs" dxfId="0" priority="13" operator="notEqual">
      <formula>P7</formula>
    </cfRule>
  </conditionalFormatting>
  <conditionalFormatting sqref="P24:P41">
    <cfRule type="expression" dxfId="1" priority="11" stopIfTrue="1">
      <formula>OR(P$22="Free",P$22="Telenor",P$22="Mtel",P$22="Telenor&amp;Mtel")</formula>
    </cfRule>
  </conditionalFormatting>
  <conditionalFormatting sqref="C19">
    <cfRule type="expression" dxfId="1" priority="7">
      <formula>ISERROR(C19)</formula>
    </cfRule>
    <cfRule type="cellIs" dxfId="1" priority="8" operator="equal">
      <formula>0</formula>
    </cfRule>
  </conditionalFormatting>
  <conditionalFormatting sqref="D19:P19">
    <cfRule type="expression" dxfId="1" priority="5">
      <formula>ISERROR(D19)</formula>
    </cfRule>
    <cfRule type="cellIs" dxfId="1" priority="6" operator="equal">
      <formula>0</formula>
    </cfRule>
  </conditionalFormatting>
  <conditionalFormatting sqref="P21">
    <cfRule type="expression" dxfId="1" priority="4">
      <formula>ISERROR(P21)</formula>
    </cfRule>
  </conditionalFormatting>
  <conditionalFormatting sqref="P21">
    <cfRule type="cellIs" dxfId="1" priority="3" operator="equal">
      <formula>0</formula>
    </cfRule>
  </conditionalFormatting>
  <conditionalFormatting sqref="P21">
    <cfRule type="cellIs" dxfId="3" priority="2" operator="greaterThan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5E0ECD19-1597-401B-8F92-4EFF5B7940CC}" sqref="C2" showErrorMessage="1" errorTitle="An invalid feedback was entered" error="Please choose feedback from drop down only.">
      <formula1>"1,2,3"</formula1>
    </dataValidation>
    <dataValidation type="list" xr:uid="{1A65D7E4-0139-4D1E-9EFD-6CFD6F5A081B}" sqref="D2" showErrorMessage="1" errorTitle="An invalid feedback was entered" error="Please choose feedback from drop down only.">
      <formula1>"1,2,3"</formula1>
    </dataValidation>
    <dataValidation type="list" xr:uid="{30B220B7-EE16-4B26-ABDF-F68450712FA2}" sqref="E2" showErrorMessage="1" errorTitle="An invalid feedback was entered" error="Please choose feedback from drop down only.">
      <formula1>"1,2,3"</formula1>
    </dataValidation>
    <dataValidation type="list" xr:uid="{910CFDF1-D3BF-4FF0-923B-9C4A76532829}" sqref="F2" showErrorMessage="1" errorTitle="An invalid feedback was entered" error="Please choose feedback from drop down only.">
      <formula1>"1,2,3"</formula1>
    </dataValidation>
    <dataValidation type="list" xr:uid="{856F9FEF-1563-43D9-AEF3-75FFFAD0888E}" sqref="G2" showErrorMessage="1" errorTitle="An invalid feedback was entered" error="Please choose feedback from drop down only.">
      <formula1>"1,2,3"</formula1>
    </dataValidation>
    <dataValidation type="list" xr:uid="{0D74B69B-0741-428B-9945-0D0CB75CDE58}" sqref="H2" showErrorMessage="1" errorTitle="An invalid feedback was entered" error="Please choose feedback from drop down only.">
      <formula1>"1,2,3"</formula1>
    </dataValidation>
    <dataValidation type="list" xr:uid="{F7FB5F1F-3883-4035-B9DF-496C460F6822}" sqref="I2" showErrorMessage="1" errorTitle="An invalid feedback was entered" error="Please choose feedback from drop down only.">
      <formula1>"1,2,3"</formula1>
    </dataValidation>
    <dataValidation type="list" xr:uid="{F47B40F8-748A-4F73-B807-4AA4E8F51839}" sqref="J2" showErrorMessage="1" errorTitle="An invalid feedback was entered" error="Please choose feedback from drop down only.">
      <formula1>"1,2,3"</formula1>
    </dataValidation>
    <dataValidation type="list" xr:uid="{EBB3EC54-0D15-4FC2-953B-C68F96538065}" sqref="K2" showErrorMessage="1" errorTitle="An invalid feedback was entered" error="Please choose feedback from drop down only.">
      <formula1>"1,2,3"</formula1>
    </dataValidation>
    <dataValidation type="list" xr:uid="{2620839A-0D42-4AE3-BA7A-D7E8AB7B6A8D}" sqref="L2" showErrorMessage="1" errorTitle="An invalid feedback was entered" error="Please choose feedback from drop down only.">
      <formula1>"1,2,3"</formula1>
    </dataValidation>
    <dataValidation type="list" xr:uid="{FFF5D830-6E68-4F9C-808B-4FF7F42BADB5}" sqref="M2" showErrorMessage="1" errorTitle="An invalid feedback was entered" error="Please choose feedback from drop down only.">
      <formula1>"1,2,3"</formula1>
    </dataValidation>
    <dataValidation type="list" xr:uid="{C3B6D575-EF17-4E6E-8A29-2F9B4633F8FF}" sqref="N2" showErrorMessage="1" errorTitle="An invalid feedback was entered" error="Please choose feedback from drop down only.">
      <formula1>"1,2,3"</formula1>
    </dataValidation>
    <dataValidation type="list" xr:uid="{B209D637-46C4-49CE-BC15-7E6B5B2F9453}" sqref="O2" showErrorMessage="1" errorTitle="An invalid feedback was entered" error="Please choose feedback from drop down only.">
      <formula1>"1,2,3"</formula1>
    </dataValidation>
    <dataValidation type="list" xr:uid="{BFC94118-A796-40C5-A93D-121312A97672}" sqref="P2" showErrorMessage="1" errorTitle="An invalid feedback was entered" error="Please choose feedback from drop down only.">
      <formula1>"1,2,3"</formula1>
    </dataValidation>
    <dataValidation type="list" xr:uid="{BE318BDA-AEAD-427F-8D88-4CD253804449}" sqref="Q2" showErrorMessage="1" errorTitle="An invalid feedback was entered" error="Please choose feedback from drop down only.">
      <formula1>"1,2,3"</formula1>
    </dataValidation>
    <dataValidation type="list" xr:uid="{1DDECC2B-BCCA-4556-BF2C-06818676DC09}" sqref="C17" showErrorMessage="1" errorTitle="An invalid feedback was entered" error="Please choose feedback from drop down only.">
      <formula1>"1-2,3-4,5-6,7-8,9-10,N/A"</formula1>
    </dataValidation>
    <dataValidation type="list" xr:uid="{0B04E4D2-96D0-4232-8312-A206CCEFF36E}" sqref="D17" showErrorMessage="1" errorTitle="An invalid feedback was entered" error="Please choose feedback from drop down only.">
      <formula1>"1-2,3-4,5-6,7-8,9-10,N/A"</formula1>
    </dataValidation>
    <dataValidation type="list" xr:uid="{47A22A63-9DB2-4CE0-8337-8D60F41DEE96}" sqref="E17" showErrorMessage="1" errorTitle="An invalid feedback was entered" error="Please choose feedback from drop down only.">
      <formula1>"1-2,3-4,5-6,7-8,9-10,N/A"</formula1>
    </dataValidation>
    <dataValidation type="list" xr:uid="{2AF056EA-D0F4-46B5-8E70-722B490061A9}" sqref="F17" showErrorMessage="1" errorTitle="An invalid feedback was entered" error="Please choose feedback from drop down only.">
      <formula1>"1-2,3-4,5-6,7-8,9-10,N/A"</formula1>
    </dataValidation>
    <dataValidation type="list" xr:uid="{E8913667-021A-4978-B5ED-8D0148355314}" sqref="G17" showErrorMessage="1" errorTitle="An invalid feedback was entered" error="Please choose feedback from drop down only.">
      <formula1>"1-2,3-4,5-6,7-8,9-10,N/A"</formula1>
    </dataValidation>
    <dataValidation type="list" xr:uid="{54C460BA-4068-4DEA-AC7A-C366FA6A49FD}" sqref="H17" showErrorMessage="1" errorTitle="An invalid feedback was entered" error="Please choose feedback from drop down only.">
      <formula1>"1-2,3-4,5-6,7-8,9-10,N/A"</formula1>
    </dataValidation>
    <dataValidation type="list" xr:uid="{0755072C-9F92-428B-9D19-2F8B37494909}" sqref="I17" showErrorMessage="1" errorTitle="An invalid feedback was entered" error="Please choose feedback from drop down only.">
      <formula1>"1-2,3-4,5-6,7-8,9-10,N/A"</formula1>
    </dataValidation>
    <dataValidation type="list" xr:uid="{FCECD991-198D-4F1D-A2F7-A18225BB67EE}" sqref="J17" showErrorMessage="1" errorTitle="An invalid feedback was entered" error="Please choose feedback from drop down only.">
      <formula1>"1-2,3-4,5-6,7-8,9-10,N/A"</formula1>
    </dataValidation>
    <dataValidation type="list" xr:uid="{FEA9BF26-CD37-4CA1-86BC-436492FE36CA}" sqref="K17" showErrorMessage="1" errorTitle="An invalid feedback was entered" error="Please choose feedback from drop down only.">
      <formula1>"1-2,3-4,5-6,7-8,9-10,N/A"</formula1>
    </dataValidation>
    <dataValidation type="list" xr:uid="{E67A4541-DAAC-4C1B-8978-C887B7C47452}" sqref="L17" showErrorMessage="1" errorTitle="An invalid feedback was entered" error="Please choose feedback from drop down only.">
      <formula1>"1-2,3-4,5-6,7-8,9-10,N/A"</formula1>
    </dataValidation>
    <dataValidation type="list" xr:uid="{2CD13658-35F9-4A2E-99AE-0255161847C3}" sqref="M17" showErrorMessage="1" errorTitle="An invalid feedback was entered" error="Please choose feedback from drop down only.">
      <formula1>"1-2,3-4,5-6,7-8,9-10,N/A"</formula1>
    </dataValidation>
    <dataValidation type="list" xr:uid="{CBB9FEC1-7789-415F-8173-51421A24AF0F}" sqref="N17" showErrorMessage="1" errorTitle="An invalid feedback was entered" error="Please choose feedback from drop down only.">
      <formula1>"1-2,3-4,5-6,7-8,9-10,N/A"</formula1>
    </dataValidation>
    <dataValidation type="list" xr:uid="{C3EFB0C3-08D7-4146-BB62-C2DBF311BC95}" sqref="O17" showErrorMessage="1" errorTitle="An invalid feedback was entered" error="Please choose feedback from drop down only.">
      <formula1>"1-2,3-4,5-6,7-8,9-10,N/A"</formula1>
    </dataValidation>
    <dataValidation type="list" xr:uid="{1FD685CE-EAD5-4971-84B4-D215013875AB}" sqref="P17" showErrorMessage="1" errorTitle="An invalid feedback was entered" error="Please choose feedback from drop down only.">
      <formula1>"1-2,3-4,5-6,7-8,9-10,N/A"</formula1>
    </dataValidation>
    <dataValidation type="list" xr:uid="{963A318E-0347-417E-8AD8-EDE44FA18FE2}" sqref="Q17" showErrorMessage="1" errorTitle="An invalid feedback was entered" error="Please choose feedback from drop down only.">
      <formula1>"1-2,3-4,5-6,7-8,9-10,N/A"</formula1>
    </dataValidation>
    <dataValidation type="list" xr:uid="{EFB816F7-3484-464C-884C-9A3993F41CCF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3CE80769-36F0-47BD-BDDE-FAD355ABFA83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C3883B8B-7F9D-41FC-9250-E02DB067BF2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24008975-5871-49AB-90B7-0D236FB8DB1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AF2911E9-BA27-4972-AB75-3451E5B201F5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DA1E9E56-4C24-44E3-819E-B1E96F5BE9A2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85FF1920-D3CD-4B6D-BFCA-9870953F3050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A538F931-014A-4014-A6BB-E0486B5AA8BC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7ED8E83E-64B8-4AE0-A628-B8AAB3831064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D20DECC5-E21A-4BF7-9B6F-8C17B9FF99D2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73B7357A-CC4F-4F65-8606-838584CE2B6B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3A99F5F2-16CB-420A-9321-E2592BD339E4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86356571-E217-4E18-B41C-E468B8EDFE1D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14C07ED1-95F3-4851-BCC7-252C94D290EF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755C0275-2033-4ED8-A3C7-D18C396BA386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85655F0E-945C-429D-90F1-F65309A00ADE}" sqref="C23" showErrorMessage="1" errorTitle="An invalid feedback was entered" error="Please choose feedback from drop down only.">
      <formula1>"Yetel,Bulsatcom,A1,Yetel&amp;A1,N/A"</formula1>
    </dataValidation>
    <dataValidation type="list" xr:uid="{D195ED0C-87F3-401C-8594-23E66D93C844}" sqref="D23" showErrorMessage="1" errorTitle="An invalid feedback was entered" error="Please choose feedback from drop down only.">
      <formula1>"Yetel,Bulsatcom,A1,Yetel&amp;A1,N/A"</formula1>
    </dataValidation>
    <dataValidation type="list" xr:uid="{825582C3-0ADF-48F5-BAC4-FF1976B773B7}" sqref="E23" showErrorMessage="1" errorTitle="An invalid feedback was entered" error="Please choose feedback from drop down only.">
      <formula1>"Yetel,Bulsatcom,A1,Yetel&amp;A1,N/A"</formula1>
    </dataValidation>
    <dataValidation type="list" xr:uid="{486F7601-7B1C-4E0F-9AE1-00D636DF9B9B}" sqref="F23" showErrorMessage="1" errorTitle="An invalid feedback was entered" error="Please choose feedback from drop down only.">
      <formula1>"Yetel,Bulsatcom,A1,Yetel&amp;A1,N/A"</formula1>
    </dataValidation>
    <dataValidation type="list" xr:uid="{9DFFC5D9-E713-4A10-9D04-1E68FC76F8D0}" sqref="G23" showErrorMessage="1" errorTitle="An invalid feedback was entered" error="Please choose feedback from drop down only.">
      <formula1>"Yetel,Bulsatcom,A1,Yetel&amp;A1,N/A"</formula1>
    </dataValidation>
    <dataValidation type="list" xr:uid="{0E30E54E-40BD-4C98-B63E-5FE2E61CC4FC}" sqref="H23" showErrorMessage="1" errorTitle="An invalid feedback was entered" error="Please choose feedback from drop down only.">
      <formula1>"Yetel,Bulsatcom,A1,Yetel&amp;A1,N/A"</formula1>
    </dataValidation>
    <dataValidation type="list" xr:uid="{F6F9C66C-4A42-4692-99A8-7A750EB7E61D}" sqref="I23" showErrorMessage="1" errorTitle="An invalid feedback was entered" error="Please choose feedback from drop down only.">
      <formula1>"Yetel,Bulsatcom,A1,Yetel&amp;A1,N/A"</formula1>
    </dataValidation>
    <dataValidation type="list" xr:uid="{657B002E-4FBA-4141-B764-4F9BCB552F72}" sqref="J23" showErrorMessage="1" errorTitle="An invalid feedback was entered" error="Please choose feedback from drop down only.">
      <formula1>"Yetel,Bulsatcom,A1,Yetel&amp;A1,N/A"</formula1>
    </dataValidation>
    <dataValidation type="list" xr:uid="{AC200CCF-FADB-4319-BCDD-2DC09BEC5630}" sqref="K23" showErrorMessage="1" errorTitle="An invalid feedback was entered" error="Please choose feedback from drop down only.">
      <formula1>"Yetel,Bulsatcom,A1,Yetel&amp;A1,N/A"</formula1>
    </dataValidation>
    <dataValidation type="list" xr:uid="{1B399430-2916-4A3B-B858-FFA9025184F4}" sqref="L23" showErrorMessage="1" errorTitle="An invalid feedback was entered" error="Please choose feedback from drop down only.">
      <formula1>"Yetel,Bulsatcom,A1,Yetel&amp;A1,N/A"</formula1>
    </dataValidation>
    <dataValidation type="list" xr:uid="{99A25A0C-A890-44D9-B97C-848B51FB3DDD}" sqref="M23" showErrorMessage="1" errorTitle="An invalid feedback was entered" error="Please choose feedback from drop down only.">
      <formula1>"Yetel,Bulsatcom,A1,Yetel&amp;A1,N/A"</formula1>
    </dataValidation>
    <dataValidation type="list" xr:uid="{8536198D-5CAB-400F-8600-C06BA6FC93E2}" sqref="N23" showErrorMessage="1" errorTitle="An invalid feedback was entered" error="Please choose feedback from drop down only.">
      <formula1>"Yetel,Bulsatcom,A1,Yetel&amp;A1,N/A"</formula1>
    </dataValidation>
    <dataValidation type="list" xr:uid="{9E48759F-1888-4A48-8C6E-919FEA69AA60}" sqref="O23" showErrorMessage="1" errorTitle="An invalid feedback was entered" error="Please choose feedback from drop down only.">
      <formula1>"Yetel,Bulsatcom,A1,Yetel&amp;A1,N/A"</formula1>
    </dataValidation>
    <dataValidation type="list" xr:uid="{D0CA866D-0FC4-4501-9F3E-3438592F9A79}" sqref="P23" showErrorMessage="1" errorTitle="An invalid feedback was entered" error="Please choose feedback from drop down only.">
      <formula1>"Yetel,Bulsatcom,A1,Yetel&amp;A1,N/A"</formula1>
    </dataValidation>
    <dataValidation type="list" xr:uid="{0330A557-941D-44C5-AA66-83D74EDE9471}" sqref="Q23" showErrorMessage="1" errorTitle="An invalid feedback was entered" error="Please choose feedback from drop down only.">
      <formula1>"Yetel,Bulsatcom,A1,Yetel&amp;A1,N/A"</formula1>
    </dataValidation>
    <dataValidation type="list" xr:uid="{9E9CFC68-9070-4522-875F-4F5B68C8B574}" sqref="C31" showErrorMessage="1" errorTitle="An invalid feedback was entered" error="Please choose feedback from drop down only.">
      <formula1>"1/2,5/4,7/8,RRU TOP JUMPER,N/A"</formula1>
    </dataValidation>
    <dataValidation type="list" xr:uid="{BD9E109C-5BC9-497A-8255-FF482F199D61}" sqref="D31" showErrorMessage="1" errorTitle="An invalid feedback was entered" error="Please choose feedback from drop down only.">
      <formula1>"1/2,5/4,7/8,RRU TOP JUMPER,N/A"</formula1>
    </dataValidation>
    <dataValidation type="list" xr:uid="{DCB0137F-32AC-4017-9C2F-C72071D6FFE5}" sqref="E31" showErrorMessage="1" errorTitle="An invalid feedback was entered" error="Please choose feedback from drop down only.">
      <formula1>"1/2,5/4,7/8,RRU TOP JUMPER,N/A"</formula1>
    </dataValidation>
    <dataValidation type="list" xr:uid="{AE8F5E5C-A4FE-42E1-8530-80ABB164B3E7}" sqref="F31" showErrorMessage="1" errorTitle="An invalid feedback was entered" error="Please choose feedback from drop down only.">
      <formula1>"1/2,5/4,7/8,RRU TOP JUMPER,N/A"</formula1>
    </dataValidation>
    <dataValidation type="list" xr:uid="{F130A2E7-5E0F-48F6-8BC0-6D6BF0875B7C}" sqref="G31" showErrorMessage="1" errorTitle="An invalid feedback was entered" error="Please choose feedback from drop down only.">
      <formula1>"1/2,5/4,7/8,RRU TOP JUMPER,N/A"</formula1>
    </dataValidation>
    <dataValidation type="list" xr:uid="{90B94A9C-83EE-4628-A9F2-857908490A32}" sqref="H31" showErrorMessage="1" errorTitle="An invalid feedback was entered" error="Please choose feedback from drop down only.">
      <formula1>"1/2,5/4,7/8,RRU TOP JUMPER,N/A"</formula1>
    </dataValidation>
    <dataValidation type="list" xr:uid="{AD35CD4E-B69E-4787-B15C-EE887847DD45}" sqref="I31" showErrorMessage="1" errorTitle="An invalid feedback was entered" error="Please choose feedback from drop down only.">
      <formula1>"1/2,5/4,7/8,RRU TOP JUMPER,N/A"</formula1>
    </dataValidation>
    <dataValidation type="list" xr:uid="{583EB937-DBE8-423E-AAF8-AE0CC324E07E}" sqref="J31" showErrorMessage="1" errorTitle="An invalid feedback was entered" error="Please choose feedback from drop down only.">
      <formula1>"1/2,5/4,7/8,RRU TOP JUMPER,N/A"</formula1>
    </dataValidation>
    <dataValidation type="list" xr:uid="{06B974D1-C37B-4B51-A3A3-279B19B0FC8A}" sqref="K31" showErrorMessage="1" errorTitle="An invalid feedback was entered" error="Please choose feedback from drop down only.">
      <formula1>"1/2,5/4,7/8,RRU TOP JUMPER,N/A"</formula1>
    </dataValidation>
    <dataValidation type="list" xr:uid="{9C1E3845-8A74-4EB5-BDA6-EC79CE8F24A8}" sqref="L31" showErrorMessage="1" errorTitle="An invalid feedback was entered" error="Please choose feedback from drop down only.">
      <formula1>"1/2,5/4,7/8,RRU TOP JUMPER,N/A"</formula1>
    </dataValidation>
    <dataValidation type="list" xr:uid="{3A3B768A-C5A5-45D4-9957-B97A4F6D26BA}" sqref="M31" showErrorMessage="1" errorTitle="An invalid feedback was entered" error="Please choose feedback from drop down only.">
      <formula1>"1/2,5/4,7/8,RRU TOP JUMPER,N/A"</formula1>
    </dataValidation>
    <dataValidation type="list" xr:uid="{9B849F6F-E64E-4550-9E49-32638E92DC50}" sqref="N31" showErrorMessage="1" errorTitle="An invalid feedback was entered" error="Please choose feedback from drop down only.">
      <formula1>"1/2,5/4,7/8,RRU TOP JUMPER,N/A"</formula1>
    </dataValidation>
    <dataValidation type="list" xr:uid="{9F765547-DE85-4F90-BBA9-2FE233CECEE8}" sqref="O31" showErrorMessage="1" errorTitle="An invalid feedback was entered" error="Please choose feedback from drop down only.">
      <formula1>"1/2,5/4,7/8,RRU TOP JUMPER,N/A"</formula1>
    </dataValidation>
    <dataValidation type="list" xr:uid="{7876FACE-3029-41CA-B3ED-C8E08A80E7BA}" sqref="P31" showErrorMessage="1" errorTitle="An invalid feedback was entered" error="Please choose feedback from drop down only.">
      <formula1>"1/2,5/4,7/8,RRU TOP JUMPER,N/A"</formula1>
    </dataValidation>
    <dataValidation type="list" xr:uid="{25E9D835-3D6D-4E24-AC6A-3DD97E3B68AF}" sqref="Q31" showErrorMessage="1" errorTitle="An invalid feedback was entered" error="Please choose feedback from drop down only.">
      <formula1>"1/2,5/4,7/8,RRU TOP JUMPER,N/A"</formula1>
    </dataValidation>
    <dataValidation type="list" xr:uid="{8781AF21-4406-4901-9D1A-473E2D8E1981}" sqref="C4" showErrorMessage="1" errorTitle="An invalid feedback was entered" error="Please choose feedback from drop down only.">
      <formula1>"1,2,3,4,5,6,N/A"</formula1>
    </dataValidation>
    <dataValidation type="list" xr:uid="{72301AE5-66D2-421D-B1C0-77C8FF9D2435}" sqref="D4" showErrorMessage="1" errorTitle="An invalid feedback was entered" error="Please choose feedback from drop down only.">
      <formula1>"1,2,3,4,5,6,N/A"</formula1>
    </dataValidation>
    <dataValidation type="list" xr:uid="{DDE158F1-6240-412C-BF55-9B0EA0B40722}" sqref="E4" showErrorMessage="1" errorTitle="An invalid feedback was entered" error="Please choose feedback from drop down only.">
      <formula1>"1,2,3,4,5,6,N/A"</formula1>
    </dataValidation>
    <dataValidation type="list" xr:uid="{9012FDDD-89AC-4E40-9EB7-25C11F4A885B}" sqref="F4" showErrorMessage="1" errorTitle="An invalid feedback was entered" error="Please choose feedback from drop down only.">
      <formula1>"1,2,3,4,5,6,N/A"</formula1>
    </dataValidation>
    <dataValidation type="list" xr:uid="{647A109A-A897-4800-9F43-CFA15F3AF019}" sqref="G4" showErrorMessage="1" errorTitle="An invalid feedback was entered" error="Please choose feedback from drop down only.">
      <formula1>"1,2,3,4,5,6,N/A"</formula1>
    </dataValidation>
    <dataValidation type="list" xr:uid="{9F6A312E-F3B3-4BE9-85D7-D77317A3310C}" sqref="H4" showErrorMessage="1" errorTitle="An invalid feedback was entered" error="Please choose feedback from drop down only.">
      <formula1>"1,2,3,4,5,6,N/A"</formula1>
    </dataValidation>
    <dataValidation type="list" xr:uid="{8286EC82-DC70-4F57-8267-9326AD3C875C}" sqref="I4" showErrorMessage="1" errorTitle="An invalid feedback was entered" error="Please choose feedback from drop down only.">
      <formula1>"1,2,3,4,5,6,N/A"</formula1>
    </dataValidation>
    <dataValidation type="list" xr:uid="{2EDBA65C-0146-40B3-87B0-0782CF6A418E}" sqref="J4" showErrorMessage="1" errorTitle="An invalid feedback was entered" error="Please choose feedback from drop down only.">
      <formula1>"1,2,3,4,5,6,N/A"</formula1>
    </dataValidation>
    <dataValidation type="list" xr:uid="{147594A9-2F44-494E-9CC8-27D9A00FC3AC}" sqref="K4" showErrorMessage="1" errorTitle="An invalid feedback was entered" error="Please choose feedback from drop down only.">
      <formula1>"1,2,3,4,5,6,N/A"</formula1>
    </dataValidation>
    <dataValidation type="list" xr:uid="{889FAA39-EC8B-4391-89B7-486464371F41}" sqref="L4" showErrorMessage="1" errorTitle="An invalid feedback was entered" error="Please choose feedback from drop down only.">
      <formula1>"1,2,3,4,5,6,N/A"</formula1>
    </dataValidation>
    <dataValidation type="list" xr:uid="{E96E04B3-88C1-4E0B-AF05-F1799775414E}" sqref="M4" showErrorMessage="1" errorTitle="An invalid feedback was entered" error="Please choose feedback from drop down only.">
      <formula1>"1,2,3,4,5,6,N/A"</formula1>
    </dataValidation>
    <dataValidation type="list" xr:uid="{2562BF2B-E635-4735-8550-E5F1507AB75E}" sqref="N4" showErrorMessage="1" errorTitle="An invalid feedback was entered" error="Please choose feedback from drop down only.">
      <formula1>"1,2,3,4,5,6,N/A"</formula1>
    </dataValidation>
    <dataValidation type="list" xr:uid="{40F0DDD8-B031-4CC0-8E94-6C20CEBC68DD}" sqref="O4" showErrorMessage="1" errorTitle="An invalid feedback was entered" error="Please choose feedback from drop down only.">
      <formula1>"1,2,3,4,5,6,N/A"</formula1>
    </dataValidation>
    <dataValidation type="list" xr:uid="{AD39CC8E-D498-4133-850F-EAAECEAAB772}" sqref="P4" showErrorMessage="1" errorTitle="An invalid feedback was entered" error="Please choose feedback from drop down only.">
      <formula1>"1,2,3,4,5,6,N/A"</formula1>
    </dataValidation>
    <dataValidation type="list" xr:uid="{467CFE60-ED69-4AB7-92AA-9523711F74DF}" sqref="Q4" showErrorMessage="1" errorTitle="An invalid feedback was entered" error="Please choose feedback from drop down only.">
      <formula1>"1,2,3,4,5,6,N/A"</formula1>
    </dataValidation>
    <dataValidation type="list" xr:uid="{89588DFE-10CD-40E8-B44B-72F5430A9341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8EEE051-A2AD-4E6C-9253-93EEB2DCF4D2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DFFD52A-DA4D-4CF2-8369-02D113D8A171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A0F958A-D933-433C-BA34-4151D28185C4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737B95E-31DA-4150-9EFF-B989BB877D60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EFCE1DF-736C-45FF-8A0B-053EE8F84D69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1F1F3F1-EC37-4591-8540-3B1C88659563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EA7012-5E6B-4BC2-BF2B-527F2AE0165D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7CF30096-E41C-4060-9F2A-867BE372CCC5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29BDE1B-95DF-4D55-8F69-A8A0ACE4D2DC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456253B-9CB3-430B-86A4-BFCAA65CA984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C279882-F1F2-46BC-BFF8-D9F3B07DFC90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95613450-2C31-43D8-AA29-623630EE366F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41505E14-879A-4D6F-B829-794AE04C8CF5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41477A9-AE61-407F-A3B5-A0EBB9AA1505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C179081-B01C-4295-B40F-B77183291C13}" sqref="C28" showErrorMessage="1" errorTitle="An invalid feedback was entered" error="Please choose feedback from drop down only.">
      <formula1>"Yes,No,FlexRET"</formula1>
    </dataValidation>
    <dataValidation type="list" xr:uid="{5A9EA21F-23EF-45C2-852E-782F0722FE22}" sqref="D28" showErrorMessage="1" errorTitle="An invalid feedback was entered" error="Please choose feedback from drop down only.">
      <formula1>"Yes,No,FlexRET"</formula1>
    </dataValidation>
    <dataValidation type="list" xr:uid="{B6A76D3E-5869-4B4F-9869-8C25A3652E35}" sqref="E28" showErrorMessage="1" errorTitle="An invalid feedback was entered" error="Please choose feedback from drop down only.">
      <formula1>"Yes,No,FlexRET"</formula1>
    </dataValidation>
    <dataValidation type="list" xr:uid="{C4C42C95-E351-4F4C-96B1-7ABAD786CF0E}" sqref="F28" showErrorMessage="1" errorTitle="An invalid feedback was entered" error="Please choose feedback from drop down only.">
      <formula1>"Yes,No,FlexRET"</formula1>
    </dataValidation>
    <dataValidation type="list" xr:uid="{EB161A11-75EC-46F2-B7F3-CFF4264BE8FB}" sqref="G28" showErrorMessage="1" errorTitle="An invalid feedback was entered" error="Please choose feedback from drop down only.">
      <formula1>"Yes,No,FlexRET"</formula1>
    </dataValidation>
    <dataValidation type="list" xr:uid="{328490A7-A9DE-4EEF-8DEF-18CCF3EE4C31}" sqref="H28" showErrorMessage="1" errorTitle="An invalid feedback was entered" error="Please choose feedback from drop down only.">
      <formula1>"Yes,No,FlexRET"</formula1>
    </dataValidation>
    <dataValidation type="list" xr:uid="{5AA673E5-3928-4C97-9914-939FE551CC22}" sqref="I28" showErrorMessage="1" errorTitle="An invalid feedback was entered" error="Please choose feedback from drop down only.">
      <formula1>"Yes,No,FlexRET"</formula1>
    </dataValidation>
    <dataValidation type="list" xr:uid="{5A69792E-F8D3-46CC-A573-E567A9857BE9}" sqref="J28" showErrorMessage="1" errorTitle="An invalid feedback was entered" error="Please choose feedback from drop down only.">
      <formula1>"Yes,No,FlexRET"</formula1>
    </dataValidation>
    <dataValidation type="list" xr:uid="{B8B0C22F-79DB-4FDE-B536-F7890F946369}" sqref="K28" showErrorMessage="1" errorTitle="An invalid feedback was entered" error="Please choose feedback from drop down only.">
      <formula1>"Yes,No,FlexRET"</formula1>
    </dataValidation>
    <dataValidation type="list" xr:uid="{34CEF7FE-5269-4E58-B036-BD15527BF0FA}" sqref="L28" showErrorMessage="1" errorTitle="An invalid feedback was entered" error="Please choose feedback from drop down only.">
      <formula1>"Yes,No,FlexRET"</formula1>
    </dataValidation>
    <dataValidation type="list" xr:uid="{0B1C1B4D-B01E-4C3E-90B3-F12A6F33C201}" sqref="M28" showErrorMessage="1" errorTitle="An invalid feedback was entered" error="Please choose feedback from drop down only.">
      <formula1>"Yes,No,FlexRET"</formula1>
    </dataValidation>
    <dataValidation type="list" xr:uid="{0CFF7154-BB5E-4427-A309-1F897C7763DD}" sqref="N28" showErrorMessage="1" errorTitle="An invalid feedback was entered" error="Please choose feedback from drop down only.">
      <formula1>"Yes,No,FlexRET"</formula1>
    </dataValidation>
    <dataValidation type="list" xr:uid="{F8BC32D2-4A33-4065-8161-48838E23547E}" sqref="O28" showErrorMessage="1" errorTitle="An invalid feedback was entered" error="Please choose feedback from drop down only.">
      <formula1>"Yes,No,FlexRET"</formula1>
    </dataValidation>
    <dataValidation type="list" xr:uid="{63AADE6E-34E5-4E4C-8FBE-42D5FBA2AFBF}" sqref="P28" showErrorMessage="1" errorTitle="An invalid feedback was entered" error="Please choose feedback from drop down only.">
      <formula1>"Yes,No,FlexRET"</formula1>
    </dataValidation>
    <dataValidation type="list" xr:uid="{40169376-A204-4195-84BA-11B1EB32428A}" sqref="Q28" showErrorMessage="1" errorTitle="An invalid feedback was entered" error="Please choose feedback from drop down only.">
      <formula1>"Yes,No,FlexRET"</formula1>
    </dataValidation>
    <dataValidation type="list" xr:uid="{DF1943FE-5442-4D31-9CF3-9923DAD81069}" sqref="C29" showErrorMessage="1" errorTitle="An invalid feedback was entered" error="Please choose feedback from drop down only.">
      <formula1>"Yes,No,FlexRET"</formula1>
    </dataValidation>
    <dataValidation type="list" xr:uid="{28909EF1-DDC8-452E-964E-0BA86E62B1E4}" sqref="D29" showErrorMessage="1" errorTitle="An invalid feedback was entered" error="Please choose feedback from drop down only.">
      <formula1>"Yes,No,FlexRET"</formula1>
    </dataValidation>
    <dataValidation type="list" xr:uid="{5F9237B7-DE34-4839-BADB-3B415545D561}" sqref="E29" showErrorMessage="1" errorTitle="An invalid feedback was entered" error="Please choose feedback from drop down only.">
      <formula1>"Yes,No,FlexRET"</formula1>
    </dataValidation>
    <dataValidation type="list" xr:uid="{51593358-A0E8-4613-BF18-0310D03A94C3}" sqref="F29" showErrorMessage="1" errorTitle="An invalid feedback was entered" error="Please choose feedback from drop down only.">
      <formula1>"Yes,No,FlexRET"</formula1>
    </dataValidation>
    <dataValidation type="list" xr:uid="{E0BC90E5-9D6E-43AD-98B4-107C3E1CEDF9}" sqref="G29" showErrorMessage="1" errorTitle="An invalid feedback was entered" error="Please choose feedback from drop down only.">
      <formula1>"Yes,No,FlexRET"</formula1>
    </dataValidation>
    <dataValidation type="list" xr:uid="{192A6E5F-8C02-4B90-BF1E-D6D8E04BB774}" sqref="H29" showErrorMessage="1" errorTitle="An invalid feedback was entered" error="Please choose feedback from drop down only.">
      <formula1>"Yes,No,FlexRET"</formula1>
    </dataValidation>
    <dataValidation type="list" xr:uid="{9664E9E8-FC12-45E5-99DA-A62A248CA112}" sqref="I29" showErrorMessage="1" errorTitle="An invalid feedback was entered" error="Please choose feedback from drop down only.">
      <formula1>"Yes,No,FlexRET"</formula1>
    </dataValidation>
    <dataValidation type="list" xr:uid="{8B1D6E74-170D-4300-A29F-9BAAE74409FE}" sqref="J29" showErrorMessage="1" errorTitle="An invalid feedback was entered" error="Please choose feedback from drop down only.">
      <formula1>"Yes,No,FlexRET"</formula1>
    </dataValidation>
    <dataValidation type="list" xr:uid="{F2849E60-4AD8-42C0-85D6-219553415D35}" sqref="K29" showErrorMessage="1" errorTitle="An invalid feedback was entered" error="Please choose feedback from drop down only.">
      <formula1>"Yes,No,FlexRET"</formula1>
    </dataValidation>
    <dataValidation type="list" xr:uid="{F35F6C84-75BD-4003-B18C-F04233751314}" sqref="L29" showErrorMessage="1" errorTitle="An invalid feedback was entered" error="Please choose feedback from drop down only.">
      <formula1>"Yes,No,FlexRET"</formula1>
    </dataValidation>
    <dataValidation type="list" xr:uid="{E7DB0FF2-2568-4A8F-B830-94B349CB4512}" sqref="M29" showErrorMessage="1" errorTitle="An invalid feedback was entered" error="Please choose feedback from drop down only.">
      <formula1>"Yes,No,FlexRET"</formula1>
    </dataValidation>
    <dataValidation type="list" xr:uid="{A6A91296-146E-4F53-B275-9E502791E74A}" sqref="N29" showErrorMessage="1" errorTitle="An invalid feedback was entered" error="Please choose feedback from drop down only.">
      <formula1>"Yes,No,FlexRET"</formula1>
    </dataValidation>
    <dataValidation type="list" xr:uid="{6D876577-798B-42E6-9C6E-A33CF6F4BE28}" sqref="O29" showErrorMessage="1" errorTitle="An invalid feedback was entered" error="Please choose feedback from drop down only.">
      <formula1>"Yes,No,FlexRET"</formula1>
    </dataValidation>
    <dataValidation type="list" xr:uid="{A57BB2CA-38D7-4722-8A09-8E64FF6A568F}" sqref="P29" showErrorMessage="1" errorTitle="An invalid feedback was entered" error="Please choose feedback from drop down only.">
      <formula1>"Yes,No,FlexRET"</formula1>
    </dataValidation>
    <dataValidation type="list" xr:uid="{CBE637FA-EEA6-44C4-809D-800ADFD9BFBA}" sqref="Q29" showErrorMessage="1" errorTitle="An invalid feedback was entered" error="Please choose feedback from drop down only.">
      <formula1>"Yes,No,FlexRET"</formula1>
    </dataValidation>
    <dataValidation type="list" xr:uid="{0D7FE69E-2DF0-4E36-BA46-DA40AE3C7370}" sqref="C25" showErrorMessage="1" errorTitle="An invalid feedback was entered" error="Please choose feedback from drop down only.">
      <formula1>"G,U,L,NR,GU,UL,GL,GUL,LNR,ULNR,None"</formula1>
    </dataValidation>
    <dataValidation type="list" xr:uid="{EDB19E5A-A4F4-488A-82A4-3AB3537949A4}" sqref="D25" showErrorMessage="1" errorTitle="An invalid feedback was entered" error="Please choose feedback from drop down only.">
      <formula1>"G,U,L,NR,GU,UL,GL,GUL,LNR,ULNR,None"</formula1>
    </dataValidation>
    <dataValidation type="list" xr:uid="{7E993DCE-2AF9-4C60-8418-9679CDC0301A}" sqref="E25" showErrorMessage="1" errorTitle="An invalid feedback was entered" error="Please choose feedback from drop down only.">
      <formula1>"G,U,L,NR,GU,UL,GL,GUL,LNR,ULNR,None"</formula1>
    </dataValidation>
    <dataValidation type="list" xr:uid="{D2B8F69E-D145-49F7-9F49-6397B6C84F7C}" sqref="F25" showErrorMessage="1" errorTitle="An invalid feedback was entered" error="Please choose feedback from drop down only.">
      <formula1>"G,U,L,NR,GU,UL,GL,GUL,LNR,ULNR,None"</formula1>
    </dataValidation>
    <dataValidation type="list" xr:uid="{3B02DC46-324E-4AB0-B93A-2DEBEA3DC9D7}" sqref="G25" showErrorMessage="1" errorTitle="An invalid feedback was entered" error="Please choose feedback from drop down only.">
      <formula1>"G,U,L,NR,GU,UL,GL,GUL,LNR,ULNR,None"</formula1>
    </dataValidation>
    <dataValidation type="list" xr:uid="{3F100B5A-C980-4F3D-A098-3C1A485A0402}" sqref="H25" showErrorMessage="1" errorTitle="An invalid feedback was entered" error="Please choose feedback from drop down only.">
      <formula1>"G,U,L,NR,GU,UL,GL,GUL,LNR,ULNR,None"</formula1>
    </dataValidation>
    <dataValidation type="list" xr:uid="{41433E61-EF00-4A51-9DF2-BE6256909925}" sqref="I25" showErrorMessage="1" errorTitle="An invalid feedback was entered" error="Please choose feedback from drop down only.">
      <formula1>"G,U,L,NR,GU,UL,GL,GUL,LNR,ULNR,None"</formula1>
    </dataValidation>
    <dataValidation type="list" xr:uid="{888FDD63-056D-4918-835B-F2AC9B82E4D6}" sqref="J25" showErrorMessage="1" errorTitle="An invalid feedback was entered" error="Please choose feedback from drop down only.">
      <formula1>"G,U,L,NR,GU,UL,GL,GUL,LNR,ULNR,None"</formula1>
    </dataValidation>
    <dataValidation type="list" xr:uid="{4C95765E-425E-46EC-9DFD-719EC634DC22}" sqref="K25" showErrorMessage="1" errorTitle="An invalid feedback was entered" error="Please choose feedback from drop down only.">
      <formula1>"G,U,L,NR,GU,UL,GL,GUL,LNR,ULNR,None"</formula1>
    </dataValidation>
    <dataValidation type="list" xr:uid="{B7B253F2-0CEE-47BC-BE7F-39A438CE6D36}" sqref="L25" showErrorMessage="1" errorTitle="An invalid feedback was entered" error="Please choose feedback from drop down only.">
      <formula1>"G,U,L,NR,GU,UL,GL,GUL,LNR,ULNR,None"</formula1>
    </dataValidation>
    <dataValidation type="list" xr:uid="{AC403CE3-18A9-4140-AF38-26C1C290B340}" sqref="M25" showErrorMessage="1" errorTitle="An invalid feedback was entered" error="Please choose feedback from drop down only.">
      <formula1>"G,U,L,NR,GU,UL,GL,GUL,LNR,ULNR,None"</formula1>
    </dataValidation>
    <dataValidation type="list" xr:uid="{6C8AB1AE-E61A-4DA0-B3AF-7F9C1969B189}" sqref="N25" showErrorMessage="1" errorTitle="An invalid feedback was entered" error="Please choose feedback from drop down only.">
      <formula1>"G,U,L,NR,GU,UL,GL,GUL,LNR,ULNR,None"</formula1>
    </dataValidation>
    <dataValidation type="list" xr:uid="{1B1446F4-C5F1-41A6-A3A7-9BC0A102F162}" sqref="O25" showErrorMessage="1" errorTitle="An invalid feedback was entered" error="Please choose feedback from drop down only.">
      <formula1>"G,U,L,NR,GU,UL,GL,GUL,LNR,ULNR,None"</formula1>
    </dataValidation>
    <dataValidation type="list" xr:uid="{CB282FBD-C704-4D0A-9ACB-234450CA2A85}" sqref="P25" showErrorMessage="1" errorTitle="An invalid feedback was entered" error="Please choose feedback from drop down only.">
      <formula1>"G,U,L,NR,GU,UL,GL,GUL,LNR,ULNR,None"</formula1>
    </dataValidation>
    <dataValidation type="list" xr:uid="{BC2F0EC5-0303-4BF6-8809-D174F937E8B0}" sqref="Q25" showErrorMessage="1" errorTitle="An invalid feedback was entered" error="Please choose feedback from drop down only.">
      <formula1>"G,U,L,NR,GU,UL,GL,GUL,LNR,ULNR,None"</formula1>
    </dataValidation>
    <dataValidation type="list" xr:uid="{5E8D6405-9C9B-4262-ADE4-F3F6CB61014B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94DA58E-AE3C-48D2-8797-99A64693E209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7233165-CAB2-434B-872A-A3EEC7DCDF07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A4E0204-2757-44E0-82EB-F795329932CE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41A9053-5B46-43FE-8B48-74227587F292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8C02FDC-E2BA-4A5B-A968-F1C1B6DF4F6E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E5855F-A524-41A7-B427-062938B3BC44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D09D1E3-E89F-465E-A713-EEBCB3EE55DA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D27E32C-165B-4647-9872-1EE3DD5CFFA5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B6C3886-3689-4C68-8BFC-F56253DD2357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053772DA-7A77-4CC6-B86E-F00629B97F40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B6B32CBB-4D39-46DC-BBFE-53195EA3D6A4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7572C20E-0BD8-48A1-B0B0-402ACC76F2FC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32C8ED0E-9262-4EAD-887E-C0DE037A9E51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299C66E-5918-4C02-B000-9C8C38CCC690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ED3C9301-CA75-4352-89B0-66D622F8DA85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9B2119D9-27CD-418D-A680-3C953F04AEED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B43F52F0-99AB-4242-A4B7-F7B2929F56D2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0AE3D83E-6FF9-48C9-961C-6AA95AF2BC8A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FBA99D06-8798-4884-AC86-C00C119ACA4A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0DCA24D2-7886-4ED4-B02F-07CF52E3A064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7726EC36-8664-41E7-B45D-BD54231E796F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39397180-6058-487E-9A2E-AAB46D533A36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5D331D5A-110A-47B8-B065-FDC1F2C79FA4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7603EDDC-F2FE-4382-A77B-D6B342DE70C6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CFDFEB79-7D5E-40D6-9D87-E51EBB91A89A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00006FF-E687-4C2E-8611-8516F329A103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5B45BE65-A33A-45CB-BBFE-D219142F39BA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F1848F12-6F19-4039-893B-06F2DD00DFE8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80D585A-084D-4469-ADE2-539D577A9940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40CD97B9-9369-46EC-9881-78EFAF3F3ACF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07844407-1C39-43EE-BBF2-5739E9972882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889B4C96-C7EC-440C-9AB7-456E8155DD4B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3FB5AC78-EEEA-47A4-B4A5-9FD7F5E1E210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07A16BA0-B53E-41B1-AE10-3E353C9A2D6F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8EE52750-CD6F-44C3-A170-3D30656901C4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B01CEAA0-61D7-40D8-85BE-A707820EA70C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C4D617E5-C761-4E5E-8AB7-885993D1CC33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855327E2-4EEE-4532-94CE-CF7609C60577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1B9B426E-2183-446A-AA30-A362B0CC8E01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FBA48E56-FD64-43A4-8541-CA7169C1F3E0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8820F037-6E6E-43DC-9DB0-85176329A146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7C77B67E-A7AF-4307-920E-FCB65415DAD3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35BC91C5-4877-4506-A3CD-69BC2BA6F314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0FF4112-D796-40A2-9DFD-4BA6FB1C4CB3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A7040FED-192C-4151-9398-4F4C1920241C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C2C1ACF0-F4DE-4634-B695-E8D3B553B9D0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B978CA4F-4A0C-41D1-9FD8-D7BF896F1D34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9C61C6AE-716B-4671-ABE3-C27003CF7135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4193876-1892-4BE9-9360-539220611FB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B859D95-7523-4AEC-A2B2-784D7A7B2696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988D6C65-A6F0-4D93-969F-65B1792FD9C7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918063DB-4922-48C4-9B08-DC8FE9A3518B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710D42D-A62D-4C33-B543-F32273B488E5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B01DA5CF-97D8-4760-B24F-5B013D9B3C90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B5B98EF5-0E99-4670-88A9-42EEA3018973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0E1BFC81-81CF-4D06-99EC-E5A8305F2966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6E683B97-F343-488D-AD62-A52A88426D55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1162E402-79FC-4367-9A45-BF9BB84BB6ED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920BCAAC-43FA-425D-9B97-7CFA262A0194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ABED6558-BA52-4337-97FE-D148DCA08B84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6F8705EE-757B-4A80-8CBD-37364081633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40775C6D-2CB2-4B24-9B7F-44ACBABB2309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BE564F0B-9735-4630-B449-B052B511C574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02FE1CD1-74AD-4921-BA5B-48AFBC63ED7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F19B6DF0-145A-424A-9CE5-B4612171F809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A2A59B78-7648-4FBB-9236-B4FEF90DBE1D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AE349724-752B-496C-968A-880194FCC5E3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31B81493-CC7D-4EA0-B9F0-555D5550DFA8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93AF480A-240D-4DCD-909F-C38ADF183A0F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E77DC932-86B9-4A3B-A003-9F1526CB7565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9CF2308A-E692-4708-B687-20343946A153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9425CE6E-3546-4F34-9FD1-936E52EEAFFD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EDF30B5F-4B01-497A-A103-D421B68345B2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768170F8-BAEE-40F3-AFD3-8D6AE90EDB80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0"/>
  <dimension ref="A1:U45"/>
  <sheetViews>
    <sheetView zoomScale="90" zoomScaleNormal="90" workbookViewId="0">
      <selection activeCell="C8" sqref="C8:H8"/>
    </sheetView>
  </sheetViews>
  <sheetFormatPr defaultColWidth="9.1328125" defaultRowHeight="12.75"/>
  <cols>
    <col min="1" max="1" bestFit="1" width="10.265625" customWidth="1" style="6"/>
    <col min="2" max="2" bestFit="1" width="40.1328125" customWidth="1" style="7"/>
    <col min="3" max="7" width="9.1328125" customWidth="1" style="21"/>
    <col min="8" max="8" bestFit="1" width="9.3984375" customWidth="1" style="21"/>
    <col min="9" max="16384" width="9.1328125" customWidth="1" style="21"/>
  </cols>
  <sheetData>
    <row r="1" ht="25.15" customHeight="1">
      <c r="A1" s="197"/>
      <c r="B1" s="198"/>
      <c r="C1" s="258" t="s">
        <v>119</v>
      </c>
      <c r="D1" s="258"/>
      <c r="E1" s="258"/>
      <c r="F1" s="258"/>
      <c r="G1" s="258"/>
      <c r="H1" s="258"/>
      <c r="I1" s="258"/>
      <c r="J1" s="258"/>
      <c r="K1" s="258"/>
      <c r="L1" s="258"/>
      <c r="M1" s="258"/>
      <c r="N1" s="258"/>
      <c r="O1" s="258"/>
      <c r="P1" s="258"/>
    </row>
    <row r="2" ht="18">
      <c r="A2" s="33"/>
      <c r="B2" s="14" t="s">
        <v>1</v>
      </c>
      <c r="C2" s="217">
        <v>1</v>
      </c>
      <c r="D2" s="251"/>
      <c r="E2" s="251"/>
      <c r="F2" s="251"/>
      <c r="G2" s="251"/>
      <c r="H2" s="219"/>
      <c r="I2" s="252">
        <v>2</v>
      </c>
      <c r="J2" s="253"/>
      <c r="K2" s="253"/>
      <c r="L2" s="254"/>
      <c r="M2" s="252">
        <v>3</v>
      </c>
      <c r="N2" s="253"/>
      <c r="O2" s="255"/>
      <c r="P2" s="72">
        <v>4</v>
      </c>
    </row>
    <row r="3" ht="17.25">
      <c r="A3" s="241"/>
      <c r="B3" s="12" t="s">
        <v>2</v>
      </c>
      <c r="C3" s="211"/>
      <c r="D3" s="212"/>
      <c r="E3" s="212"/>
      <c r="F3" s="212"/>
      <c r="G3" s="212"/>
      <c r="H3" s="212"/>
      <c r="I3" s="212"/>
      <c r="J3" s="212"/>
      <c r="K3" s="212"/>
      <c r="L3" s="212"/>
      <c r="M3" s="212"/>
      <c r="N3" s="212"/>
      <c r="O3" s="212"/>
      <c r="P3" s="213"/>
    </row>
    <row r="4" ht="25.15" s="22" customFormat="1">
      <c r="A4" s="241"/>
      <c r="B4" s="9" t="s">
        <v>3</v>
      </c>
      <c r="C4" s="270"/>
      <c r="D4" s="271"/>
      <c r="E4" s="271"/>
      <c r="F4" s="271"/>
      <c r="G4" s="271"/>
      <c r="H4" s="271"/>
      <c r="I4" s="271"/>
      <c r="J4" s="271"/>
      <c r="K4" s="271"/>
      <c r="L4" s="271"/>
      <c r="M4" s="271"/>
      <c r="N4" s="271"/>
      <c r="O4" s="271"/>
      <c r="P4" s="272"/>
    </row>
    <row r="5" ht="24.75">
      <c r="A5" s="241"/>
      <c r="B5" s="13" t="s">
        <v>4</v>
      </c>
      <c r="C5" s="245"/>
      <c r="D5" s="246"/>
      <c r="E5" s="246"/>
      <c r="F5" s="246"/>
      <c r="G5" s="246"/>
      <c r="H5" s="246"/>
      <c r="I5" s="246"/>
      <c r="J5" s="246"/>
      <c r="K5" s="246"/>
      <c r="L5" s="246"/>
      <c r="M5" s="246"/>
      <c r="N5" s="246"/>
      <c r="O5" s="246"/>
      <c r="P5" s="247"/>
    </row>
    <row r="6" ht="25.15" s="22" customFormat="1">
      <c r="A6" s="241"/>
      <c r="B6" s="32" t="s">
        <v>5</v>
      </c>
      <c r="C6" s="248"/>
      <c r="D6" s="249"/>
      <c r="E6" s="249"/>
      <c r="F6" s="249"/>
      <c r="G6" s="249"/>
      <c r="H6" s="249"/>
      <c r="I6" s="249"/>
      <c r="J6" s="249"/>
      <c r="K6" s="249"/>
      <c r="L6" s="249"/>
      <c r="M6" s="249"/>
      <c r="N6" s="249"/>
      <c r="O6" s="249"/>
      <c r="P6" s="250"/>
    </row>
    <row r="7" ht="17.25">
      <c r="A7" s="241"/>
      <c r="B7" s="8" t="s">
        <v>6</v>
      </c>
      <c r="C7" s="226"/>
      <c r="D7" s="227"/>
      <c r="E7" s="227"/>
      <c r="F7" s="227"/>
      <c r="G7" s="227"/>
      <c r="H7" s="228"/>
      <c r="I7" s="227"/>
      <c r="J7" s="227"/>
      <c r="K7" s="227"/>
      <c r="L7" s="228"/>
      <c r="M7" s="227"/>
      <c r="N7" s="227"/>
      <c r="O7" s="228"/>
      <c r="P7" s="94"/>
    </row>
    <row r="8" ht="17.65" s="22" customFormat="1">
      <c r="A8" s="241"/>
      <c r="B8" s="9" t="s">
        <v>8</v>
      </c>
      <c r="C8" s="229"/>
      <c r="D8" s="230"/>
      <c r="E8" s="230"/>
      <c r="F8" s="230"/>
      <c r="G8" s="230"/>
      <c r="H8" s="231"/>
      <c r="I8" s="229"/>
      <c r="J8" s="230"/>
      <c r="K8" s="230"/>
      <c r="L8" s="231"/>
      <c r="M8" s="229"/>
      <c r="N8" s="230"/>
      <c r="O8" s="231"/>
      <c r="P8" s="95"/>
    </row>
    <row r="9" ht="17.25">
      <c r="A9" s="241"/>
      <c r="B9" s="8" t="s">
        <v>9</v>
      </c>
      <c r="C9" s="211"/>
      <c r="D9" s="212"/>
      <c r="E9" s="212"/>
      <c r="F9" s="212"/>
      <c r="G9" s="212"/>
      <c r="H9" s="213"/>
      <c r="I9" s="212"/>
      <c r="J9" s="212"/>
      <c r="K9" s="212"/>
      <c r="L9" s="213"/>
      <c r="M9" s="212"/>
      <c r="N9" s="212"/>
      <c r="O9" s="213"/>
      <c r="P9" s="94"/>
    </row>
    <row r="10" ht="17.65" s="22" customFormat="1">
      <c r="A10" s="241"/>
      <c r="B10" s="10" t="s">
        <v>11</v>
      </c>
      <c r="C10" s="229"/>
      <c r="D10" s="230"/>
      <c r="E10" s="230"/>
      <c r="F10" s="230"/>
      <c r="G10" s="230"/>
      <c r="H10" s="231"/>
      <c r="I10" s="229"/>
      <c r="J10" s="230"/>
      <c r="K10" s="230"/>
      <c r="L10" s="231"/>
      <c r="M10" s="229"/>
      <c r="N10" s="230"/>
      <c r="O10" s="231"/>
      <c r="P10" s="95"/>
    </row>
    <row r="11" ht="17.25">
      <c r="A11" s="241"/>
      <c r="B11" s="8" t="s">
        <v>12</v>
      </c>
      <c r="C11" s="211"/>
      <c r="D11" s="212"/>
      <c r="E11" s="212"/>
      <c r="F11" s="212"/>
      <c r="G11" s="212"/>
      <c r="H11" s="213"/>
      <c r="I11" s="212"/>
      <c r="J11" s="212"/>
      <c r="K11" s="212"/>
      <c r="L11" s="213"/>
      <c r="M11" s="212"/>
      <c r="N11" s="212"/>
      <c r="O11" s="213"/>
      <c r="P11" s="94"/>
    </row>
    <row r="12" ht="17.65" s="22" customFormat="1">
      <c r="A12" s="241"/>
      <c r="B12" s="10" t="s">
        <v>13</v>
      </c>
      <c r="C12" s="214"/>
      <c r="D12" s="215"/>
      <c r="E12" s="215"/>
      <c r="F12" s="215"/>
      <c r="G12" s="215"/>
      <c r="H12" s="216"/>
      <c r="I12" s="214"/>
      <c r="J12" s="215"/>
      <c r="K12" s="215"/>
      <c r="L12" s="216"/>
      <c r="M12" s="214"/>
      <c r="N12" s="215"/>
      <c r="O12" s="216"/>
      <c r="P12" s="95"/>
    </row>
    <row r="13" ht="17.25">
      <c r="A13" s="241"/>
      <c r="B13" s="8" t="s">
        <v>14</v>
      </c>
      <c r="C13" s="211"/>
      <c r="D13" s="212"/>
      <c r="E13" s="212"/>
      <c r="F13" s="212"/>
      <c r="G13" s="212"/>
      <c r="H13" s="213"/>
      <c r="I13" s="212"/>
      <c r="J13" s="212"/>
      <c r="K13" s="212"/>
      <c r="L13" s="213"/>
      <c r="M13" s="212"/>
      <c r="N13" s="212"/>
      <c r="O13" s="213"/>
      <c r="P13" s="94"/>
    </row>
    <row r="14" ht="17.65" s="22" customFormat="1">
      <c r="A14" s="241"/>
      <c r="B14" s="10" t="s">
        <v>15</v>
      </c>
      <c r="C14" s="208"/>
      <c r="D14" s="209"/>
      <c r="E14" s="209"/>
      <c r="F14" s="209"/>
      <c r="G14" s="209"/>
      <c r="H14" s="210"/>
      <c r="I14" s="208"/>
      <c r="J14" s="209"/>
      <c r="K14" s="209"/>
      <c r="L14" s="210"/>
      <c r="M14" s="208"/>
      <c r="N14" s="209"/>
      <c r="O14" s="210"/>
      <c r="P14" s="96"/>
    </row>
    <row r="15" ht="17.25">
      <c r="A15" s="241"/>
      <c r="B15" s="8" t="s">
        <v>16</v>
      </c>
      <c r="C15" s="211"/>
      <c r="D15" s="212"/>
      <c r="E15" s="212"/>
      <c r="F15" s="212"/>
      <c r="G15" s="212"/>
      <c r="H15" s="213"/>
      <c r="I15" s="212"/>
      <c r="J15" s="212"/>
      <c r="K15" s="212"/>
      <c r="L15" s="213"/>
      <c r="M15" s="212"/>
      <c r="N15" s="212"/>
      <c r="O15" s="213"/>
      <c r="P15" s="97"/>
    </row>
    <row r="16" ht="17.25" s="22" customFormat="1">
      <c r="A16" s="241"/>
      <c r="B16" s="68" t="s">
        <v>17</v>
      </c>
      <c r="C16" s="199"/>
      <c r="D16" s="273"/>
      <c r="E16" s="273"/>
      <c r="F16" s="273"/>
      <c r="G16" s="273"/>
      <c r="H16" s="274"/>
      <c r="I16" s="205"/>
      <c r="J16" s="206"/>
      <c r="K16" s="206"/>
      <c r="L16" s="207"/>
      <c r="M16" s="205"/>
      <c r="N16" s="206"/>
      <c r="O16" s="207"/>
      <c r="P16" s="98"/>
    </row>
    <row r="17" ht="17.25">
      <c r="A17" s="256"/>
      <c r="B17" s="70" t="s">
        <v>18</v>
      </c>
      <c r="C17" s="63" t="s">
        <v>19</v>
      </c>
      <c r="D17" s="64" t="s">
        <v>20</v>
      </c>
      <c r="E17" s="64" t="s">
        <v>21</v>
      </c>
      <c r="F17" s="64" t="s">
        <v>22</v>
      </c>
      <c r="G17" s="64" t="s">
        <v>23</v>
      </c>
      <c r="H17" s="65" t="s">
        <v>24</v>
      </c>
      <c r="I17" s="63" t="s">
        <v>19</v>
      </c>
      <c r="J17" s="64" t="s">
        <v>20</v>
      </c>
      <c r="K17" s="64" t="s">
        <v>21</v>
      </c>
      <c r="L17" s="65" t="s">
        <v>22</v>
      </c>
      <c r="M17" s="63" t="s">
        <v>19</v>
      </c>
      <c r="N17" s="64" t="s">
        <v>20</v>
      </c>
      <c r="O17" s="65" t="s">
        <v>21</v>
      </c>
      <c r="P17" s="76" t="s">
        <v>19</v>
      </c>
    </row>
    <row r="18" ht="17.25">
      <c r="A18" s="256"/>
      <c r="B18" s="70" t="s">
        <v>25</v>
      </c>
      <c r="C18" s="63"/>
      <c r="D18" s="64"/>
      <c r="E18" s="64"/>
      <c r="F18" s="64"/>
      <c r="G18" s="64"/>
      <c r="H18" s="65"/>
      <c r="I18" s="63"/>
      <c r="J18" s="64"/>
      <c r="K18" s="64"/>
      <c r="L18" s="65"/>
      <c r="M18" s="63"/>
      <c r="N18" s="64"/>
      <c r="O18" s="65"/>
      <c r="P18" s="77"/>
    </row>
    <row r="19" ht="17.25">
      <c r="A19" s="256"/>
      <c r="B19" s="71" t="s">
        <v>32</v>
      </c>
      <c r="C19" s="105">
        <f>VLOOKUP(C8,AntennasPortName!A:H,2,FALSE)</f>
      </c>
      <c r="D19" s="105">
        <f>VLOOKUP(C8,AntennasPortName!A:H,3,FALSE)</f>
      </c>
      <c r="E19" s="105">
        <f>VLOOKUP(C8,AntennasPortName!A:H,4,FALSE)</f>
      </c>
      <c r="F19" s="105">
        <f>VLOOKUP(C8,AntennasPortName!A:H,5,FALSE)</f>
      </c>
      <c r="G19" s="105">
        <f>VLOOKUP(C8,AntennasPortName!A:H,6,FALSE)</f>
      </c>
      <c r="H19" s="105">
        <f>VLOOKUP(C8,AntennasPortName!A:H,7,FALSE)</f>
      </c>
      <c r="I19" s="105">
        <f>VLOOKUP(I8,AntennasPortName!A:H,2,FALSE)</f>
      </c>
      <c r="J19" s="105">
        <f>VLOOKUP(I8,AntennasPortName!A:H,3,FALSE)</f>
      </c>
      <c r="K19" s="105">
        <f>VLOOKUP(I8,AntennasPortName!A:H,4,FALSE)</f>
      </c>
      <c r="L19" s="105">
        <f>VLOOKUP(I8,AntennasPortName!A:H,5,FALSE)</f>
      </c>
      <c r="M19" s="105">
        <f>VLOOKUP(M8,AntennasPortName!A:H,2,FALSE)</f>
      </c>
      <c r="N19" s="105">
        <f>VLOOKUP(M8,AntennasPortName!A:H,3,FALSE)</f>
      </c>
      <c r="O19" s="105">
        <f>VLOOKUP(M8,AntennasPortName!A:H,4,FALSE)</f>
      </c>
      <c r="P19" s="105">
        <f>VLOOKUP(P8,AntennasPortName!A:H,2,FALSE)</f>
      </c>
      <c r="Q19" s="106"/>
    </row>
    <row r="20" ht="17.25">
      <c r="A20" s="241"/>
      <c r="B20" s="69" t="s">
        <v>33</v>
      </c>
      <c r="C20" s="61"/>
      <c r="D20" s="62"/>
      <c r="E20" s="62"/>
      <c r="F20" s="62"/>
      <c r="G20" s="62"/>
      <c r="H20" s="62"/>
      <c r="I20" s="61"/>
      <c r="J20" s="62"/>
      <c r="K20" s="62"/>
      <c r="L20" s="66"/>
      <c r="M20" s="67"/>
      <c r="N20" s="62"/>
      <c r="O20" s="66"/>
      <c r="P20" s="66"/>
    </row>
    <row r="21" ht="17.65">
      <c r="A21" s="241"/>
      <c r="B21" s="18" t="s">
        <v>36</v>
      </c>
      <c r="C21" s="42">
        <f>VLOOKUP(C8,Antennas!A:H,2,FALSE)</f>
      </c>
      <c r="D21" s="43">
        <f>VLOOKUP(C8,Antennas!A:H,3,FALSE)</f>
      </c>
      <c r="E21" s="43">
        <f>VLOOKUP(C8,Antennas!A:H,4,FALSE)</f>
      </c>
      <c r="F21" s="43">
        <f>VLOOKUP(C8,Antennas!A:H,5,FALSE)</f>
      </c>
      <c r="G21" s="43">
        <f>VLOOKUP(C8,Antennas!A:H,6,FALSE)</f>
      </c>
      <c r="H21" s="43">
        <f>VLOOKUP(C8,Antennas!A:H,7,FALSE)</f>
      </c>
      <c r="I21" s="43">
        <f>VLOOKUP(I8,Antennas!A:H,2,FALSE)</f>
      </c>
      <c r="J21" s="43">
        <f>VLOOKUP(I8,Antennas!A:H,3,FALSE)</f>
      </c>
      <c r="K21" s="43">
        <f>VLOOKUP(I8,Antennas!A:H,4,FALSE)</f>
      </c>
      <c r="L21" s="44">
        <f>VLOOKUP(I8,Antennas!A:H,5,FALSE)</f>
      </c>
      <c r="M21" s="45">
        <f>VLOOKUP(M8,Antennas!A:H,2,FALSE)</f>
      </c>
      <c r="N21" s="43">
        <f>VLOOKUP(M8,Antennas!A:H,3,FALSE)</f>
      </c>
      <c r="O21" s="42">
        <f>VLOOKUP(M8,Antennas!A:H,4,FALSE)</f>
      </c>
      <c r="P21" s="42">
        <f>VLOOKUP(P8,Antennas!A:H,2,FALSE)</f>
      </c>
      <c r="R21" s="17"/>
    </row>
    <row r="22" ht="17.65" s="22" customFormat="1">
      <c r="A22" s="241"/>
      <c r="B22" s="28" t="s">
        <v>37</v>
      </c>
      <c r="C22" s="46"/>
      <c r="D22" s="47"/>
      <c r="E22" s="47"/>
      <c r="F22" s="47"/>
      <c r="G22" s="47"/>
      <c r="H22" s="47"/>
      <c r="I22" s="47"/>
      <c r="J22" s="47"/>
      <c r="K22" s="47"/>
      <c r="L22" s="48"/>
      <c r="M22" s="49"/>
      <c r="N22" s="47"/>
      <c r="O22" s="50"/>
      <c r="P22" s="50"/>
    </row>
    <row r="23" ht="17.65" s="22" customFormat="1">
      <c r="A23" s="241"/>
      <c r="B23" s="28" t="s">
        <v>38</v>
      </c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46"/>
      <c r="P23" s="46"/>
    </row>
    <row r="24" ht="17.25">
      <c r="A24" s="241"/>
      <c r="B24" s="11" t="s">
        <v>39</v>
      </c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</row>
    <row r="25" ht="17.65" s="22" customFormat="1">
      <c r="A25" s="241"/>
      <c r="B25" s="29" t="s">
        <v>44</v>
      </c>
      <c r="C25" s="51"/>
      <c r="D25" s="51"/>
      <c r="E25" s="51"/>
      <c r="F25" s="51"/>
      <c r="G25" s="51"/>
      <c r="H25" s="51"/>
      <c r="I25" s="51"/>
      <c r="J25" s="51"/>
      <c r="K25" s="51"/>
      <c r="L25" s="51"/>
      <c r="M25" s="51"/>
      <c r="N25" s="51"/>
      <c r="O25" s="51"/>
      <c r="P25" s="78"/>
    </row>
    <row r="26" ht="17.25">
      <c r="A26" s="241"/>
      <c r="B26" s="27" t="s">
        <v>45</v>
      </c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</row>
    <row r="27" ht="17.65" s="22" customFormat="1">
      <c r="A27" s="241"/>
      <c r="B27" s="30" t="s">
        <v>46</v>
      </c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</row>
    <row r="28" ht="17.25">
      <c r="A28" s="241"/>
      <c r="B28" s="11" t="s">
        <v>47</v>
      </c>
      <c r="C28" s="24"/>
      <c r="D28" s="24"/>
      <c r="E28" s="24"/>
      <c r="F28" s="24"/>
      <c r="G28" s="24"/>
      <c r="H28" s="24"/>
      <c r="I28" s="24"/>
      <c r="J28" s="24"/>
      <c r="K28" s="24"/>
      <c r="L28" s="24"/>
      <c r="M28" s="24"/>
      <c r="N28" s="24"/>
      <c r="O28" s="24"/>
      <c r="P28" s="24"/>
    </row>
    <row r="29" ht="17.65" s="22" customFormat="1">
      <c r="A29" s="241"/>
      <c r="B29" s="31" t="s">
        <v>48</v>
      </c>
      <c r="C29" s="51"/>
      <c r="D29" s="51"/>
      <c r="E29" s="51"/>
      <c r="F29" s="51"/>
      <c r="G29" s="51"/>
      <c r="H29" s="51"/>
      <c r="I29" s="51"/>
      <c r="J29" s="51"/>
      <c r="K29" s="51"/>
      <c r="L29" s="51"/>
      <c r="M29" s="51"/>
      <c r="N29" s="51"/>
      <c r="O29" s="51"/>
      <c r="P29" s="78"/>
    </row>
    <row r="30" ht="17.25">
      <c r="A30" s="241"/>
      <c r="B30" s="27" t="s">
        <v>49</v>
      </c>
      <c r="C30" s="24"/>
      <c r="D30" s="24"/>
      <c r="E30" s="24"/>
      <c r="F30" s="24"/>
      <c r="G30" s="24"/>
      <c r="H30" s="24"/>
      <c r="I30" s="24"/>
      <c r="J30" s="24"/>
      <c r="K30" s="24"/>
      <c r="L30" s="24"/>
      <c r="M30" s="24"/>
      <c r="N30" s="24"/>
      <c r="O30" s="24"/>
      <c r="P30" s="24"/>
    </row>
    <row r="31" ht="17.65" s="22" customFormat="1">
      <c r="A31" s="241"/>
      <c r="B31" s="30" t="s">
        <v>51</v>
      </c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79"/>
    </row>
    <row r="32" ht="17.25">
      <c r="A32" s="241"/>
      <c r="B32" s="11" t="s">
        <v>52</v>
      </c>
      <c r="C32" s="25"/>
      <c r="D32" s="25"/>
      <c r="E32" s="25"/>
      <c r="F32" s="25"/>
      <c r="G32" s="25"/>
      <c r="H32" s="25"/>
      <c r="I32" s="25"/>
      <c r="J32" s="25"/>
      <c r="K32" s="25"/>
      <c r="L32" s="25"/>
      <c r="M32" s="25"/>
      <c r="N32" s="25"/>
      <c r="O32" s="25"/>
      <c r="P32" s="25"/>
    </row>
    <row r="33" ht="17.65" s="22" customFormat="1">
      <c r="A33" s="241"/>
      <c r="B33" s="30" t="s">
        <v>53</v>
      </c>
      <c r="C33" s="51"/>
      <c r="D33" s="51"/>
      <c r="E33" s="51"/>
      <c r="F33" s="51"/>
      <c r="G33" s="51"/>
      <c r="H33" s="51"/>
      <c r="I33" s="51"/>
      <c r="J33" s="51"/>
      <c r="K33" s="51"/>
      <c r="L33" s="51"/>
      <c r="M33" s="51"/>
      <c r="N33" s="51"/>
      <c r="O33" s="51"/>
      <c r="P33" s="78"/>
    </row>
    <row r="34" ht="17.25">
      <c r="A34" s="241"/>
      <c r="B34" s="27" t="s">
        <v>54</v>
      </c>
      <c r="C34" s="24"/>
      <c r="D34" s="24"/>
      <c r="E34" s="24"/>
      <c r="F34" s="24"/>
      <c r="G34" s="24"/>
      <c r="H34" s="24"/>
      <c r="I34" s="24"/>
      <c r="J34" s="24"/>
      <c r="K34" s="24"/>
      <c r="L34" s="24"/>
      <c r="M34" s="24"/>
      <c r="N34" s="24"/>
      <c r="O34" s="24"/>
      <c r="P34" s="24"/>
      <c r="U34" s="22"/>
    </row>
    <row r="35" ht="17.65" s="22" customFormat="1">
      <c r="A35" s="241"/>
      <c r="B35" s="28" t="s">
        <v>58</v>
      </c>
      <c r="C35" s="51"/>
      <c r="D35" s="51"/>
      <c r="E35" s="51"/>
      <c r="F35" s="51"/>
      <c r="G35" s="51"/>
      <c r="H35" s="51"/>
      <c r="I35" s="51"/>
      <c r="J35" s="51"/>
      <c r="K35" s="51"/>
      <c r="L35" s="51"/>
      <c r="M35" s="51"/>
      <c r="N35" s="51"/>
      <c r="O35" s="51"/>
      <c r="P35" s="78"/>
      <c r="U35" s="21"/>
    </row>
    <row r="36" ht="17.25">
      <c r="A36" s="241"/>
      <c r="B36" s="11" t="s">
        <v>59</v>
      </c>
      <c r="C36" s="25"/>
      <c r="D36" s="25"/>
      <c r="E36" s="25"/>
      <c r="F36" s="25"/>
      <c r="G36" s="25"/>
      <c r="H36" s="25"/>
      <c r="I36" s="25"/>
      <c r="J36" s="25"/>
      <c r="K36" s="25"/>
      <c r="L36" s="25"/>
      <c r="M36" s="25"/>
      <c r="N36" s="25"/>
      <c r="O36" s="25"/>
      <c r="P36" s="25"/>
    </row>
    <row r="37" ht="17.65" s="22" customFormat="1">
      <c r="A37" s="241"/>
      <c r="B37" s="28" t="s">
        <v>61</v>
      </c>
      <c r="C37" s="51"/>
      <c r="D37" s="51"/>
      <c r="E37" s="51"/>
      <c r="F37" s="51"/>
      <c r="G37" s="51"/>
      <c r="H37" s="51"/>
      <c r="I37" s="51"/>
      <c r="J37" s="51"/>
      <c r="K37" s="51"/>
      <c r="L37" s="51"/>
      <c r="M37" s="51"/>
      <c r="N37" s="51"/>
      <c r="O37" s="51"/>
      <c r="P37" s="78"/>
    </row>
    <row r="38" ht="17.25">
      <c r="A38" s="241"/>
      <c r="B38" s="11" t="s">
        <v>62</v>
      </c>
      <c r="C38" s="25"/>
      <c r="D38" s="25"/>
      <c r="E38" s="25"/>
      <c r="F38" s="25"/>
      <c r="G38" s="25"/>
      <c r="H38" s="25"/>
      <c r="I38" s="25"/>
      <c r="J38" s="25"/>
      <c r="K38" s="25"/>
      <c r="L38" s="25"/>
      <c r="M38" s="25"/>
      <c r="N38" s="25"/>
      <c r="O38" s="25"/>
      <c r="P38" s="25"/>
    </row>
    <row r="39" ht="17.65" s="22" customFormat="1">
      <c r="A39" s="241"/>
      <c r="B39" s="28" t="s">
        <v>64</v>
      </c>
      <c r="C39" s="51"/>
      <c r="D39" s="51"/>
      <c r="E39" s="51"/>
      <c r="F39" s="51"/>
      <c r="G39" s="51"/>
      <c r="H39" s="51"/>
      <c r="I39" s="51"/>
      <c r="J39" s="51"/>
      <c r="K39" s="51"/>
      <c r="L39" s="51"/>
      <c r="M39" s="51"/>
      <c r="N39" s="51"/>
      <c r="O39" s="51"/>
      <c r="P39" s="78"/>
    </row>
    <row r="40" ht="17.25">
      <c r="A40" s="241"/>
      <c r="B40" s="11" t="s">
        <v>65</v>
      </c>
      <c r="C40" s="26"/>
      <c r="D40" s="26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</row>
    <row r="41" ht="17.65" s="22" customFormat="1">
      <c r="A41" s="241"/>
      <c r="B41" s="29" t="s">
        <v>66</v>
      </c>
      <c r="C41" s="51"/>
      <c r="D41" s="51"/>
      <c r="E41" s="51"/>
      <c r="F41" s="51"/>
      <c r="G41" s="51"/>
      <c r="H41" s="51"/>
      <c r="I41" s="51"/>
      <c r="J41" s="51"/>
      <c r="K41" s="51"/>
      <c r="L41" s="51"/>
      <c r="M41" s="51"/>
      <c r="N41" s="51"/>
      <c r="O41" s="51"/>
      <c r="P41" s="78"/>
    </row>
    <row r="42" ht="12.75" customHeight="1">
      <c r="A42" s="223" t="s">
        <v>67</v>
      </c>
      <c r="B42" s="232"/>
      <c r="C42" s="233"/>
      <c r="D42" s="233"/>
      <c r="E42" s="233"/>
      <c r="F42" s="233"/>
      <c r="G42" s="233"/>
      <c r="H42" s="233"/>
      <c r="I42" s="233"/>
      <c r="J42" s="233"/>
      <c r="K42" s="233"/>
      <c r="L42" s="233"/>
      <c r="M42" s="233"/>
      <c r="N42" s="233"/>
      <c r="O42" s="233"/>
      <c r="P42" s="234"/>
      <c r="Q42" s="22"/>
      <c r="R42" s="22"/>
      <c r="S42" s="22"/>
    </row>
    <row r="43" ht="13.15" customHeight="1">
      <c r="A43" s="224"/>
      <c r="B43" s="235"/>
      <c r="C43" s="236"/>
      <c r="D43" s="236"/>
      <c r="E43" s="236"/>
      <c r="F43" s="236"/>
      <c r="G43" s="236"/>
      <c r="H43" s="236"/>
      <c r="I43" s="236"/>
      <c r="J43" s="236"/>
      <c r="K43" s="236"/>
      <c r="L43" s="236"/>
      <c r="M43" s="236"/>
      <c r="N43" s="236"/>
      <c r="O43" s="236"/>
      <c r="P43" s="237"/>
      <c r="Q43" s="22"/>
      <c r="R43" s="22"/>
      <c r="S43" s="22"/>
    </row>
    <row r="44" ht="13.15" customHeight="1">
      <c r="A44" s="224"/>
      <c r="B44" s="235"/>
      <c r="C44" s="236"/>
      <c r="D44" s="236"/>
      <c r="E44" s="236"/>
      <c r="F44" s="236"/>
      <c r="G44" s="236"/>
      <c r="H44" s="236"/>
      <c r="I44" s="236"/>
      <c r="J44" s="236"/>
      <c r="K44" s="236"/>
      <c r="L44" s="236"/>
      <c r="M44" s="236"/>
      <c r="N44" s="236"/>
      <c r="O44" s="236"/>
      <c r="P44" s="237"/>
      <c r="Q44" s="22"/>
      <c r="R44" s="22"/>
      <c r="S44" s="22"/>
    </row>
    <row r="45" ht="13.9" customHeight="1">
      <c r="A45" s="225"/>
      <c r="B45" s="238"/>
      <c r="C45" s="239"/>
      <c r="D45" s="239"/>
      <c r="E45" s="239"/>
      <c r="F45" s="239"/>
      <c r="G45" s="239"/>
      <c r="H45" s="239"/>
      <c r="I45" s="239"/>
      <c r="J45" s="239"/>
      <c r="K45" s="239"/>
      <c r="L45" s="239"/>
      <c r="M45" s="239"/>
      <c r="N45" s="239"/>
      <c r="O45" s="239"/>
      <c r="P45" s="240"/>
      <c r="Q45" s="22"/>
      <c r="R45" s="22"/>
      <c r="S45" s="22"/>
    </row>
  </sheetData>
  <mergeCells>
    <mergeCell ref="C3:P3"/>
    <mergeCell ref="C4:P4"/>
    <mergeCell ref="C5:P5"/>
    <mergeCell ref="C6:P6"/>
    <mergeCell ref="B42:P45"/>
    <mergeCell ref="M15:O15"/>
    <mergeCell ref="M16:O16"/>
    <mergeCell ref="M13:O13"/>
    <mergeCell ref="M14:O14"/>
    <mergeCell ref="M11:O11"/>
    <mergeCell ref="M12:O12"/>
    <mergeCell ref="C9:H9"/>
    <mergeCell ref="I9:L9"/>
    <mergeCell ref="M9:O9"/>
    <mergeCell ref="C10:H10"/>
    <mergeCell ref="I10:L10"/>
    <mergeCell ref="A34:A35"/>
    <mergeCell ref="A36:A41"/>
    <mergeCell ref="A42:A45"/>
    <mergeCell ref="C15:H15"/>
    <mergeCell ref="I15:L15"/>
    <mergeCell ref="C16:H16"/>
    <mergeCell ref="I16:L16"/>
    <mergeCell ref="A3:A33"/>
    <mergeCell ref="C13:H13"/>
    <mergeCell ref="I13:L13"/>
    <mergeCell ref="C14:H14"/>
    <mergeCell ref="I14:L14"/>
    <mergeCell ref="C11:H11"/>
    <mergeCell ref="I11:L11"/>
    <mergeCell ref="C12:H12"/>
    <mergeCell ref="I12:L12"/>
    <mergeCell ref="M10:O10"/>
    <mergeCell ref="C7:H7"/>
    <mergeCell ref="I7:L7"/>
    <mergeCell ref="M7:O7"/>
    <mergeCell ref="C8:H8"/>
    <mergeCell ref="I8:L8"/>
    <mergeCell ref="M8:O8"/>
    <mergeCell ref="A1:B1"/>
    <mergeCell ref="C2:H2"/>
    <mergeCell ref="I2:L2"/>
    <mergeCell ref="M2:O2"/>
    <mergeCell ref="C1:P1"/>
  </mergeCells>
  <conditionalFormatting sqref="C22:E22 C4 H22:O22">
    <cfRule type="cellIs" dxfId="0" priority="49" operator="greaterThan">
      <formula>0</formula>
    </cfRule>
  </conditionalFormatting>
  <conditionalFormatting sqref="C21:E21 H21:O21">
    <cfRule type="expression" dxfId="1" priority="48">
      <formula>ISERROR(C21)</formula>
    </cfRule>
  </conditionalFormatting>
  <conditionalFormatting sqref="C21:E21 H21:O21">
    <cfRule type="cellIs" dxfId="1" priority="47" operator="equal">
      <formula>0</formula>
    </cfRule>
  </conditionalFormatting>
  <conditionalFormatting sqref="C21:E21 H21:O21">
    <cfRule type="cellIs" dxfId="3" priority="46" operator="greaterThan">
      <formula>0</formula>
    </cfRule>
  </conditionalFormatting>
  <conditionalFormatting sqref="C27:O27 D29:O29 D33:O33">
    <cfRule type="cellIs" dxfId="0" priority="45" operator="notEqual">
      <formula>VALUE(C26)</formula>
    </cfRule>
  </conditionalFormatting>
  <conditionalFormatting sqref="C8:O8 C10:O10 C12:O12 C14:O14 C16:O16 C27:O27 D29:O29 D31:O31 D33:O33 D35:O35 D37:O37 D25:O25 D39:O39 D41:O41">
    <cfRule type="expression" dxfId="10" priority="41">
      <formula>ISBLANK(C8)</formula>
    </cfRule>
  </conditionalFormatting>
  <conditionalFormatting sqref="C29">
    <cfRule type="cellIs" dxfId="0" priority="43" operator="notEqual">
      <formula>VALUE(C28)</formula>
    </cfRule>
  </conditionalFormatting>
  <conditionalFormatting sqref="C29">
    <cfRule type="expression" dxfId="10" priority="42">
      <formula>ISBLANK(C29)</formula>
    </cfRule>
  </conditionalFormatting>
  <conditionalFormatting sqref="C8:O8 C10:O10 C12:O12 C14:O14 C16:O16 C31:O31 D35:O35 D37:O37 D25:O25 D39:O39 D41:O41">
    <cfRule type="cellIs" dxfId="0" priority="44" operator="notEqual">
      <formula>C7</formula>
    </cfRule>
  </conditionalFormatting>
  <conditionalFormatting sqref="C31">
    <cfRule type="expression" dxfId="10" priority="40">
      <formula>ISBLANK(C31)</formula>
    </cfRule>
  </conditionalFormatting>
  <conditionalFormatting sqref="C33">
    <cfRule type="cellIs" dxfId="0" priority="39" operator="notEqual">
      <formula>VALUE(C32)</formula>
    </cfRule>
  </conditionalFormatting>
  <conditionalFormatting sqref="C33">
    <cfRule type="expression" dxfId="10" priority="38">
      <formula>ISBLANK(C33)</formula>
    </cfRule>
  </conditionalFormatting>
  <conditionalFormatting sqref="C35">
    <cfRule type="cellIs" dxfId="0" priority="37" operator="notEqual">
      <formula>C34</formula>
    </cfRule>
  </conditionalFormatting>
  <conditionalFormatting sqref="C35">
    <cfRule type="expression" dxfId="10" priority="36">
      <formula>ISBLANK(C35)</formula>
    </cfRule>
  </conditionalFormatting>
  <conditionalFormatting sqref="C37">
    <cfRule type="cellIs" dxfId="0" priority="35" operator="notEqual">
      <formula>C36</formula>
    </cfRule>
  </conditionalFormatting>
  <conditionalFormatting sqref="C37">
    <cfRule type="expression" dxfId="10" priority="34">
      <formula>ISBLANK(C37)</formula>
    </cfRule>
  </conditionalFormatting>
  <conditionalFormatting sqref="C6">
    <cfRule type="expression" dxfId="10" priority="32">
      <formula>ISBLANK(C6)</formula>
    </cfRule>
    <cfRule type="cellIs" dxfId="0" priority="33" operator="notEqual">
      <formula>C5</formula>
    </cfRule>
  </conditionalFormatting>
  <conditionalFormatting sqref="C25">
    <cfRule type="cellIs" dxfId="0" priority="31" operator="notEqual">
      <formula>C24</formula>
    </cfRule>
  </conditionalFormatting>
  <conditionalFormatting sqref="C25">
    <cfRule type="expression" dxfId="10" priority="30">
      <formula>ISBLANK(C25)</formula>
    </cfRule>
  </conditionalFormatting>
  <conditionalFormatting sqref="C39">
    <cfRule type="cellIs" dxfId="0" priority="29" operator="notEqual">
      <formula>C38</formula>
    </cfRule>
  </conditionalFormatting>
  <conditionalFormatting sqref="C39">
    <cfRule type="expression" dxfId="10" priority="28">
      <formula>ISBLANK(C39)</formula>
    </cfRule>
  </conditionalFormatting>
  <conditionalFormatting sqref="C41">
    <cfRule type="cellIs" dxfId="0" priority="27" operator="notEqual">
      <formula>C40</formula>
    </cfRule>
  </conditionalFormatting>
  <conditionalFormatting sqref="C41">
    <cfRule type="expression" dxfId="10" priority="26">
      <formula>ISBLANK(C41)</formula>
    </cfRule>
  </conditionalFormatting>
  <conditionalFormatting sqref="C24:O41">
    <cfRule type="expression" dxfId="1" priority="25" stopIfTrue="1">
      <formula>OR(C$22="Free",C$22="Telenor",C$22="Mtel",C$22="Telenor&amp;Mtel")</formula>
    </cfRule>
  </conditionalFormatting>
  <conditionalFormatting sqref="F22:G22">
    <cfRule type="cellIs" dxfId="0" priority="24" operator="greaterThan">
      <formula>0</formula>
    </cfRule>
  </conditionalFormatting>
  <conditionalFormatting sqref="F21:G21">
    <cfRule type="expression" dxfId="1" priority="23">
      <formula>ISERROR(F21)</formula>
    </cfRule>
  </conditionalFormatting>
  <conditionalFormatting sqref="F21:G21">
    <cfRule type="cellIs" dxfId="1" priority="22" operator="equal">
      <formula>0</formula>
    </cfRule>
  </conditionalFormatting>
  <conditionalFormatting sqref="F21:G21">
    <cfRule type="cellIs" dxfId="3" priority="21" operator="greaterThan">
      <formula>0</formula>
    </cfRule>
  </conditionalFormatting>
  <conditionalFormatting sqref="P22">
    <cfRule type="cellIs" dxfId="0" priority="20" operator="greaterThan">
      <formula>0</formula>
    </cfRule>
  </conditionalFormatting>
  <conditionalFormatting sqref="P27 P29 P33">
    <cfRule type="cellIs" dxfId="0" priority="16" operator="notEqual">
      <formula>VALUE(P26)</formula>
    </cfRule>
  </conditionalFormatting>
  <conditionalFormatting sqref="P8 P10 P12 P14 P16 P27 P29 P31 P33 P35 P37 P25 P39 P41">
    <cfRule type="expression" dxfId="10" priority="14">
      <formula>ISBLANK(P8)</formula>
    </cfRule>
  </conditionalFormatting>
  <conditionalFormatting sqref="P8 P10 P12 P14 P16 P31 P35 P37 P25 P39 P41">
    <cfRule type="cellIs" dxfId="0" priority="15" operator="notEqual">
      <formula>P7</formula>
    </cfRule>
  </conditionalFormatting>
  <conditionalFormatting sqref="P24:P41">
    <cfRule type="expression" dxfId="1" priority="13" stopIfTrue="1">
      <formula>OR(P$22="Free",P$22="Telenor",P$22="Mtel",P$22="Telenor&amp;Mtel")</formula>
    </cfRule>
  </conditionalFormatting>
  <conditionalFormatting sqref="C19">
    <cfRule type="expression" dxfId="1" priority="9">
      <formula>ISERROR(C19)</formula>
    </cfRule>
    <cfRule type="cellIs" dxfId="1" priority="10" operator="equal">
      <formula>0</formula>
    </cfRule>
  </conditionalFormatting>
  <conditionalFormatting sqref="P21">
    <cfRule type="expression" dxfId="1" priority="6">
      <formula>ISERROR(P21)</formula>
    </cfRule>
  </conditionalFormatting>
  <conditionalFormatting sqref="P21">
    <cfRule type="cellIs" dxfId="1" priority="5" operator="equal">
      <formula>0</formula>
    </cfRule>
  </conditionalFormatting>
  <conditionalFormatting sqref="P21">
    <cfRule type="cellIs" dxfId="3" priority="4" operator="greaterThan">
      <formula>0</formula>
    </cfRule>
  </conditionalFormatting>
  <conditionalFormatting sqref="D19:P19">
    <cfRule type="expression" dxfId="1" priority="2">
      <formula>ISERROR(D19)</formula>
    </cfRule>
    <cfRule type="cellIs" dxfId="1" priority="3" operator="equal">
      <formula>0</formula>
    </cfRule>
  </conditionalFormatting>
  <conditionalFormatting sqref="C23:P23">
    <cfRule type="cellIs" dxfId="0" priority="1" operator="greaterThan">
      <formula>0</formula>
    </cfRule>
  </conditionalFormatting>
  <dataValidations count="165">
    <dataValidation type="list" xr:uid="{A74CE32A-57EC-497D-8A76-33E059B91E7C}" sqref="C2" showErrorMessage="1" errorTitle="An invalid feedback was entered" error="Please choose feedback from drop down only.">
      <formula1>"1,2,3"</formula1>
    </dataValidation>
    <dataValidation type="list" xr:uid="{D8D207E1-27DF-462A-A594-5227F03B28B3}" sqref="D2" showErrorMessage="1" errorTitle="An invalid feedback was entered" error="Please choose feedback from drop down only.">
      <formula1>"1,2,3"</formula1>
    </dataValidation>
    <dataValidation type="list" xr:uid="{172E8D49-D0D1-4255-A779-DB28FAF873CD}" sqref="E2" showErrorMessage="1" errorTitle="An invalid feedback was entered" error="Please choose feedback from drop down only.">
      <formula1>"1,2,3"</formula1>
    </dataValidation>
    <dataValidation type="list" xr:uid="{8A7072E2-0B9C-43B8-AB89-68E253CB9D69}" sqref="F2" showErrorMessage="1" errorTitle="An invalid feedback was entered" error="Please choose feedback from drop down only.">
      <formula1>"1,2,3"</formula1>
    </dataValidation>
    <dataValidation type="list" xr:uid="{F46D5F9A-12A8-403C-9E60-C344C2D947FF}" sqref="G2" showErrorMessage="1" errorTitle="An invalid feedback was entered" error="Please choose feedback from drop down only.">
      <formula1>"1,2,3"</formula1>
    </dataValidation>
    <dataValidation type="list" xr:uid="{D5F69430-C1A9-4A4C-8333-F9B637AEA7F6}" sqref="H2" showErrorMessage="1" errorTitle="An invalid feedback was entered" error="Please choose feedback from drop down only.">
      <formula1>"1,2,3"</formula1>
    </dataValidation>
    <dataValidation type="list" xr:uid="{68084158-B155-41A5-A512-CF7B4FFBF9BB}" sqref="I2" showErrorMessage="1" errorTitle="An invalid feedback was entered" error="Please choose feedback from drop down only.">
      <formula1>"1,2,3"</formula1>
    </dataValidation>
    <dataValidation type="list" xr:uid="{83970B05-9D51-4700-A2A7-BD757EE17876}" sqref="J2" showErrorMessage="1" errorTitle="An invalid feedback was entered" error="Please choose feedback from drop down only.">
      <formula1>"1,2,3"</formula1>
    </dataValidation>
    <dataValidation type="list" xr:uid="{ED4E2C8B-D435-4B66-B1C7-FC2032295BF3}" sqref="K2" showErrorMessage="1" errorTitle="An invalid feedback was entered" error="Please choose feedback from drop down only.">
      <formula1>"1,2,3"</formula1>
    </dataValidation>
    <dataValidation type="list" xr:uid="{65CCCFDD-C595-4B44-95AE-B80123ED771B}" sqref="L2" showErrorMessage="1" errorTitle="An invalid feedback was entered" error="Please choose feedback from drop down only.">
      <formula1>"1,2,3"</formula1>
    </dataValidation>
    <dataValidation type="list" xr:uid="{50122F17-78F7-476C-85BA-1C38712B49CB}" sqref="M2" showErrorMessage="1" errorTitle="An invalid feedback was entered" error="Please choose feedback from drop down only.">
      <formula1>"1,2,3"</formula1>
    </dataValidation>
    <dataValidation type="list" xr:uid="{03846327-54E3-4558-89EB-A26FAB32146E}" sqref="N2" showErrorMessage="1" errorTitle="An invalid feedback was entered" error="Please choose feedback from drop down only.">
      <formula1>"1,2,3"</formula1>
    </dataValidation>
    <dataValidation type="list" xr:uid="{ABA108DB-1636-4AC6-926E-A8C2FB8F94DE}" sqref="O2" showErrorMessage="1" errorTitle="An invalid feedback was entered" error="Please choose feedback from drop down only.">
      <formula1>"1,2,3"</formula1>
    </dataValidation>
    <dataValidation type="list" xr:uid="{128EF97B-2173-48DD-B204-2DE44DD817CF}" sqref="P2" showErrorMessage="1" errorTitle="An invalid feedback was entered" error="Please choose feedback from drop down only.">
      <formula1>"1,2,3"</formula1>
    </dataValidation>
    <dataValidation type="list" xr:uid="{E839E128-C526-4B53-B22E-E6C08F357A35}" sqref="Q2" showErrorMessage="1" errorTitle="An invalid feedback was entered" error="Please choose feedback from drop down only.">
      <formula1>"1,2,3"</formula1>
    </dataValidation>
    <dataValidation type="list" xr:uid="{548BC5A6-932E-4870-9583-5DB0A4A0CF28}" sqref="C17" showErrorMessage="1" errorTitle="An invalid feedback was entered" error="Please choose feedback from drop down only.">
      <formula1>"1-2,3-4,5-6,7-8,9-10,N/A"</formula1>
    </dataValidation>
    <dataValidation type="list" xr:uid="{2DA5F161-FBBD-4BC9-B58B-4AF1510A3355}" sqref="D17" showErrorMessage="1" errorTitle="An invalid feedback was entered" error="Please choose feedback from drop down only.">
      <formula1>"1-2,3-4,5-6,7-8,9-10,N/A"</formula1>
    </dataValidation>
    <dataValidation type="list" xr:uid="{DBCEEFF9-D1E7-459F-B940-353610B2B82E}" sqref="E17" showErrorMessage="1" errorTitle="An invalid feedback was entered" error="Please choose feedback from drop down only.">
      <formula1>"1-2,3-4,5-6,7-8,9-10,N/A"</formula1>
    </dataValidation>
    <dataValidation type="list" xr:uid="{4D13B248-4C76-4D0F-A366-31BEC4C66FCD}" sqref="F17" showErrorMessage="1" errorTitle="An invalid feedback was entered" error="Please choose feedback from drop down only.">
      <formula1>"1-2,3-4,5-6,7-8,9-10,N/A"</formula1>
    </dataValidation>
    <dataValidation type="list" xr:uid="{7BB3F0BB-8BF7-4CDC-85BA-21703118672B}" sqref="G17" showErrorMessage="1" errorTitle="An invalid feedback was entered" error="Please choose feedback from drop down only.">
      <formula1>"1-2,3-4,5-6,7-8,9-10,N/A"</formula1>
    </dataValidation>
    <dataValidation type="list" xr:uid="{FF871206-39C2-4C62-A70E-CC991A425BFF}" sqref="H17" showErrorMessage="1" errorTitle="An invalid feedback was entered" error="Please choose feedback from drop down only.">
      <formula1>"1-2,3-4,5-6,7-8,9-10,N/A"</formula1>
    </dataValidation>
    <dataValidation type="list" xr:uid="{15E660DA-7FBD-4E18-BB36-5595EBC95E79}" sqref="I17" showErrorMessage="1" errorTitle="An invalid feedback was entered" error="Please choose feedback from drop down only.">
      <formula1>"1-2,3-4,5-6,7-8,9-10,N/A"</formula1>
    </dataValidation>
    <dataValidation type="list" xr:uid="{16F592B7-4A15-484B-BDFA-4166EF5F6AEB}" sqref="J17" showErrorMessage="1" errorTitle="An invalid feedback was entered" error="Please choose feedback from drop down only.">
      <formula1>"1-2,3-4,5-6,7-8,9-10,N/A"</formula1>
    </dataValidation>
    <dataValidation type="list" xr:uid="{33BABEE0-F65E-4B8D-BE38-408E6758B60C}" sqref="K17" showErrorMessage="1" errorTitle="An invalid feedback was entered" error="Please choose feedback from drop down only.">
      <formula1>"1-2,3-4,5-6,7-8,9-10,N/A"</formula1>
    </dataValidation>
    <dataValidation type="list" xr:uid="{CC69CBD0-64CC-4C8F-8B6B-D99293A20B15}" sqref="L17" showErrorMessage="1" errorTitle="An invalid feedback was entered" error="Please choose feedback from drop down only.">
      <formula1>"1-2,3-4,5-6,7-8,9-10,N/A"</formula1>
    </dataValidation>
    <dataValidation type="list" xr:uid="{1FE1A16B-4957-4ECF-81D4-768878A79FB1}" sqref="M17" showErrorMessage="1" errorTitle="An invalid feedback was entered" error="Please choose feedback from drop down only.">
      <formula1>"1-2,3-4,5-6,7-8,9-10,N/A"</formula1>
    </dataValidation>
    <dataValidation type="list" xr:uid="{DFEBB368-1726-4894-B865-773299624854}" sqref="N17" showErrorMessage="1" errorTitle="An invalid feedback was entered" error="Please choose feedback from drop down only.">
      <formula1>"1-2,3-4,5-6,7-8,9-10,N/A"</formula1>
    </dataValidation>
    <dataValidation type="list" xr:uid="{86521727-E90E-4D1B-84C0-D5B3C66E0C5B}" sqref="O17" showErrorMessage="1" errorTitle="An invalid feedback was entered" error="Please choose feedback from drop down only.">
      <formula1>"1-2,3-4,5-6,7-8,9-10,N/A"</formula1>
    </dataValidation>
    <dataValidation type="list" xr:uid="{6A91A6E2-A494-464F-A298-F2D40D4C5A8C}" sqref="P17" showErrorMessage="1" errorTitle="An invalid feedback was entered" error="Please choose feedback from drop down only.">
      <formula1>"1-2,3-4,5-6,7-8,9-10,N/A"</formula1>
    </dataValidation>
    <dataValidation type="list" xr:uid="{47E445BA-AB02-4021-8230-FE3C274D81B4}" sqref="Q17" showErrorMessage="1" errorTitle="An invalid feedback was entered" error="Please choose feedback from drop down only.">
      <formula1>"1-2,3-4,5-6,7-8,9-10,N/A"</formula1>
    </dataValidation>
    <dataValidation type="list" xr:uid="{2B29612D-17A7-4D35-BB32-16E657C88354}" sqref="C10" showErrorMessage="1" errorTitle="An invalid feedback was entered" error="Please choose feedback from drop down only.">
      <formula1>"STK Top,STK Bottom,STKx2,DTK Top,DTK Bottom,DTKx2,None"</formula1>
    </dataValidation>
    <dataValidation type="list" xr:uid="{20E59AE6-A3A6-4E45-9116-1F667F5BF1B4}" sqref="D10" showErrorMessage="1" errorTitle="An invalid feedback was entered" error="Please choose feedback from drop down only.">
      <formula1>"STK Top,STK Bottom,STKx2,DTK Top,DTK Bottom,DTKx2,None"</formula1>
    </dataValidation>
    <dataValidation type="list" xr:uid="{B457E832-F44E-43F6-8681-3C46AB1882BC}" sqref="E10" showErrorMessage="1" errorTitle="An invalid feedback was entered" error="Please choose feedback from drop down only.">
      <formula1>"STK Top,STK Bottom,STKx2,DTK Top,DTK Bottom,DTKx2,None"</formula1>
    </dataValidation>
    <dataValidation type="list" xr:uid="{C53431A0-76C8-4515-AB32-063022C3EEEC}" sqref="F10" showErrorMessage="1" errorTitle="An invalid feedback was entered" error="Please choose feedback from drop down only.">
      <formula1>"STK Top,STK Bottom,STKx2,DTK Top,DTK Bottom,DTKx2,None"</formula1>
    </dataValidation>
    <dataValidation type="list" xr:uid="{2A4928B9-4867-4044-A4EC-154F672BB1B4}" sqref="G10" showErrorMessage="1" errorTitle="An invalid feedback was entered" error="Please choose feedback from drop down only.">
      <formula1>"STK Top,STK Bottom,STKx2,DTK Top,DTK Bottom,DTKx2,None"</formula1>
    </dataValidation>
    <dataValidation type="list" xr:uid="{7DF7F6BF-171B-4226-A37F-81E5DD3D89E5}" sqref="H10" showErrorMessage="1" errorTitle="An invalid feedback was entered" error="Please choose feedback from drop down only.">
      <formula1>"STK Top,STK Bottom,STKx2,DTK Top,DTK Bottom,DTKx2,None"</formula1>
    </dataValidation>
    <dataValidation type="list" xr:uid="{9F4FA70A-5832-4357-8B61-7677906652E9}" sqref="I10" showErrorMessage="1" errorTitle="An invalid feedback was entered" error="Please choose feedback from drop down only.">
      <formula1>"STK Top,STK Bottom,STKx2,DTK Top,DTK Bottom,DTKx2,None"</formula1>
    </dataValidation>
    <dataValidation type="list" xr:uid="{BCD91CF3-E16D-44B7-9BE1-13B74C492995}" sqref="J10" showErrorMessage="1" errorTitle="An invalid feedback was entered" error="Please choose feedback from drop down only.">
      <formula1>"STK Top,STK Bottom,STKx2,DTK Top,DTK Bottom,DTKx2,None"</formula1>
    </dataValidation>
    <dataValidation type="list" xr:uid="{D909385D-20DE-400E-ADB5-61EF29989992}" sqref="K10" showErrorMessage="1" errorTitle="An invalid feedback was entered" error="Please choose feedback from drop down only.">
      <formula1>"STK Top,STK Bottom,STKx2,DTK Top,DTK Bottom,DTKx2,None"</formula1>
    </dataValidation>
    <dataValidation type="list" xr:uid="{3C5677E6-911F-4686-A244-3DDFA707EC60}" sqref="L10" showErrorMessage="1" errorTitle="An invalid feedback was entered" error="Please choose feedback from drop down only.">
      <formula1>"STK Top,STK Bottom,STKx2,DTK Top,DTK Bottom,DTKx2,None"</formula1>
    </dataValidation>
    <dataValidation type="list" xr:uid="{F463C51F-15B3-4047-8A14-E46BA1A7CA93}" sqref="M10" showErrorMessage="1" errorTitle="An invalid feedback was entered" error="Please choose feedback from drop down only.">
      <formula1>"STK Top,STK Bottom,STKx2,DTK Top,DTK Bottom,DTKx2,None"</formula1>
    </dataValidation>
    <dataValidation type="list" xr:uid="{2308584A-0131-49F0-928B-F0CC77D5816C}" sqref="N10" showErrorMessage="1" errorTitle="An invalid feedback was entered" error="Please choose feedback from drop down only.">
      <formula1>"STK Top,STK Bottom,STKx2,DTK Top,DTK Bottom,DTKx2,None"</formula1>
    </dataValidation>
    <dataValidation type="list" xr:uid="{0DA0872D-6F51-47BB-9666-21CD1A795D05}" sqref="O10" showErrorMessage="1" errorTitle="An invalid feedback was entered" error="Please choose feedback from drop down only.">
      <formula1>"STK Top,STK Bottom,STKx2,DTK Top,DTK Bottom,DTKx2,None"</formula1>
    </dataValidation>
    <dataValidation type="list" xr:uid="{BD8BD0E7-B796-4E1B-9A5E-E1002367DCFA}" sqref="P10" showErrorMessage="1" errorTitle="An invalid feedback was entered" error="Please choose feedback from drop down only.">
      <formula1>"STK Top,STK Bottom,STKx2,DTK Top,DTK Bottom,DTKx2,None"</formula1>
    </dataValidation>
    <dataValidation type="list" xr:uid="{3A25B582-13D5-42D5-BB00-21729FF55B43}" sqref="Q10" showErrorMessage="1" errorTitle="An invalid feedback was entered" error="Please choose feedback from drop down only.">
      <formula1>"STK Top,STK Bottom,STKx2,DTK Top,DTK Bottom,DTKx2,None"</formula1>
    </dataValidation>
    <dataValidation type="list" xr:uid="{4A562F3E-E310-44A1-8666-182B7DBC82F8}" sqref="C23" showErrorMessage="1" errorTitle="An invalid feedback was entered" error="Please choose feedback from drop down only.">
      <formula1>"Yetel,Bulsatcom,A1,Yetel&amp;A1,N/A"</formula1>
    </dataValidation>
    <dataValidation type="list" xr:uid="{8277B89C-5E8A-42D5-B555-C6B47B4B5128}" sqref="D23" showErrorMessage="1" errorTitle="An invalid feedback was entered" error="Please choose feedback from drop down only.">
      <formula1>"Yetel,Bulsatcom,A1,Yetel&amp;A1,N/A"</formula1>
    </dataValidation>
    <dataValidation type="list" xr:uid="{B61CDB3B-2ACF-4329-B0BC-C75806B74692}" sqref="E23" showErrorMessage="1" errorTitle="An invalid feedback was entered" error="Please choose feedback from drop down only.">
      <formula1>"Yetel,Bulsatcom,A1,Yetel&amp;A1,N/A"</formula1>
    </dataValidation>
    <dataValidation type="list" xr:uid="{AC7AF68E-4ED4-4FAC-B230-E9207AEED30F}" sqref="F23" showErrorMessage="1" errorTitle="An invalid feedback was entered" error="Please choose feedback from drop down only.">
      <formula1>"Yetel,Bulsatcom,A1,Yetel&amp;A1,N/A"</formula1>
    </dataValidation>
    <dataValidation type="list" xr:uid="{B9AB36D0-512C-48F7-AEFC-05F4B970A3C2}" sqref="G23" showErrorMessage="1" errorTitle="An invalid feedback was entered" error="Please choose feedback from drop down only.">
      <formula1>"Yetel,Bulsatcom,A1,Yetel&amp;A1,N/A"</formula1>
    </dataValidation>
    <dataValidation type="list" xr:uid="{E9210801-C45B-4E7F-9BD6-1E071983B7E3}" sqref="H23" showErrorMessage="1" errorTitle="An invalid feedback was entered" error="Please choose feedback from drop down only.">
      <formula1>"Yetel,Bulsatcom,A1,Yetel&amp;A1,N/A"</formula1>
    </dataValidation>
    <dataValidation type="list" xr:uid="{93C49510-EA6F-4257-B959-B3F98D81FC4D}" sqref="I23" showErrorMessage="1" errorTitle="An invalid feedback was entered" error="Please choose feedback from drop down only.">
      <formula1>"Yetel,Bulsatcom,A1,Yetel&amp;A1,N/A"</formula1>
    </dataValidation>
    <dataValidation type="list" xr:uid="{BCF712D1-E050-4A50-A533-E63D90C0176E}" sqref="J23" showErrorMessage="1" errorTitle="An invalid feedback was entered" error="Please choose feedback from drop down only.">
      <formula1>"Yetel,Bulsatcom,A1,Yetel&amp;A1,N/A"</formula1>
    </dataValidation>
    <dataValidation type="list" xr:uid="{62DDF4CE-CECC-4E61-947F-FD416236236C}" sqref="K23" showErrorMessage="1" errorTitle="An invalid feedback was entered" error="Please choose feedback from drop down only.">
      <formula1>"Yetel,Bulsatcom,A1,Yetel&amp;A1,N/A"</formula1>
    </dataValidation>
    <dataValidation type="list" xr:uid="{CBF82083-2595-4922-A331-E58ED8FDE553}" sqref="L23" showErrorMessage="1" errorTitle="An invalid feedback was entered" error="Please choose feedback from drop down only.">
      <formula1>"Yetel,Bulsatcom,A1,Yetel&amp;A1,N/A"</formula1>
    </dataValidation>
    <dataValidation type="list" xr:uid="{F56BECEC-84C1-46C7-95CD-6FF2BF212886}" sqref="M23" showErrorMessage="1" errorTitle="An invalid feedback was entered" error="Please choose feedback from drop down only.">
      <formula1>"Yetel,Bulsatcom,A1,Yetel&amp;A1,N/A"</formula1>
    </dataValidation>
    <dataValidation type="list" xr:uid="{B6E7E6F1-36C6-4343-9BA3-E69B3288E4C8}" sqref="N23" showErrorMessage="1" errorTitle="An invalid feedback was entered" error="Please choose feedback from drop down only.">
      <formula1>"Yetel,Bulsatcom,A1,Yetel&amp;A1,N/A"</formula1>
    </dataValidation>
    <dataValidation type="list" xr:uid="{3C72AFA2-D534-4984-9EA8-7462E30B1E3E}" sqref="O23" showErrorMessage="1" errorTitle="An invalid feedback was entered" error="Please choose feedback from drop down only.">
      <formula1>"Yetel,Bulsatcom,A1,Yetel&amp;A1,N/A"</formula1>
    </dataValidation>
    <dataValidation type="list" xr:uid="{492A9D95-31A7-4E9C-BC27-925B623B990B}" sqref="P23" showErrorMessage="1" errorTitle="An invalid feedback was entered" error="Please choose feedback from drop down only.">
      <formula1>"Yetel,Bulsatcom,A1,Yetel&amp;A1,N/A"</formula1>
    </dataValidation>
    <dataValidation type="list" xr:uid="{9F05072C-8347-4786-A035-B2A8F54D451C}" sqref="Q23" showErrorMessage="1" errorTitle="An invalid feedback was entered" error="Please choose feedback from drop down only.">
      <formula1>"Yetel,Bulsatcom,A1,Yetel&amp;A1,N/A"</formula1>
    </dataValidation>
    <dataValidation type="list" xr:uid="{9A46DDD4-6D7E-4C31-9478-63D9464EEFEF}" sqref="C31" showErrorMessage="1" errorTitle="An invalid feedback was entered" error="Please choose feedback from drop down only.">
      <formula1>"1/2,5/4,7/8,RRU TOP JUMPER,N/A"</formula1>
    </dataValidation>
    <dataValidation type="list" xr:uid="{FDD73696-D9F2-4DFE-8977-B5BF8085E385}" sqref="D31" showErrorMessage="1" errorTitle="An invalid feedback was entered" error="Please choose feedback from drop down only.">
      <formula1>"1/2,5/4,7/8,RRU TOP JUMPER,N/A"</formula1>
    </dataValidation>
    <dataValidation type="list" xr:uid="{0F43869B-0A42-4C13-ABF5-F2D0FBA50EB5}" sqref="E31" showErrorMessage="1" errorTitle="An invalid feedback was entered" error="Please choose feedback from drop down only.">
      <formula1>"1/2,5/4,7/8,RRU TOP JUMPER,N/A"</formula1>
    </dataValidation>
    <dataValidation type="list" xr:uid="{03CBFF77-792A-466D-91D3-AF4F188F5C5D}" sqref="F31" showErrorMessage="1" errorTitle="An invalid feedback was entered" error="Please choose feedback from drop down only.">
      <formula1>"1/2,5/4,7/8,RRU TOP JUMPER,N/A"</formula1>
    </dataValidation>
    <dataValidation type="list" xr:uid="{B4B71AA6-0771-471F-8CBD-93002685BE22}" sqref="G31" showErrorMessage="1" errorTitle="An invalid feedback was entered" error="Please choose feedback from drop down only.">
      <formula1>"1/2,5/4,7/8,RRU TOP JUMPER,N/A"</formula1>
    </dataValidation>
    <dataValidation type="list" xr:uid="{E6F65E98-E12D-4038-B725-9E9B81EBB012}" sqref="H31" showErrorMessage="1" errorTitle="An invalid feedback was entered" error="Please choose feedback from drop down only.">
      <formula1>"1/2,5/4,7/8,RRU TOP JUMPER,N/A"</formula1>
    </dataValidation>
    <dataValidation type="list" xr:uid="{EE59E67B-C288-451F-BF54-581EC72AF4C0}" sqref="I31" showErrorMessage="1" errorTitle="An invalid feedback was entered" error="Please choose feedback from drop down only.">
      <formula1>"1/2,5/4,7/8,RRU TOP JUMPER,N/A"</formula1>
    </dataValidation>
    <dataValidation type="list" xr:uid="{C8DB4C44-A4EB-414E-80BA-5AD0295BE2D2}" sqref="J31" showErrorMessage="1" errorTitle="An invalid feedback was entered" error="Please choose feedback from drop down only.">
      <formula1>"1/2,5/4,7/8,RRU TOP JUMPER,N/A"</formula1>
    </dataValidation>
    <dataValidation type="list" xr:uid="{AC60206B-10F2-45E0-9851-EAAA2A66B912}" sqref="K31" showErrorMessage="1" errorTitle="An invalid feedback was entered" error="Please choose feedback from drop down only.">
      <formula1>"1/2,5/4,7/8,RRU TOP JUMPER,N/A"</formula1>
    </dataValidation>
    <dataValidation type="list" xr:uid="{A6DE7FC7-0E8A-46CB-8D16-C135EF46F84D}" sqref="L31" showErrorMessage="1" errorTitle="An invalid feedback was entered" error="Please choose feedback from drop down only.">
      <formula1>"1/2,5/4,7/8,RRU TOP JUMPER,N/A"</formula1>
    </dataValidation>
    <dataValidation type="list" xr:uid="{D307C89C-053D-4B57-AABD-5E646926C1D8}" sqref="M31" showErrorMessage="1" errorTitle="An invalid feedback was entered" error="Please choose feedback from drop down only.">
      <formula1>"1/2,5/4,7/8,RRU TOP JUMPER,N/A"</formula1>
    </dataValidation>
    <dataValidation type="list" xr:uid="{67B4281A-E221-48E9-BD02-48DA153944CE}" sqref="N31" showErrorMessage="1" errorTitle="An invalid feedback was entered" error="Please choose feedback from drop down only.">
      <formula1>"1/2,5/4,7/8,RRU TOP JUMPER,N/A"</formula1>
    </dataValidation>
    <dataValidation type="list" xr:uid="{B4663C0D-EC54-4A65-829E-C5C7E2D9A0C2}" sqref="O31" showErrorMessage="1" errorTitle="An invalid feedback was entered" error="Please choose feedback from drop down only.">
      <formula1>"1/2,5/4,7/8,RRU TOP JUMPER,N/A"</formula1>
    </dataValidation>
    <dataValidation type="list" xr:uid="{04327E5E-4A9F-413B-8896-AEAB00ADE395}" sqref="P31" showErrorMessage="1" errorTitle="An invalid feedback was entered" error="Please choose feedback from drop down only.">
      <formula1>"1/2,5/4,7/8,RRU TOP JUMPER,N/A"</formula1>
    </dataValidation>
    <dataValidation type="list" xr:uid="{7CBD3971-5FF7-4AAB-93A1-AED77961A60F}" sqref="Q31" showErrorMessage="1" errorTitle="An invalid feedback was entered" error="Please choose feedback from drop down only.">
      <formula1>"1/2,5/4,7/8,RRU TOP JUMPER,N/A"</formula1>
    </dataValidation>
    <dataValidation type="list" xr:uid="{E84BB67D-0913-4E6B-A907-B6746F686741}" sqref="C4" showErrorMessage="1" errorTitle="An invalid feedback was entered" error="Please choose feedback from drop down only.">
      <formula1>"1,2,3,4,5,6,N/A"</formula1>
    </dataValidation>
    <dataValidation type="list" xr:uid="{DB51DB94-205D-4398-A6E3-B8B864F57F4D}" sqref="D4" showErrorMessage="1" errorTitle="An invalid feedback was entered" error="Please choose feedback from drop down only.">
      <formula1>"1,2,3,4,5,6,N/A"</formula1>
    </dataValidation>
    <dataValidation type="list" xr:uid="{6C85260E-BE7A-4F6E-8D65-86E08E3330AF}" sqref="E4" showErrorMessage="1" errorTitle="An invalid feedback was entered" error="Please choose feedback from drop down only.">
      <formula1>"1,2,3,4,5,6,N/A"</formula1>
    </dataValidation>
    <dataValidation type="list" xr:uid="{65DCDFF3-012C-4689-8BDA-8949764D375F}" sqref="F4" showErrorMessage="1" errorTitle="An invalid feedback was entered" error="Please choose feedback from drop down only.">
      <formula1>"1,2,3,4,5,6,N/A"</formula1>
    </dataValidation>
    <dataValidation type="list" xr:uid="{1B2359F8-046D-4DF3-A88B-BE34F8C6E796}" sqref="G4" showErrorMessage="1" errorTitle="An invalid feedback was entered" error="Please choose feedback from drop down only.">
      <formula1>"1,2,3,4,5,6,N/A"</formula1>
    </dataValidation>
    <dataValidation type="list" xr:uid="{2D4104A4-483E-41A4-9C00-6AAC58A168D8}" sqref="H4" showErrorMessage="1" errorTitle="An invalid feedback was entered" error="Please choose feedback from drop down only.">
      <formula1>"1,2,3,4,5,6,N/A"</formula1>
    </dataValidation>
    <dataValidation type="list" xr:uid="{D4D0442A-81F7-4247-9449-3E7F6F31C8DE}" sqref="I4" showErrorMessage="1" errorTitle="An invalid feedback was entered" error="Please choose feedback from drop down only.">
      <formula1>"1,2,3,4,5,6,N/A"</formula1>
    </dataValidation>
    <dataValidation type="list" xr:uid="{11AF9D48-6585-45D6-ADD5-6FE7745C9735}" sqref="J4" showErrorMessage="1" errorTitle="An invalid feedback was entered" error="Please choose feedback from drop down only.">
      <formula1>"1,2,3,4,5,6,N/A"</formula1>
    </dataValidation>
    <dataValidation type="list" xr:uid="{544EF8F1-63D9-4491-9E90-0A78DBF65780}" sqref="K4" showErrorMessage="1" errorTitle="An invalid feedback was entered" error="Please choose feedback from drop down only.">
      <formula1>"1,2,3,4,5,6,N/A"</formula1>
    </dataValidation>
    <dataValidation type="list" xr:uid="{9171156D-505D-48CA-A4B8-228DE4DC5567}" sqref="L4" showErrorMessage="1" errorTitle="An invalid feedback was entered" error="Please choose feedback from drop down only.">
      <formula1>"1,2,3,4,5,6,N/A"</formula1>
    </dataValidation>
    <dataValidation type="list" xr:uid="{58B0F0CD-F69F-4CD2-B745-639243BD09A4}" sqref="M4" showErrorMessage="1" errorTitle="An invalid feedback was entered" error="Please choose feedback from drop down only.">
      <formula1>"1,2,3,4,5,6,N/A"</formula1>
    </dataValidation>
    <dataValidation type="list" xr:uid="{CF2A3DA0-7CF3-472E-B79C-621DF9B81B5A}" sqref="N4" showErrorMessage="1" errorTitle="An invalid feedback was entered" error="Please choose feedback from drop down only.">
      <formula1>"1,2,3,4,5,6,N/A"</formula1>
    </dataValidation>
    <dataValidation type="list" xr:uid="{1A0AC237-E1F8-4846-95F7-45B5A45F937F}" sqref="O4" showErrorMessage="1" errorTitle="An invalid feedback was entered" error="Please choose feedback from drop down only.">
      <formula1>"1,2,3,4,5,6,N/A"</formula1>
    </dataValidation>
    <dataValidation type="list" xr:uid="{9CF63E1D-C4DA-4BA7-9915-DC3CCC697C02}" sqref="P4" showErrorMessage="1" errorTitle="An invalid feedback was entered" error="Please choose feedback from drop down only.">
      <formula1>"1,2,3,4,5,6,N/A"</formula1>
    </dataValidation>
    <dataValidation type="list" xr:uid="{C72189A0-8254-49FE-B16A-B35B5C83EB2F}" sqref="Q4" showErrorMessage="1" errorTitle="An invalid feedback was entered" error="Please choose feedback from drop down only.">
      <formula1>"1,2,3,4,5,6,N/A"</formula1>
    </dataValidation>
    <dataValidation type="list" xr:uid="{076B1D2F-6143-4F92-A24F-FC3856D4B243}" sqref="C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96EEF56-DDA1-49D4-A16C-2F8B735DBCA5}" sqref="D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F1B60116-CA06-40FB-925D-522F4FFDE7BA}" sqref="E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16014685-57E1-4B7E-967C-BB5F1940D662}" sqref="F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106556F-B71C-4576-9D14-8D0ABE7EDE8B}" sqref="G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ECBDB0F-6ADF-4A02-9923-D488A5298822}" sqref="H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55A65FAD-158A-4A5A-B007-D5FD49DCD524}" sqref="I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7C14E54-A242-4654-9F49-69F9AE24A5B2}" sqref="J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3E760C2-764B-40FD-89A1-F270DBB131B4}" sqref="K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076D35FF-C63B-43DF-9CEB-159BE97D8DC4}" sqref="L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8E24EEAD-CA1B-460D-A98C-04975CA65FB5}" sqref="M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EB0DCF14-7928-47CE-9344-6F9382054319}" sqref="N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8D3E088-3EA6-47E1-BEDF-DB4BADB75427}" sqref="O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6565DF09-783D-4BC3-9195-358006098ADE}" sqref="P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A785FA36-EFAD-45F7-B901-74FE239D51A1}" sqref="Q22" showErrorMessage="1" errorTitle="An invalid feedback was entered" error="Please choose feedback from drop down only.">
      <formula1>"700,800&amp;900,900,1800,2100,2600,3600,1800&amp;2100,1800&amp;2600,2100&amp;2600,18&amp;21&amp;26,Free,N/A,Yetel,A1,Yetel&amp;A1"</formula1>
    </dataValidation>
    <dataValidation type="list" xr:uid="{33840527-1B68-46BD-8404-025A68D9D8CD}" sqref="C28" showErrorMessage="1" errorTitle="An invalid feedback was entered" error="Please choose feedback from drop down only.">
      <formula1>"Yes,No,FlexRET"</formula1>
    </dataValidation>
    <dataValidation type="list" xr:uid="{E93CA60A-BD51-4A4F-A6EC-D09E19DA8A0C}" sqref="D28" showErrorMessage="1" errorTitle="An invalid feedback was entered" error="Please choose feedback from drop down only.">
      <formula1>"Yes,No,FlexRET"</formula1>
    </dataValidation>
    <dataValidation type="list" xr:uid="{9BA87912-43AF-46CC-9CEE-FBEA5E6F4A97}" sqref="E28" showErrorMessage="1" errorTitle="An invalid feedback was entered" error="Please choose feedback from drop down only.">
      <formula1>"Yes,No,FlexRET"</formula1>
    </dataValidation>
    <dataValidation type="list" xr:uid="{A8FE1931-9AE5-4BC2-8DC3-A7058A542C76}" sqref="F28" showErrorMessage="1" errorTitle="An invalid feedback was entered" error="Please choose feedback from drop down only.">
      <formula1>"Yes,No,FlexRET"</formula1>
    </dataValidation>
    <dataValidation type="list" xr:uid="{87EFBDF9-59D6-4F14-A414-7E7B78DF2342}" sqref="G28" showErrorMessage="1" errorTitle="An invalid feedback was entered" error="Please choose feedback from drop down only.">
      <formula1>"Yes,No,FlexRET"</formula1>
    </dataValidation>
    <dataValidation type="list" xr:uid="{33264EAC-F3B5-47DB-855A-10D399688821}" sqref="H28" showErrorMessage="1" errorTitle="An invalid feedback was entered" error="Please choose feedback from drop down only.">
      <formula1>"Yes,No,FlexRET"</formula1>
    </dataValidation>
    <dataValidation type="list" xr:uid="{E4BDFD54-F197-43D6-B9AF-C9D23A60176A}" sqref="I28" showErrorMessage="1" errorTitle="An invalid feedback was entered" error="Please choose feedback from drop down only.">
      <formula1>"Yes,No,FlexRET"</formula1>
    </dataValidation>
    <dataValidation type="list" xr:uid="{801C056E-BB2B-4A4B-A210-5917FBB0D97D}" sqref="J28" showErrorMessage="1" errorTitle="An invalid feedback was entered" error="Please choose feedback from drop down only.">
      <formula1>"Yes,No,FlexRET"</formula1>
    </dataValidation>
    <dataValidation type="list" xr:uid="{ABB887FC-4ABA-4BD7-A658-BB27C29D48BD}" sqref="K28" showErrorMessage="1" errorTitle="An invalid feedback was entered" error="Please choose feedback from drop down only.">
      <formula1>"Yes,No,FlexRET"</formula1>
    </dataValidation>
    <dataValidation type="list" xr:uid="{82C3E30A-3119-4DC4-8377-A41A90CF6576}" sqref="L28" showErrorMessage="1" errorTitle="An invalid feedback was entered" error="Please choose feedback from drop down only.">
      <formula1>"Yes,No,FlexRET"</formula1>
    </dataValidation>
    <dataValidation type="list" xr:uid="{16ECC12B-C91A-4FAD-8A36-04875272C682}" sqref="M28" showErrorMessage="1" errorTitle="An invalid feedback was entered" error="Please choose feedback from drop down only.">
      <formula1>"Yes,No,FlexRET"</formula1>
    </dataValidation>
    <dataValidation type="list" xr:uid="{2308679D-BE16-4892-9EE8-47C688D3D65E}" sqref="N28" showErrorMessage="1" errorTitle="An invalid feedback was entered" error="Please choose feedback from drop down only.">
      <formula1>"Yes,No,FlexRET"</formula1>
    </dataValidation>
    <dataValidation type="list" xr:uid="{EB8A9226-D9C6-4D54-8E49-2752A4B059EF}" sqref="O28" showErrorMessage="1" errorTitle="An invalid feedback was entered" error="Please choose feedback from drop down only.">
      <formula1>"Yes,No,FlexRET"</formula1>
    </dataValidation>
    <dataValidation type="list" xr:uid="{661A58D9-D717-4AC5-86D6-F74C57D27C02}" sqref="P28" showErrorMessage="1" errorTitle="An invalid feedback was entered" error="Please choose feedback from drop down only.">
      <formula1>"Yes,No,FlexRET"</formula1>
    </dataValidation>
    <dataValidation type="list" xr:uid="{480599A6-37E0-4241-870E-DC5F6A99F335}" sqref="Q28" showErrorMessage="1" errorTitle="An invalid feedback was entered" error="Please choose feedback from drop down only.">
      <formula1>"Yes,No,FlexRET"</formula1>
    </dataValidation>
    <dataValidation type="list" xr:uid="{D641C02F-90B9-4E8C-82CB-073BE3E3A262}" sqref="C29" showErrorMessage="1" errorTitle="An invalid feedback was entered" error="Please choose feedback from drop down only.">
      <formula1>"Yes,No,FlexRET"</formula1>
    </dataValidation>
    <dataValidation type="list" xr:uid="{1CF8B323-35E5-447F-9B44-B8C3045D91F1}" sqref="D29" showErrorMessage="1" errorTitle="An invalid feedback was entered" error="Please choose feedback from drop down only.">
      <formula1>"Yes,No,FlexRET"</formula1>
    </dataValidation>
    <dataValidation type="list" xr:uid="{061AF6FE-B646-49AC-A158-4C9E72BE5DD4}" sqref="E29" showErrorMessage="1" errorTitle="An invalid feedback was entered" error="Please choose feedback from drop down only.">
      <formula1>"Yes,No,FlexRET"</formula1>
    </dataValidation>
    <dataValidation type="list" xr:uid="{E1DFBEBD-7C86-4F6C-8851-65853937C117}" sqref="F29" showErrorMessage="1" errorTitle="An invalid feedback was entered" error="Please choose feedback from drop down only.">
      <formula1>"Yes,No,FlexRET"</formula1>
    </dataValidation>
    <dataValidation type="list" xr:uid="{994CE5C2-0DF6-493C-9C68-D08848DB8853}" sqref="G29" showErrorMessage="1" errorTitle="An invalid feedback was entered" error="Please choose feedback from drop down only.">
      <formula1>"Yes,No,FlexRET"</formula1>
    </dataValidation>
    <dataValidation type="list" xr:uid="{740EB0FD-65D3-4E57-8CD4-DD3F6AC8762D}" sqref="H29" showErrorMessage="1" errorTitle="An invalid feedback was entered" error="Please choose feedback from drop down only.">
      <formula1>"Yes,No,FlexRET"</formula1>
    </dataValidation>
    <dataValidation type="list" xr:uid="{5A28978B-CAAB-4D23-929D-2F2F573A5D1A}" sqref="I29" showErrorMessage="1" errorTitle="An invalid feedback was entered" error="Please choose feedback from drop down only.">
      <formula1>"Yes,No,FlexRET"</formula1>
    </dataValidation>
    <dataValidation type="list" xr:uid="{D62558ED-E558-46E3-9FBE-167E051EDDA5}" sqref="J29" showErrorMessage="1" errorTitle="An invalid feedback was entered" error="Please choose feedback from drop down only.">
      <formula1>"Yes,No,FlexRET"</formula1>
    </dataValidation>
    <dataValidation type="list" xr:uid="{7C7043CD-D889-46DA-B48C-966F32856984}" sqref="K29" showErrorMessage="1" errorTitle="An invalid feedback was entered" error="Please choose feedback from drop down only.">
      <formula1>"Yes,No,FlexRET"</formula1>
    </dataValidation>
    <dataValidation type="list" xr:uid="{1E7AAE0B-B3AC-47B1-B773-197C7F75B5FE}" sqref="L29" showErrorMessage="1" errorTitle="An invalid feedback was entered" error="Please choose feedback from drop down only.">
      <formula1>"Yes,No,FlexRET"</formula1>
    </dataValidation>
    <dataValidation type="list" xr:uid="{EEA6156D-CCF7-4289-98FA-1C4A66140FF0}" sqref="M29" showErrorMessage="1" errorTitle="An invalid feedback was entered" error="Please choose feedback from drop down only.">
      <formula1>"Yes,No,FlexRET"</formula1>
    </dataValidation>
    <dataValidation type="list" xr:uid="{1B4E95DC-91DF-478A-A60E-D64E9AD28152}" sqref="N29" showErrorMessage="1" errorTitle="An invalid feedback was entered" error="Please choose feedback from drop down only.">
      <formula1>"Yes,No,FlexRET"</formula1>
    </dataValidation>
    <dataValidation type="list" xr:uid="{D83A8E0B-6238-4B1A-A230-FC6CFA635E02}" sqref="O29" showErrorMessage="1" errorTitle="An invalid feedback was entered" error="Please choose feedback from drop down only.">
      <formula1>"Yes,No,FlexRET"</formula1>
    </dataValidation>
    <dataValidation type="list" xr:uid="{902A263F-6086-4E62-8327-064367F80474}" sqref="P29" showErrorMessage="1" errorTitle="An invalid feedback was entered" error="Please choose feedback from drop down only.">
      <formula1>"Yes,No,FlexRET"</formula1>
    </dataValidation>
    <dataValidation type="list" xr:uid="{B414AEDC-89A8-41C6-9B55-C18959D57A21}" sqref="Q29" showErrorMessage="1" errorTitle="An invalid feedback was entered" error="Please choose feedback from drop down only.">
      <formula1>"Yes,No,FlexRET"</formula1>
    </dataValidation>
    <dataValidation type="list" xr:uid="{1F7998D8-91AB-4AF6-94C7-7DA163451A41}" sqref="C25" showErrorMessage="1" errorTitle="An invalid feedback was entered" error="Please choose feedback from drop down only.">
      <formula1>"G,U,L,NR,GU,UL,GL,GUL,LNR,ULNR,None"</formula1>
    </dataValidation>
    <dataValidation type="list" xr:uid="{D8F1C138-1830-4BCC-AFFC-63E1D36291C1}" sqref="D25" showErrorMessage="1" errorTitle="An invalid feedback was entered" error="Please choose feedback from drop down only.">
      <formula1>"G,U,L,NR,GU,UL,GL,GUL,LNR,ULNR,None"</formula1>
    </dataValidation>
    <dataValidation type="list" xr:uid="{5FFA482A-5260-4424-9B1A-DB44F858AB2E}" sqref="E25" showErrorMessage="1" errorTitle="An invalid feedback was entered" error="Please choose feedback from drop down only.">
      <formula1>"G,U,L,NR,GU,UL,GL,GUL,LNR,ULNR,None"</formula1>
    </dataValidation>
    <dataValidation type="list" xr:uid="{E96A4934-36AC-4816-95C9-D92FBC61A208}" sqref="F25" showErrorMessage="1" errorTitle="An invalid feedback was entered" error="Please choose feedback from drop down only.">
      <formula1>"G,U,L,NR,GU,UL,GL,GUL,LNR,ULNR,None"</formula1>
    </dataValidation>
    <dataValidation type="list" xr:uid="{BC0A66FE-A576-414F-84E5-B443AF24846E}" sqref="G25" showErrorMessage="1" errorTitle="An invalid feedback was entered" error="Please choose feedback from drop down only.">
      <formula1>"G,U,L,NR,GU,UL,GL,GUL,LNR,ULNR,None"</formula1>
    </dataValidation>
    <dataValidation type="list" xr:uid="{735B14A4-3F8D-417F-A8B1-0DE348EB1953}" sqref="H25" showErrorMessage="1" errorTitle="An invalid feedback was entered" error="Please choose feedback from drop down only.">
      <formula1>"G,U,L,NR,GU,UL,GL,GUL,LNR,ULNR,None"</formula1>
    </dataValidation>
    <dataValidation type="list" xr:uid="{C066A18C-F450-4BF5-BDCF-DAE517774249}" sqref="I25" showErrorMessage="1" errorTitle="An invalid feedback was entered" error="Please choose feedback from drop down only.">
      <formula1>"G,U,L,NR,GU,UL,GL,GUL,LNR,ULNR,None"</formula1>
    </dataValidation>
    <dataValidation type="list" xr:uid="{9E9A1BCC-0862-4F99-956E-EDD7AB5A8AFD}" sqref="J25" showErrorMessage="1" errorTitle="An invalid feedback was entered" error="Please choose feedback from drop down only.">
      <formula1>"G,U,L,NR,GU,UL,GL,GUL,LNR,ULNR,None"</formula1>
    </dataValidation>
    <dataValidation type="list" xr:uid="{1CDDF42C-0AC0-4C4C-91C2-031627E0FAE1}" sqref="K25" showErrorMessage="1" errorTitle="An invalid feedback was entered" error="Please choose feedback from drop down only.">
      <formula1>"G,U,L,NR,GU,UL,GL,GUL,LNR,ULNR,None"</formula1>
    </dataValidation>
    <dataValidation type="list" xr:uid="{2E41249C-D5A2-470C-B546-0A49C791968E}" sqref="L25" showErrorMessage="1" errorTitle="An invalid feedback was entered" error="Please choose feedback from drop down only.">
      <formula1>"G,U,L,NR,GU,UL,GL,GUL,LNR,ULNR,None"</formula1>
    </dataValidation>
    <dataValidation type="list" xr:uid="{AE981206-2D6B-462C-8489-D54567C95080}" sqref="M25" showErrorMessage="1" errorTitle="An invalid feedback was entered" error="Please choose feedback from drop down only.">
      <formula1>"G,U,L,NR,GU,UL,GL,GUL,LNR,ULNR,None"</formula1>
    </dataValidation>
    <dataValidation type="list" xr:uid="{B9C70F19-4992-4F33-BBF8-F0D566CC92C9}" sqref="N25" showErrorMessage="1" errorTitle="An invalid feedback was entered" error="Please choose feedback from drop down only.">
      <formula1>"G,U,L,NR,GU,UL,GL,GUL,LNR,ULNR,None"</formula1>
    </dataValidation>
    <dataValidation type="list" xr:uid="{7F7CE054-312A-4CCD-B897-104CD22FC8A7}" sqref="O25" showErrorMessage="1" errorTitle="An invalid feedback was entered" error="Please choose feedback from drop down only.">
      <formula1>"G,U,L,NR,GU,UL,GL,GUL,LNR,ULNR,None"</formula1>
    </dataValidation>
    <dataValidation type="list" xr:uid="{9E6DC4BF-AA1B-4295-A91E-67CB416F16A8}" sqref="P25" showErrorMessage="1" errorTitle="An invalid feedback was entered" error="Please choose feedback from drop down only.">
      <formula1>"G,U,L,NR,GU,UL,GL,GUL,LNR,ULNR,None"</formula1>
    </dataValidation>
    <dataValidation type="list" xr:uid="{E057610F-5BC9-4C1F-A0E0-55FB5C683A76}" sqref="Q25" showErrorMessage="1" errorTitle="An invalid feedback was entered" error="Please choose feedback from drop down only.">
      <formula1>"G,U,L,NR,GU,UL,GL,GUL,LNR,ULNR,None"</formula1>
    </dataValidation>
    <dataValidation type="list" xr:uid="{E19D79DD-A3C6-4489-BDC1-00D9E16AC6D9}" sqref="C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F0D62177-ACD7-49DA-B1AC-A56F4190A51A}" sqref="D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AA7D1A0-AF00-4C70-804F-D7C4E3F043D9}" sqref="E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40159D-4C67-4F8E-BCC2-ED212DE798FD}" sqref="F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5456F388-E7D1-43DB-A595-C2C3365BD857}" sqref="G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9ED480F8-8261-4EE4-A4C1-4763A5C8FB5A}" sqref="H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8E4CF9F8-6265-4813-91E4-BD4EA800D14A}" sqref="I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CA908DE1-2121-44AA-8E0A-9E42BFF906C6}" sqref="J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2CA996D7-461E-47B9-89E6-B0A86B2193D1}" sqref="K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4C2A66CD-4B7F-4F4C-9316-9BC39E07062C}" sqref="L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92065A-11EF-42AA-9F3C-527B4AE82C4F}" sqref="M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D50704AD-56E4-4F08-A51D-3A35FFBC8332}" sqref="N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63BDFB81-72B9-4748-8F87-B2D488AB5E11}" sqref="O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AC89351F-D3B2-42E1-A221-27E197612F9D}" sqref="P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  <dataValidation type="list" xr:uid="{19F05FCB-17F4-42D2-8B4B-531523C6EFAE}" sqref="Q37" showErrorMessage="1" errorTitle="An invalid feedback was entered" error="Please choose feedback from drop down only.">
      <formula1>"Yes,No,SASU,SASU/SASA,DCS/UMTS2100share,78210440,78211110,78210510,DTMA UMTS 12 ASIG,78211106,78210312,TMA 900 Tower amplifier,TMA900,MI-15832,MI-16331,MI-12731,MI-12031,N/A,Unknown,None"</formula1>
    </dataValidation>
  </dataValidations>
  <pageMargins left="0.7" right="0.7" top="0.75" bottom="0.75" header="0.3" footer="0.3"/>
  <pageSetup orientation="portrait"/>
  <headerFooter/>
  <extLst>
    <ext xmlns:x14="http://schemas.microsoft.com/office/spreadsheetml/2009/9/main" uri="{CCE6A557-97BC-4b89-ADB6-D9C93CAAB3DF}">
      <x14:dataValidations xmlns:xm="http://schemas.microsoft.com/office/excel/2006/main" count="60">
        <x14:dataValidation type="list" xr:uid="{73C85D86-4496-402D-925F-CD351C1C07E6}" error="Please choose feedback from drop down only." errorTitle="An invalid feedback was entered" showErrorMessage="1">
          <x14:formula1>
            <xm:f>Antennas!A:A</xm:f>
          </x14:formula1>
          <xm:sqref>C8</xm:sqref>
        </x14:dataValidation>
        <x14:dataValidation type="list" xr:uid="{7AA51D17-FFE1-4CFC-85BA-C8992BCF85F3}" error="Please choose feedback from drop down only." errorTitle="An invalid feedback was entered" showErrorMessage="1">
          <x14:formula1>
            <xm:f>Antennas!A:A</xm:f>
          </x14:formula1>
          <xm:sqref>D8</xm:sqref>
        </x14:dataValidation>
        <x14:dataValidation type="list" xr:uid="{0D78041D-3A5D-4BA7-AA4E-182CAAAB6CF4}" error="Please choose feedback from drop down only." errorTitle="An invalid feedback was entered" showErrorMessage="1">
          <x14:formula1>
            <xm:f>Antennas!A:A</xm:f>
          </x14:formula1>
          <xm:sqref>E8</xm:sqref>
        </x14:dataValidation>
        <x14:dataValidation type="list" xr:uid="{41C6DECB-E4DF-459C-BBF2-973A3C03F693}" error="Please choose feedback from drop down only." errorTitle="An invalid feedback was entered" showErrorMessage="1">
          <x14:formula1>
            <xm:f>Antennas!A:A</xm:f>
          </x14:formula1>
          <xm:sqref>F8</xm:sqref>
        </x14:dataValidation>
        <x14:dataValidation type="list" xr:uid="{20FB2DFF-91AF-4682-B4A3-E3DD58876F2C}" error="Please choose feedback from drop down only." errorTitle="An invalid feedback was entered" showErrorMessage="1">
          <x14:formula1>
            <xm:f>Antennas!A:A</xm:f>
          </x14:formula1>
          <xm:sqref>G8</xm:sqref>
        </x14:dataValidation>
        <x14:dataValidation type="list" xr:uid="{947C65AD-1738-4CC4-A3E6-6FE906481F0F}" error="Please choose feedback from drop down only." errorTitle="An invalid feedback was entered" showErrorMessage="1">
          <x14:formula1>
            <xm:f>Antennas!A:A</xm:f>
          </x14:formula1>
          <xm:sqref>H8</xm:sqref>
        </x14:dataValidation>
        <x14:dataValidation type="list" xr:uid="{F1CFFF01-20C8-42FE-B18A-EB42C487C2C8}" error="Please choose feedback from drop down only." errorTitle="An invalid feedback was entered" showErrorMessage="1">
          <x14:formula1>
            <xm:f>Antennas!A:A</xm:f>
          </x14:formula1>
          <xm:sqref>I8</xm:sqref>
        </x14:dataValidation>
        <x14:dataValidation type="list" xr:uid="{862F5D84-7C47-407D-9210-691C0BC05230}" error="Please choose feedback from drop down only." errorTitle="An invalid feedback was entered" showErrorMessage="1">
          <x14:formula1>
            <xm:f>Antennas!A:A</xm:f>
          </x14:formula1>
          <xm:sqref>J8</xm:sqref>
        </x14:dataValidation>
        <x14:dataValidation type="list" xr:uid="{4C532E2D-0177-4A80-9F5A-625B73C2BBBA}" error="Please choose feedback from drop down only." errorTitle="An invalid feedback was entered" showErrorMessage="1">
          <x14:formula1>
            <xm:f>Antennas!A:A</xm:f>
          </x14:formula1>
          <xm:sqref>K8</xm:sqref>
        </x14:dataValidation>
        <x14:dataValidation type="list" xr:uid="{96B7077E-B1E0-4006-B0E1-385589513A84}" error="Please choose feedback from drop down only." errorTitle="An invalid feedback was entered" showErrorMessage="1">
          <x14:formula1>
            <xm:f>Antennas!A:A</xm:f>
          </x14:formula1>
          <xm:sqref>L8</xm:sqref>
        </x14:dataValidation>
        <x14:dataValidation type="list" xr:uid="{70FE39FE-2FDB-4E4C-AB6D-64681F39FF96}" error="Please choose feedback from drop down only." errorTitle="An invalid feedback was entered" showErrorMessage="1">
          <x14:formula1>
            <xm:f>Antennas!A:A</xm:f>
          </x14:formula1>
          <xm:sqref>M8</xm:sqref>
        </x14:dataValidation>
        <x14:dataValidation type="list" xr:uid="{F1FF6323-B87C-4279-94A1-44707D0FA0E1}" error="Please choose feedback from drop down only." errorTitle="An invalid feedback was entered" showErrorMessage="1">
          <x14:formula1>
            <xm:f>Antennas!A:A</xm:f>
          </x14:formula1>
          <xm:sqref>N8</xm:sqref>
        </x14:dataValidation>
        <x14:dataValidation type="list" xr:uid="{EC48B76D-F667-49E4-A7C9-141283AFCEED}" error="Please choose feedback from drop down only." errorTitle="An invalid feedback was entered" showErrorMessage="1">
          <x14:formula1>
            <xm:f>Antennas!A:A</xm:f>
          </x14:formula1>
          <xm:sqref>O8</xm:sqref>
        </x14:dataValidation>
        <x14:dataValidation type="list" xr:uid="{3975F718-095B-4458-84AE-E5D49E45F245}" error="Please choose feedback from drop down only." errorTitle="An invalid feedback was entered" showErrorMessage="1">
          <x14:formula1>
            <xm:f>Antennas!A:A</xm:f>
          </x14:formula1>
          <xm:sqref>P8</xm:sqref>
        </x14:dataValidation>
        <x14:dataValidation type="list" xr:uid="{A3F9F65F-8A59-459B-9F66-32EC3B5CB6F3}" error="Please choose feedback from drop down only." errorTitle="An invalid feedback was entered" showErrorMessage="1">
          <x14:formula1>
            <xm:f>Antennas!A:A</xm:f>
          </x14:formula1>
          <xm:sqref>Q8</xm:sqref>
        </x14:dataValidation>
        <x14:dataValidation type="list" xr:uid="{730CF6F1-7A21-44DC-A4C5-119DF41044ED}" error="Please choose feedback from drop down only." errorTitle="An invalid feedback was entered" showErrorMessage="1">
          <x14:formula1>
            <xm:f>Combiners!A:A</xm:f>
          </x14:formula1>
          <xm:sqref>C39</xm:sqref>
        </x14:dataValidation>
        <x14:dataValidation type="list" xr:uid="{584AC3CD-CF9A-4518-B934-21C1AA6FFE85}" error="Please choose feedback from drop down only." errorTitle="An invalid feedback was entered" showErrorMessage="1">
          <x14:formula1>
            <xm:f>Combiners!A:A</xm:f>
          </x14:formula1>
          <xm:sqref>D39</xm:sqref>
        </x14:dataValidation>
        <x14:dataValidation type="list" xr:uid="{DB0B8E9F-B4C0-4D8E-818F-66909341FE0E}" error="Please choose feedback from drop down only." errorTitle="An invalid feedback was entered" showErrorMessage="1">
          <x14:formula1>
            <xm:f>Combiners!A:A</xm:f>
          </x14:formula1>
          <xm:sqref>E39</xm:sqref>
        </x14:dataValidation>
        <x14:dataValidation type="list" xr:uid="{EF8EB030-6EC5-4B68-B54A-7AA155C01041}" error="Please choose feedback from drop down only." errorTitle="An invalid feedback was entered" showErrorMessage="1">
          <x14:formula1>
            <xm:f>Combiners!A:A</xm:f>
          </x14:formula1>
          <xm:sqref>F39</xm:sqref>
        </x14:dataValidation>
        <x14:dataValidation type="list" xr:uid="{61226748-CB29-4583-BF69-395F68FF0BC3}" error="Please choose feedback from drop down only." errorTitle="An invalid feedback was entered" showErrorMessage="1">
          <x14:formula1>
            <xm:f>Combiners!A:A</xm:f>
          </x14:formula1>
          <xm:sqref>G39</xm:sqref>
        </x14:dataValidation>
        <x14:dataValidation type="list" xr:uid="{617F7087-9335-442D-B842-12EE331C8B17}" error="Please choose feedback from drop down only." errorTitle="An invalid feedback was entered" showErrorMessage="1">
          <x14:formula1>
            <xm:f>Combiners!A:A</xm:f>
          </x14:formula1>
          <xm:sqref>H39</xm:sqref>
        </x14:dataValidation>
        <x14:dataValidation type="list" xr:uid="{ACBFA59E-882D-4C79-85B6-F3046EAB53E0}" error="Please choose feedback from drop down only." errorTitle="An invalid feedback was entered" showErrorMessage="1">
          <x14:formula1>
            <xm:f>Combiners!A:A</xm:f>
          </x14:formula1>
          <xm:sqref>I39</xm:sqref>
        </x14:dataValidation>
        <x14:dataValidation type="list" xr:uid="{05056DEF-1CE1-41B6-81B8-8077C68B8C01}" error="Please choose feedback from drop down only." errorTitle="An invalid feedback was entered" showErrorMessage="1">
          <x14:formula1>
            <xm:f>Combiners!A:A</xm:f>
          </x14:formula1>
          <xm:sqref>J39</xm:sqref>
        </x14:dataValidation>
        <x14:dataValidation type="list" xr:uid="{A922B7B1-DB5E-4ED6-8F71-1AC175C926DE}" error="Please choose feedback from drop down only." errorTitle="An invalid feedback was entered" showErrorMessage="1">
          <x14:formula1>
            <xm:f>Combiners!A:A</xm:f>
          </x14:formula1>
          <xm:sqref>K39</xm:sqref>
        </x14:dataValidation>
        <x14:dataValidation type="list" xr:uid="{FA92261A-A18D-456C-8705-DEFDAEB4F86D}" error="Please choose feedback from drop down only." errorTitle="An invalid feedback was entered" showErrorMessage="1">
          <x14:formula1>
            <xm:f>Combiners!A:A</xm:f>
          </x14:formula1>
          <xm:sqref>L39</xm:sqref>
        </x14:dataValidation>
        <x14:dataValidation type="list" xr:uid="{10569239-8EBB-4144-B8FE-48995540FDA1}" error="Please choose feedback from drop down only." errorTitle="An invalid feedback was entered" showErrorMessage="1">
          <x14:formula1>
            <xm:f>Combiners!A:A</xm:f>
          </x14:formula1>
          <xm:sqref>M39</xm:sqref>
        </x14:dataValidation>
        <x14:dataValidation type="list" xr:uid="{B7201EFD-E685-49BA-B907-BF065109BB44}" error="Please choose feedback from drop down only." errorTitle="An invalid feedback was entered" showErrorMessage="1">
          <x14:formula1>
            <xm:f>Combiners!A:A</xm:f>
          </x14:formula1>
          <xm:sqref>N39</xm:sqref>
        </x14:dataValidation>
        <x14:dataValidation type="list" xr:uid="{83402E2D-2F22-4921-A675-9AD720A57EF0}" error="Please choose feedback from drop down only." errorTitle="An invalid feedback was entered" showErrorMessage="1">
          <x14:formula1>
            <xm:f>Combiners!A:A</xm:f>
          </x14:formula1>
          <xm:sqref>O39</xm:sqref>
        </x14:dataValidation>
        <x14:dataValidation type="list" xr:uid="{6AA3D97A-9E11-4745-A96E-405127E1FFEC}" error="Please choose feedback from drop down only." errorTitle="An invalid feedback was entered" showErrorMessage="1">
          <x14:formula1>
            <xm:f>Combiners!A:A</xm:f>
          </x14:formula1>
          <xm:sqref>P39</xm:sqref>
        </x14:dataValidation>
        <x14:dataValidation type="list" xr:uid="{4A14FE7D-AC20-43B6-B9A5-4ADDC66BAB97}" error="Please choose feedback from drop down only." errorTitle="An invalid feedback was entered" showErrorMessage="1">
          <x14:formula1>
            <xm:f>Combiners!A:A</xm:f>
          </x14:formula1>
          <xm:sqref>Q39</xm:sqref>
        </x14:dataValidation>
        <x14:dataValidation type="list" xr:uid="{785CFFE8-1DCE-4C76-8A7D-7DA7920C7460}" error="Please choose feedback from drop down only." errorTitle="An invalid feedback was entered" showErrorMessage="0">
          <x14:formula1>
            <xm:f>RRUs!A:A</xm:f>
          </x14:formula1>
          <xm:sqref>C35</xm:sqref>
        </x14:dataValidation>
        <x14:dataValidation type="list" xr:uid="{6289EA67-81FD-42C1-A34A-DC2C6EC7E124}" error="Please choose feedback from drop down only." errorTitle="An invalid feedback was entered" showErrorMessage="0">
          <x14:formula1>
            <xm:f>RRUs!A:A</xm:f>
          </x14:formula1>
          <xm:sqref>D35</xm:sqref>
        </x14:dataValidation>
        <x14:dataValidation type="list" xr:uid="{8060D865-5545-4EB3-A58E-06B3AC0DDC19}" error="Please choose feedback from drop down only." errorTitle="An invalid feedback was entered" showErrorMessage="0">
          <x14:formula1>
            <xm:f>RRUs!A:A</xm:f>
          </x14:formula1>
          <xm:sqref>E35</xm:sqref>
        </x14:dataValidation>
        <x14:dataValidation type="list" xr:uid="{2D0BFC2E-1130-4774-B020-62F3C2FFC088}" error="Please choose feedback from drop down only." errorTitle="An invalid feedback was entered" showErrorMessage="0">
          <x14:formula1>
            <xm:f>RRUs!A:A</xm:f>
          </x14:formula1>
          <xm:sqref>F35</xm:sqref>
        </x14:dataValidation>
        <x14:dataValidation type="list" xr:uid="{A92E9E0C-AB0C-486C-B430-48DF378B1F21}" error="Please choose feedback from drop down only." errorTitle="An invalid feedback was entered" showErrorMessage="0">
          <x14:formula1>
            <xm:f>RRUs!A:A</xm:f>
          </x14:formula1>
          <xm:sqref>G35</xm:sqref>
        </x14:dataValidation>
        <x14:dataValidation type="list" xr:uid="{E2C5E256-43A9-430F-9E64-5524BEC2912F}" error="Please choose feedback from drop down only." errorTitle="An invalid feedback was entered" showErrorMessage="0">
          <x14:formula1>
            <xm:f>RRUs!A:A</xm:f>
          </x14:formula1>
          <xm:sqref>H35</xm:sqref>
        </x14:dataValidation>
        <x14:dataValidation type="list" xr:uid="{FE5D2FFB-AD58-40BE-B1D1-0093366DB845}" error="Please choose feedback from drop down only." errorTitle="An invalid feedback was entered" showErrorMessage="0">
          <x14:formula1>
            <xm:f>RRUs!A:A</xm:f>
          </x14:formula1>
          <xm:sqref>I35</xm:sqref>
        </x14:dataValidation>
        <x14:dataValidation type="list" xr:uid="{0B66C122-59CD-4E76-B819-D09AE6C7F086}" error="Please choose feedback from drop down only." errorTitle="An invalid feedback was entered" showErrorMessage="0">
          <x14:formula1>
            <xm:f>RRUs!A:A</xm:f>
          </x14:formula1>
          <xm:sqref>J35</xm:sqref>
        </x14:dataValidation>
        <x14:dataValidation type="list" xr:uid="{8BD9B051-3F6E-4A22-BD91-A6FA50F804A0}" error="Please choose feedback from drop down only." errorTitle="An invalid feedback was entered" showErrorMessage="0">
          <x14:formula1>
            <xm:f>RRUs!A:A</xm:f>
          </x14:formula1>
          <xm:sqref>K35</xm:sqref>
        </x14:dataValidation>
        <x14:dataValidation type="list" xr:uid="{FFA57AF0-DACE-4280-8A56-C3F25C9F8761}" error="Please choose feedback from drop down only." errorTitle="An invalid feedback was entered" showErrorMessage="0">
          <x14:formula1>
            <xm:f>RRUs!A:A</xm:f>
          </x14:formula1>
          <xm:sqref>L35</xm:sqref>
        </x14:dataValidation>
        <x14:dataValidation type="list" xr:uid="{3ACA6DD2-D2F9-4B59-B759-BC4A882F6DC5}" error="Please choose feedback from drop down only." errorTitle="An invalid feedback was entered" showErrorMessage="0">
          <x14:formula1>
            <xm:f>RRUs!A:A</xm:f>
          </x14:formula1>
          <xm:sqref>M35</xm:sqref>
        </x14:dataValidation>
        <x14:dataValidation type="list" xr:uid="{17FB7D15-DD52-4146-8EB2-9F7AF11106CD}" error="Please choose feedback from drop down only." errorTitle="An invalid feedback was entered" showErrorMessage="0">
          <x14:formula1>
            <xm:f>RRUs!A:A</xm:f>
          </x14:formula1>
          <xm:sqref>N35</xm:sqref>
        </x14:dataValidation>
        <x14:dataValidation type="list" xr:uid="{F5656FCA-5E31-4C63-9AB5-F010A61DB0C7}" error="Please choose feedback from drop down only." errorTitle="An invalid feedback was entered" showErrorMessage="0">
          <x14:formula1>
            <xm:f>RRUs!A:A</xm:f>
          </x14:formula1>
          <xm:sqref>O35</xm:sqref>
        </x14:dataValidation>
        <x14:dataValidation type="list" xr:uid="{4711F999-24E1-4AAD-8C27-158ED63B9FC8}" error="Please choose feedback from drop down only." errorTitle="An invalid feedback was entered" showErrorMessage="0">
          <x14:formula1>
            <xm:f>RRUs!A:A</xm:f>
          </x14:formula1>
          <xm:sqref>P35</xm:sqref>
        </x14:dataValidation>
        <x14:dataValidation type="list" xr:uid="{4888E899-89B8-4E9E-952C-BE16451F2ECC}" error="Please choose feedback from drop down only." errorTitle="An invalid feedback was entered" showErrorMessage="0">
          <x14:formula1>
            <xm:f>RRUs!A:A</xm:f>
          </x14:formula1>
          <xm:sqref>Q35</xm:sqref>
        </x14:dataValidation>
        <x14:dataValidation type="list" xr:uid="{DD8C31E2-0129-4C1F-9F32-6A32DBB2FE9E}" error="Please choose feedback from drop down only." errorTitle="An invalid feedback was entered" showErrorMessage="1">
          <x14:formula1>
            <xm:f>Combiners!A:A</xm:f>
          </x14:formula1>
          <xm:sqref>C41</xm:sqref>
        </x14:dataValidation>
        <x14:dataValidation type="list" xr:uid="{D74A9D2B-4F24-41D6-A219-F48F47798525}" error="Please choose feedback from drop down only." errorTitle="An invalid feedback was entered" showErrorMessage="1">
          <x14:formula1>
            <xm:f>Combiners!A:A</xm:f>
          </x14:formula1>
          <xm:sqref>D41</xm:sqref>
        </x14:dataValidation>
        <x14:dataValidation type="list" xr:uid="{303ADC36-FFDA-4272-9E41-BC34C33574B7}" error="Please choose feedback from drop down only." errorTitle="An invalid feedback was entered" showErrorMessage="1">
          <x14:formula1>
            <xm:f>Combiners!A:A</xm:f>
          </x14:formula1>
          <xm:sqref>E41</xm:sqref>
        </x14:dataValidation>
        <x14:dataValidation type="list" xr:uid="{1AFA11C7-3A71-4DA8-A946-A1834AA823D9}" error="Please choose feedback from drop down only." errorTitle="An invalid feedback was entered" showErrorMessage="1">
          <x14:formula1>
            <xm:f>Combiners!A:A</xm:f>
          </x14:formula1>
          <xm:sqref>F41</xm:sqref>
        </x14:dataValidation>
        <x14:dataValidation type="list" xr:uid="{EC39AFFF-F41A-4992-A21E-B1B3BDE2E42F}" error="Please choose feedback from drop down only." errorTitle="An invalid feedback was entered" showErrorMessage="1">
          <x14:formula1>
            <xm:f>Combiners!A:A</xm:f>
          </x14:formula1>
          <xm:sqref>G41</xm:sqref>
        </x14:dataValidation>
        <x14:dataValidation type="list" xr:uid="{3509B74B-8C85-4E13-BB93-4685EC5EA9EE}" error="Please choose feedback from drop down only." errorTitle="An invalid feedback was entered" showErrorMessage="1">
          <x14:formula1>
            <xm:f>Combiners!A:A</xm:f>
          </x14:formula1>
          <xm:sqref>H41</xm:sqref>
        </x14:dataValidation>
        <x14:dataValidation type="list" xr:uid="{71DF2E0C-4109-4D51-976E-E70C6F2729CE}" error="Please choose feedback from drop down only." errorTitle="An invalid feedback was entered" showErrorMessage="1">
          <x14:formula1>
            <xm:f>Combiners!A:A</xm:f>
          </x14:formula1>
          <xm:sqref>I41</xm:sqref>
        </x14:dataValidation>
        <x14:dataValidation type="list" xr:uid="{218B693B-E821-4646-A12A-C1F6EDD8407B}" error="Please choose feedback from drop down only." errorTitle="An invalid feedback was entered" showErrorMessage="1">
          <x14:formula1>
            <xm:f>Combiners!A:A</xm:f>
          </x14:formula1>
          <xm:sqref>J41</xm:sqref>
        </x14:dataValidation>
        <x14:dataValidation type="list" xr:uid="{D526EE41-A140-429A-A492-731BE2F14F61}" error="Please choose feedback from drop down only." errorTitle="An invalid feedback was entered" showErrorMessage="1">
          <x14:formula1>
            <xm:f>Combiners!A:A</xm:f>
          </x14:formula1>
          <xm:sqref>K41</xm:sqref>
        </x14:dataValidation>
        <x14:dataValidation type="list" xr:uid="{032BCECA-FC58-4776-B547-31EF49C2AF44}" error="Please choose feedback from drop down only." errorTitle="An invalid feedback was entered" showErrorMessage="1">
          <x14:formula1>
            <xm:f>Combiners!A:A</xm:f>
          </x14:formula1>
          <xm:sqref>L41</xm:sqref>
        </x14:dataValidation>
        <x14:dataValidation type="list" xr:uid="{AEC91DB5-4D09-420E-A97B-16E57CD99E96}" error="Please choose feedback from drop down only." errorTitle="An invalid feedback was entered" showErrorMessage="1">
          <x14:formula1>
            <xm:f>Combiners!A:A</xm:f>
          </x14:formula1>
          <xm:sqref>M41</xm:sqref>
        </x14:dataValidation>
        <x14:dataValidation type="list" xr:uid="{7BC83F92-04DE-4F97-A87A-BAA2DC582595}" error="Please choose feedback from drop down only." errorTitle="An invalid feedback was entered" showErrorMessage="1">
          <x14:formula1>
            <xm:f>Combiners!A:A</xm:f>
          </x14:formula1>
          <xm:sqref>N41</xm:sqref>
        </x14:dataValidation>
        <x14:dataValidation type="list" xr:uid="{434E1717-704B-4FB4-A11A-3EA5E73C13B1}" error="Please choose feedback from drop down only." errorTitle="An invalid feedback was entered" showErrorMessage="1">
          <x14:formula1>
            <xm:f>Combiners!A:A</xm:f>
          </x14:formula1>
          <xm:sqref>O41</xm:sqref>
        </x14:dataValidation>
        <x14:dataValidation type="list" xr:uid="{062587F3-8AB0-4EFE-9E2D-3C8086C34186}" error="Please choose feedback from drop down only." errorTitle="An invalid feedback was entered" showErrorMessage="1">
          <x14:formula1>
            <xm:f>Combiners!A:A</xm:f>
          </x14:formula1>
          <xm:sqref>P41</xm:sqref>
        </x14:dataValidation>
        <x14:dataValidation type="list" xr:uid="{6CC5FDAD-D63A-4F36-A261-1AC5BFA1226A}" error="Please choose feedback from drop down only." errorTitle="An invalid feedback was entered" showErrorMessage="1">
          <x14:formula1>
            <xm:f>Combiners!A:A</xm:f>
          </x14:formula1>
          <xm:sqref>Q41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1"/>
  <dimension ref="A1:H240"/>
  <sheetViews>
    <sheetView tabSelected="1" topLeftCell="A139" workbookViewId="0">
      <selection activeCell="C157" sqref="C157"/>
    </sheetView>
  </sheetViews>
  <sheetFormatPr defaultColWidth="8.86328125" defaultRowHeight="12.75"/>
  <cols>
    <col min="1" max="1" bestFit="1" width="44.1328125" customWidth="1" style="21"/>
    <col min="2" max="2" bestFit="1" width="8.19921875" customWidth="1" style="21"/>
    <col min="3" max="3" bestFit="1" width="63.3984375" customWidth="1" style="21"/>
    <col min="4" max="4" bestFit="1" width="8.796875" customWidth="1" style="21"/>
    <col min="5" max="16384" width="8.86328125" customWidth="1" style="21"/>
  </cols>
  <sheetData>
    <row r="1" ht="14.65">
      <c r="A1" s="144"/>
      <c r="B1" s="145" t="s">
        <v>577</v>
      </c>
      <c r="C1" s="146" t="s">
        <v>578</v>
      </c>
      <c r="D1" s="147" t="s">
        <v>579</v>
      </c>
    </row>
    <row r="2" ht="14.25">
      <c r="A2" s="148" t="s">
        <v>580</v>
      </c>
      <c r="B2" s="149">
        <v>10026893</v>
      </c>
      <c r="C2" s="150" t="s">
        <v>581</v>
      </c>
      <c r="D2" s="151"/>
    </row>
    <row r="3" ht="14.25">
      <c r="A3" s="152" t="s">
        <v>580</v>
      </c>
      <c r="B3" s="153">
        <v>10027419</v>
      </c>
      <c r="C3" s="154" t="s">
        <v>582</v>
      </c>
      <c r="D3" s="155"/>
    </row>
    <row r="4" ht="14.25">
      <c r="A4" s="152" t="s">
        <v>580</v>
      </c>
      <c r="B4" s="153">
        <v>10026032</v>
      </c>
      <c r="C4" s="154" t="s">
        <v>583</v>
      </c>
      <c r="D4" s="155"/>
    </row>
    <row r="5" ht="14.25">
      <c r="A5" s="152" t="s">
        <v>580</v>
      </c>
      <c r="B5" s="153">
        <v>10026035</v>
      </c>
      <c r="C5" s="154" t="s">
        <v>584</v>
      </c>
      <c r="D5" s="155"/>
    </row>
    <row r="6" ht="14.65">
      <c r="A6" s="156" t="s">
        <v>580</v>
      </c>
      <c r="B6" s="157">
        <v>10027363</v>
      </c>
      <c r="C6" s="158" t="s">
        <v>585</v>
      </c>
      <c r="D6" s="159"/>
    </row>
    <row r="7" ht="14.25">
      <c r="A7" s="148" t="s">
        <v>586</v>
      </c>
      <c r="B7" s="149">
        <v>10027278</v>
      </c>
      <c r="C7" s="150" t="s">
        <v>587</v>
      </c>
      <c r="D7" s="151"/>
    </row>
    <row r="8" ht="14.25">
      <c r="A8" s="152" t="s">
        <v>588</v>
      </c>
      <c r="B8" s="153">
        <v>10027361</v>
      </c>
      <c r="C8" s="154" t="s">
        <v>589</v>
      </c>
      <c r="D8" s="155"/>
    </row>
    <row r="9" ht="14.65">
      <c r="A9" s="156" t="s">
        <v>590</v>
      </c>
      <c r="B9" s="157">
        <v>10027360</v>
      </c>
      <c r="C9" s="158" t="s">
        <v>591</v>
      </c>
      <c r="D9" s="159"/>
    </row>
    <row r="10" ht="14.25">
      <c r="A10" s="148" t="s">
        <v>592</v>
      </c>
      <c r="B10" s="149">
        <v>10027352</v>
      </c>
      <c r="C10" s="150" t="s">
        <v>593</v>
      </c>
      <c r="D10" s="151"/>
    </row>
    <row r="11" ht="14.25">
      <c r="A11" s="152" t="s">
        <v>592</v>
      </c>
      <c r="B11" s="153">
        <v>10027510</v>
      </c>
      <c r="C11" s="154" t="s">
        <v>594</v>
      </c>
      <c r="D11" s="155"/>
    </row>
    <row r="12" ht="14.25">
      <c r="A12" s="152" t="s">
        <v>592</v>
      </c>
      <c r="B12" s="153">
        <v>10027508</v>
      </c>
      <c r="C12" s="154" t="s">
        <v>595</v>
      </c>
      <c r="D12" s="155"/>
    </row>
    <row r="13" ht="14.25">
      <c r="A13" s="152" t="s">
        <v>596</v>
      </c>
      <c r="B13" s="153">
        <v>10027269</v>
      </c>
      <c r="C13" s="154" t="s">
        <v>200</v>
      </c>
      <c r="D13" s="155"/>
    </row>
    <row r="14" ht="14.25">
      <c r="A14" s="152" t="s">
        <v>597</v>
      </c>
      <c r="B14" s="153">
        <v>10029116</v>
      </c>
      <c r="C14" s="154" t="s">
        <v>242</v>
      </c>
      <c r="D14" s="155"/>
    </row>
    <row r="15" ht="14.25">
      <c r="A15" s="152" t="s">
        <v>208</v>
      </c>
      <c r="B15" s="153">
        <v>10031384</v>
      </c>
      <c r="C15" s="154" t="s">
        <v>208</v>
      </c>
      <c r="D15" s="155"/>
    </row>
    <row r="16" ht="14.25">
      <c r="A16" s="152" t="s">
        <v>199</v>
      </c>
      <c r="B16" s="153">
        <v>10031147</v>
      </c>
      <c r="C16" s="154" t="s">
        <v>598</v>
      </c>
      <c r="D16" s="155"/>
    </row>
    <row r="17" ht="14.25">
      <c r="A17" s="152" t="s">
        <v>199</v>
      </c>
      <c r="B17" s="153">
        <v>10031386</v>
      </c>
      <c r="C17" s="154" t="s">
        <v>599</v>
      </c>
      <c r="D17" s="155"/>
    </row>
    <row r="18" ht="14.25">
      <c r="A18" s="152" t="s">
        <v>199</v>
      </c>
      <c r="B18" s="153">
        <v>10022756</v>
      </c>
      <c r="C18" s="154" t="s">
        <v>600</v>
      </c>
      <c r="D18" s="155"/>
    </row>
    <row r="19" ht="14.25">
      <c r="A19" s="152" t="s">
        <v>199</v>
      </c>
      <c r="B19" s="153">
        <v>10022753</v>
      </c>
      <c r="C19" s="154" t="s">
        <v>601</v>
      </c>
      <c r="D19" s="155"/>
    </row>
    <row r="20" ht="14.25">
      <c r="A20" s="152" t="s">
        <v>199</v>
      </c>
      <c r="B20" s="153">
        <v>10022754</v>
      </c>
      <c r="C20" s="154" t="s">
        <v>602</v>
      </c>
      <c r="D20" s="155"/>
    </row>
    <row r="21" ht="14.25">
      <c r="A21" s="152" t="s">
        <v>199</v>
      </c>
      <c r="B21" s="153">
        <v>10022757</v>
      </c>
      <c r="C21" s="154" t="s">
        <v>603</v>
      </c>
      <c r="D21" s="155"/>
    </row>
    <row r="22" ht="14.25">
      <c r="A22" s="152" t="s">
        <v>199</v>
      </c>
      <c r="B22" s="153">
        <v>10026413</v>
      </c>
      <c r="C22" s="154" t="s">
        <v>220</v>
      </c>
      <c r="D22" s="155"/>
    </row>
    <row r="23" ht="14.25">
      <c r="A23" s="152" t="s">
        <v>199</v>
      </c>
      <c r="B23" s="153">
        <v>10027273</v>
      </c>
      <c r="C23" s="154" t="s">
        <v>214</v>
      </c>
      <c r="D23" s="155"/>
    </row>
    <row r="24" ht="14.25">
      <c r="A24" s="152" t="s">
        <v>604</v>
      </c>
      <c r="B24" s="153">
        <v>10025643</v>
      </c>
      <c r="C24" s="154" t="s">
        <v>605</v>
      </c>
      <c r="D24" s="155"/>
    </row>
    <row r="25" ht="14.25">
      <c r="A25" s="152" t="s">
        <v>606</v>
      </c>
      <c r="B25" s="153">
        <v>10028663</v>
      </c>
      <c r="C25" s="154" t="s">
        <v>232</v>
      </c>
      <c r="D25" s="155"/>
    </row>
    <row r="26" ht="14.25">
      <c r="A26" s="152" t="s">
        <v>607</v>
      </c>
      <c r="B26" s="153">
        <v>10031088</v>
      </c>
      <c r="C26" s="154" t="s">
        <v>184</v>
      </c>
      <c r="D26" s="155"/>
    </row>
    <row r="27" ht="14.25">
      <c r="A27" s="152" t="s">
        <v>607</v>
      </c>
      <c r="B27" s="153">
        <v>10031387</v>
      </c>
      <c r="C27" s="154" t="s">
        <v>608</v>
      </c>
      <c r="D27" s="155"/>
    </row>
    <row r="28" ht="14.25">
      <c r="A28" s="152" t="s">
        <v>609</v>
      </c>
      <c r="B28" s="153">
        <v>10027270</v>
      </c>
      <c r="C28" s="154" t="s">
        <v>610</v>
      </c>
      <c r="D28" s="155"/>
    </row>
    <row r="29" ht="14.25">
      <c r="A29" s="152" t="s">
        <v>609</v>
      </c>
      <c r="B29" s="153">
        <v>10022130</v>
      </c>
      <c r="C29" s="154" t="s">
        <v>237</v>
      </c>
      <c r="D29" s="155"/>
    </row>
    <row r="30" ht="14.25">
      <c r="A30" s="152" t="s">
        <v>609</v>
      </c>
      <c r="B30" s="153">
        <v>10024385</v>
      </c>
      <c r="C30" s="154" t="s">
        <v>240</v>
      </c>
      <c r="D30" s="155"/>
    </row>
    <row r="31" ht="14.25">
      <c r="A31" s="152" t="s">
        <v>609</v>
      </c>
      <c r="B31" s="153">
        <v>10027340</v>
      </c>
      <c r="C31" s="154" t="s">
        <v>187</v>
      </c>
      <c r="D31" s="155"/>
    </row>
    <row r="32" ht="14.25">
      <c r="A32" s="152" t="s">
        <v>609</v>
      </c>
      <c r="B32" s="153">
        <v>10027271</v>
      </c>
      <c r="C32" s="154" t="s">
        <v>190</v>
      </c>
      <c r="D32" s="155"/>
    </row>
    <row r="33" ht="14.25">
      <c r="A33" s="160" t="s">
        <v>609</v>
      </c>
      <c r="B33" s="153">
        <v>10026709</v>
      </c>
      <c r="C33" s="154" t="s">
        <v>193</v>
      </c>
      <c r="D33" s="155"/>
    </row>
    <row r="34" ht="14.25">
      <c r="A34" s="160" t="s">
        <v>609</v>
      </c>
      <c r="B34" s="153">
        <v>10031393</v>
      </c>
      <c r="C34" s="154" t="s">
        <v>611</v>
      </c>
      <c r="D34" s="155"/>
    </row>
    <row r="35" ht="14.25">
      <c r="A35" s="160" t="s">
        <v>609</v>
      </c>
      <c r="B35" s="153">
        <v>10031089</v>
      </c>
      <c r="C35" s="154" t="s">
        <v>612</v>
      </c>
      <c r="D35" s="155"/>
    </row>
    <row r="36" ht="14.65">
      <c r="A36" s="161" t="s">
        <v>609</v>
      </c>
      <c r="B36" s="162">
        <v>10031385</v>
      </c>
      <c r="C36" s="163" t="s">
        <v>196</v>
      </c>
      <c r="D36" s="164"/>
    </row>
    <row r="37" ht="14.65">
      <c r="A37" s="165" t="s">
        <v>613</v>
      </c>
      <c r="B37" s="166">
        <v>10027656</v>
      </c>
      <c r="C37" s="167" t="s">
        <v>614</v>
      </c>
      <c r="D37" s="168"/>
    </row>
    <row r="38" ht="14.25">
      <c r="A38" s="148" t="s">
        <v>615</v>
      </c>
      <c r="B38" s="149">
        <v>10026879</v>
      </c>
      <c r="C38" s="150" t="s">
        <v>616</v>
      </c>
      <c r="D38" s="151"/>
    </row>
    <row r="39" ht="14.25">
      <c r="A39" s="169" t="s">
        <v>615</v>
      </c>
      <c r="B39" s="170"/>
      <c r="C39" s="171" t="s">
        <v>617</v>
      </c>
      <c r="D39" s="172"/>
    </row>
    <row r="40" ht="14.25">
      <c r="A40" s="169" t="s">
        <v>615</v>
      </c>
      <c r="B40" s="170"/>
      <c r="C40" s="171" t="s">
        <v>277</v>
      </c>
      <c r="D40" s="172"/>
    </row>
    <row r="41" ht="14.25">
      <c r="A41" s="169" t="s">
        <v>615</v>
      </c>
      <c r="B41" s="170"/>
      <c r="C41" s="171" t="s">
        <v>278</v>
      </c>
      <c r="D41" s="172"/>
    </row>
    <row r="42" ht="14.25">
      <c r="A42" s="152" t="s">
        <v>615</v>
      </c>
      <c r="B42" s="153">
        <v>10026880</v>
      </c>
      <c r="C42" s="154" t="s">
        <v>618</v>
      </c>
      <c r="D42" s="155"/>
    </row>
    <row r="43" ht="14.25">
      <c r="A43" s="152" t="s">
        <v>615</v>
      </c>
      <c r="B43" s="153">
        <v>10026881</v>
      </c>
      <c r="C43" s="154" t="s">
        <v>619</v>
      </c>
      <c r="D43" s="155"/>
    </row>
    <row r="44" ht="14.25">
      <c r="A44" s="152" t="s">
        <v>615</v>
      </c>
      <c r="B44" s="153">
        <v>10026882</v>
      </c>
      <c r="C44" s="154" t="s">
        <v>620</v>
      </c>
      <c r="D44" s="155"/>
    </row>
    <row r="45" ht="14.25">
      <c r="A45" s="152" t="s">
        <v>615</v>
      </c>
      <c r="B45" s="153">
        <v>10026883</v>
      </c>
      <c r="C45" s="154" t="s">
        <v>621</v>
      </c>
      <c r="D45" s="155"/>
    </row>
    <row r="46" ht="14.65">
      <c r="A46" s="156" t="s">
        <v>615</v>
      </c>
      <c r="B46" s="157">
        <v>10026884</v>
      </c>
      <c r="C46" s="158" t="s">
        <v>622</v>
      </c>
      <c r="D46" s="159"/>
    </row>
    <row r="47" ht="14.25">
      <c r="A47" s="152" t="s">
        <v>623</v>
      </c>
      <c r="B47" s="153">
        <v>10031395</v>
      </c>
      <c r="C47" s="154" t="s">
        <v>624</v>
      </c>
      <c r="D47" s="155"/>
    </row>
    <row r="48" ht="14.25">
      <c r="A48" s="152" t="s">
        <v>623</v>
      </c>
      <c r="B48" s="153">
        <v>10031394</v>
      </c>
      <c r="C48" s="154" t="s">
        <v>625</v>
      </c>
      <c r="D48" s="155"/>
    </row>
    <row r="49" ht="14.25">
      <c r="A49" s="152" t="s">
        <v>623</v>
      </c>
      <c r="B49" s="153">
        <v>10023733</v>
      </c>
      <c r="C49" s="154" t="s">
        <v>626</v>
      </c>
      <c r="D49" s="155"/>
    </row>
    <row r="50" ht="14.25">
      <c r="A50" s="152" t="s">
        <v>623</v>
      </c>
      <c r="B50" s="153">
        <v>10024251</v>
      </c>
      <c r="C50" s="154" t="s">
        <v>627</v>
      </c>
      <c r="D50" s="155"/>
    </row>
    <row r="51" ht="14.25">
      <c r="A51" s="152" t="s">
        <v>623</v>
      </c>
      <c r="B51" s="153">
        <v>10027275</v>
      </c>
      <c r="C51" s="154" t="s">
        <v>628</v>
      </c>
      <c r="D51" s="155"/>
    </row>
    <row r="52" ht="14.25">
      <c r="A52" s="152" t="s">
        <v>623</v>
      </c>
      <c r="B52" s="153">
        <v>10030661</v>
      </c>
      <c r="C52" s="154" t="s">
        <v>629</v>
      </c>
      <c r="D52" s="155"/>
    </row>
    <row r="53" ht="14.25">
      <c r="A53" s="152" t="s">
        <v>623</v>
      </c>
      <c r="B53" s="153">
        <v>10027274</v>
      </c>
      <c r="C53" s="154" t="s">
        <v>630</v>
      </c>
      <c r="D53" s="155"/>
    </row>
    <row r="54" ht="14.25">
      <c r="A54" s="152" t="s">
        <v>623</v>
      </c>
      <c r="B54" s="153">
        <v>10027276</v>
      </c>
      <c r="C54" s="154" t="s">
        <v>631</v>
      </c>
      <c r="D54" s="155"/>
    </row>
    <row r="55" ht="14.25">
      <c r="A55" s="152" t="s">
        <v>623</v>
      </c>
      <c r="B55" s="153">
        <v>10030662</v>
      </c>
      <c r="C55" s="154" t="s">
        <v>632</v>
      </c>
      <c r="D55" s="155"/>
    </row>
    <row r="56" ht="14.25">
      <c r="A56" s="152" t="s">
        <v>623</v>
      </c>
      <c r="B56" s="153">
        <v>10031146</v>
      </c>
      <c r="C56" s="154" t="s">
        <v>633</v>
      </c>
      <c r="D56" s="155"/>
    </row>
    <row r="57" ht="14.25">
      <c r="A57" s="152" t="s">
        <v>623</v>
      </c>
      <c r="B57" s="153">
        <v>10031396</v>
      </c>
      <c r="C57" s="154" t="s">
        <v>634</v>
      </c>
      <c r="D57" s="155"/>
    </row>
    <row r="58" ht="14.25">
      <c r="A58" s="152" t="s">
        <v>623</v>
      </c>
      <c r="B58" s="153">
        <v>10023703</v>
      </c>
      <c r="C58" s="154" t="s">
        <v>223</v>
      </c>
      <c r="D58" s="155"/>
    </row>
    <row r="59" ht="14.25">
      <c r="A59" s="152" t="s">
        <v>635</v>
      </c>
      <c r="B59" s="153">
        <v>10027420</v>
      </c>
      <c r="C59" s="154" t="s">
        <v>636</v>
      </c>
      <c r="D59" s="155"/>
    </row>
    <row r="60" ht="14.25">
      <c r="A60" s="152" t="s">
        <v>637</v>
      </c>
      <c r="B60" s="153">
        <v>10023494</v>
      </c>
      <c r="C60" s="154" t="s">
        <v>638</v>
      </c>
      <c r="D60" s="155"/>
    </row>
    <row r="61" ht="14.25">
      <c r="A61" s="152" t="s">
        <v>623</v>
      </c>
      <c r="B61" s="153">
        <v>10029705</v>
      </c>
      <c r="C61" s="154" t="s">
        <v>639</v>
      </c>
      <c r="D61" s="155"/>
    </row>
    <row r="62" ht="14.25">
      <c r="A62" s="152" t="s">
        <v>623</v>
      </c>
      <c r="B62" s="153">
        <v>10030914</v>
      </c>
      <c r="C62" s="154" t="s">
        <v>640</v>
      </c>
      <c r="D62" s="155"/>
    </row>
    <row r="63" ht="14.25">
      <c r="A63" s="152" t="s">
        <v>623</v>
      </c>
      <c r="B63" s="153"/>
      <c r="C63" s="154" t="s">
        <v>641</v>
      </c>
      <c r="D63" s="155"/>
    </row>
    <row r="64" ht="14.25">
      <c r="A64" s="152" t="s">
        <v>623</v>
      </c>
      <c r="B64" s="153">
        <v>10030566</v>
      </c>
      <c r="C64" s="154" t="s">
        <v>642</v>
      </c>
      <c r="D64" s="155"/>
    </row>
    <row r="65" ht="14.25">
      <c r="A65" s="152" t="s">
        <v>623</v>
      </c>
      <c r="B65" s="188">
        <v>10032823</v>
      </c>
      <c r="C65" s="154" t="s">
        <v>643</v>
      </c>
      <c r="D65" s="155"/>
      <c r="E65" s="143"/>
      <c r="F65" s="143"/>
      <c r="G65" s="143"/>
      <c r="H65" s="143"/>
    </row>
    <row r="66" ht="14.25">
      <c r="A66" s="152" t="s">
        <v>644</v>
      </c>
      <c r="B66" s="153">
        <v>10023684</v>
      </c>
      <c r="C66" s="154" t="s">
        <v>645</v>
      </c>
      <c r="D66" s="155"/>
      <c r="E66" s="143"/>
      <c r="F66" s="143"/>
      <c r="G66" s="143"/>
      <c r="H66" s="143"/>
    </row>
    <row r="67" ht="14.25">
      <c r="A67" s="152" t="s">
        <v>646</v>
      </c>
      <c r="B67" s="153">
        <v>10027546</v>
      </c>
      <c r="C67" s="154" t="s">
        <v>647</v>
      </c>
      <c r="D67" s="155"/>
      <c r="E67" s="143"/>
      <c r="F67" s="173"/>
      <c r="G67" s="143"/>
      <c r="H67" s="173"/>
    </row>
    <row r="68" ht="14.25">
      <c r="A68" s="152" t="s">
        <v>648</v>
      </c>
      <c r="B68" s="153">
        <v>10028353</v>
      </c>
      <c r="C68" s="154" t="s">
        <v>649</v>
      </c>
      <c r="D68" s="155"/>
      <c r="E68" s="143"/>
      <c r="F68" s="173"/>
      <c r="G68" s="143"/>
      <c r="H68" s="173"/>
    </row>
    <row r="69" ht="14.25">
      <c r="A69" s="152" t="s">
        <v>648</v>
      </c>
      <c r="B69" s="153">
        <v>10026455</v>
      </c>
      <c r="C69" s="154" t="s">
        <v>650</v>
      </c>
      <c r="D69" s="155"/>
      <c r="E69" s="143"/>
      <c r="F69" s="173"/>
      <c r="G69" s="143"/>
      <c r="H69" s="173"/>
    </row>
    <row r="70" ht="14.25">
      <c r="A70" s="152" t="s">
        <v>651</v>
      </c>
      <c r="B70" s="153">
        <v>10026454</v>
      </c>
      <c r="C70" s="154" t="s">
        <v>652</v>
      </c>
      <c r="D70" s="155"/>
      <c r="E70" s="143"/>
      <c r="F70" s="173"/>
      <c r="G70" s="143"/>
      <c r="H70" s="173"/>
    </row>
    <row r="71" ht="14.25">
      <c r="A71" s="152" t="s">
        <v>623</v>
      </c>
      <c r="B71" s="153"/>
      <c r="C71" s="154" t="s">
        <v>653</v>
      </c>
      <c r="D71" s="155"/>
      <c r="E71" s="143"/>
      <c r="F71" s="173"/>
      <c r="G71" s="143"/>
      <c r="H71" s="173"/>
    </row>
    <row r="72" ht="14.25">
      <c r="A72" s="152" t="s">
        <v>623</v>
      </c>
      <c r="B72" s="153"/>
      <c r="C72" s="154" t="s">
        <v>654</v>
      </c>
      <c r="D72" s="155"/>
      <c r="E72" s="143"/>
      <c r="F72" s="173"/>
      <c r="G72" s="143"/>
      <c r="H72" s="173"/>
    </row>
    <row r="73" ht="14.25">
      <c r="A73" s="152" t="s">
        <v>623</v>
      </c>
      <c r="B73" s="153">
        <v>10027511</v>
      </c>
      <c r="C73" s="154" t="s">
        <v>655</v>
      </c>
      <c r="D73" s="155"/>
      <c r="E73" s="143"/>
      <c r="F73" s="173"/>
      <c r="G73" s="143"/>
      <c r="H73" s="173"/>
    </row>
    <row r="74" ht="14.25">
      <c r="A74" s="152" t="s">
        <v>623</v>
      </c>
      <c r="B74" s="153"/>
      <c r="C74" s="154" t="s">
        <v>656</v>
      </c>
      <c r="D74" s="155"/>
      <c r="E74" s="143"/>
      <c r="F74" s="173"/>
      <c r="G74" s="143"/>
      <c r="H74" s="173"/>
    </row>
    <row r="75" ht="14.25">
      <c r="A75" s="152" t="s">
        <v>623</v>
      </c>
      <c r="B75" s="153"/>
      <c r="C75" s="154" t="s">
        <v>657</v>
      </c>
      <c r="D75" s="155"/>
      <c r="E75" s="143"/>
      <c r="F75" s="173"/>
      <c r="G75" s="143"/>
      <c r="H75" s="173"/>
    </row>
    <row r="76" ht="14.25">
      <c r="A76" s="152" t="s">
        <v>623</v>
      </c>
      <c r="B76" s="153"/>
      <c r="C76" s="154" t="s">
        <v>658</v>
      </c>
      <c r="D76" s="155"/>
      <c r="E76" s="143"/>
      <c r="F76" s="173"/>
      <c r="G76" s="143"/>
      <c r="H76" s="173"/>
    </row>
    <row r="77" ht="14.65">
      <c r="A77" s="152" t="s">
        <v>659</v>
      </c>
      <c r="B77" s="153"/>
      <c r="C77" s="154" t="s">
        <v>660</v>
      </c>
      <c r="D77" s="155"/>
      <c r="E77" s="143"/>
      <c r="F77" s="173"/>
      <c r="G77" s="143"/>
      <c r="H77" s="173"/>
    </row>
    <row r="78" ht="14.25">
      <c r="A78" s="148" t="s">
        <v>661</v>
      </c>
      <c r="B78" s="149"/>
      <c r="C78" s="150" t="s">
        <v>662</v>
      </c>
      <c r="D78" s="151"/>
      <c r="E78" s="143"/>
      <c r="F78" s="173"/>
      <c r="G78" s="143"/>
      <c r="H78" s="173"/>
    </row>
    <row r="79" ht="14.25">
      <c r="A79" s="160" t="s">
        <v>663</v>
      </c>
      <c r="B79" s="153"/>
      <c r="C79" s="154" t="s">
        <v>664</v>
      </c>
      <c r="D79" s="155"/>
      <c r="E79" s="143"/>
      <c r="F79" s="143"/>
      <c r="G79" s="143"/>
      <c r="H79" s="143"/>
    </row>
    <row r="80" ht="14.25">
      <c r="A80" s="160" t="s">
        <v>665</v>
      </c>
      <c r="B80" s="153"/>
      <c r="C80" s="154" t="s">
        <v>666</v>
      </c>
      <c r="D80" s="155"/>
      <c r="E80" s="143"/>
      <c r="F80" s="143"/>
      <c r="G80" s="143"/>
      <c r="H80" s="143"/>
    </row>
    <row r="81" ht="14.65">
      <c r="A81" s="174" t="s">
        <v>667</v>
      </c>
      <c r="B81" s="175"/>
      <c r="C81" s="176" t="s">
        <v>668</v>
      </c>
      <c r="D81" s="177"/>
    </row>
    <row r="82" ht="14.25">
      <c r="A82" s="148" t="s">
        <v>669</v>
      </c>
      <c r="B82" s="149">
        <v>10027470</v>
      </c>
      <c r="C82" s="150" t="s">
        <v>670</v>
      </c>
      <c r="D82" s="151"/>
    </row>
    <row r="83" ht="14.25">
      <c r="A83" s="152" t="s">
        <v>669</v>
      </c>
      <c r="B83" s="153">
        <v>10027473</v>
      </c>
      <c r="C83" s="154" t="s">
        <v>671</v>
      </c>
      <c r="D83" s="155"/>
    </row>
    <row r="84" ht="14.25">
      <c r="A84" s="152" t="s">
        <v>669</v>
      </c>
      <c r="B84" s="153">
        <v>10027472</v>
      </c>
      <c r="C84" s="154" t="s">
        <v>672</v>
      </c>
      <c r="D84" s="155"/>
    </row>
    <row r="85" ht="14.65">
      <c r="A85" s="156" t="s">
        <v>673</v>
      </c>
      <c r="B85" s="157">
        <v>10028664</v>
      </c>
      <c r="C85" s="158" t="s">
        <v>674</v>
      </c>
      <c r="D85" s="159"/>
    </row>
    <row r="86" ht="14.25">
      <c r="A86" s="148" t="s">
        <v>675</v>
      </c>
      <c r="B86" s="149">
        <v>10027451</v>
      </c>
      <c r="C86" s="150" t="s">
        <v>676</v>
      </c>
      <c r="D86" s="151"/>
    </row>
    <row r="87" ht="14.25">
      <c r="A87" s="152" t="s">
        <v>675</v>
      </c>
      <c r="B87" s="153">
        <v>10027453</v>
      </c>
      <c r="C87" s="154" t="s">
        <v>677</v>
      </c>
      <c r="D87" s="155"/>
    </row>
    <row r="88" ht="14.25">
      <c r="A88" s="152" t="s">
        <v>675</v>
      </c>
      <c r="B88" s="153">
        <v>10027455</v>
      </c>
      <c r="C88" s="154" t="s">
        <v>602</v>
      </c>
      <c r="D88" s="155"/>
    </row>
    <row r="89" ht="14.25">
      <c r="A89" s="152" t="s">
        <v>675</v>
      </c>
      <c r="B89" s="153">
        <v>10028708</v>
      </c>
      <c r="C89" s="154" t="s">
        <v>678</v>
      </c>
      <c r="D89" s="155"/>
    </row>
    <row r="90" ht="14.25">
      <c r="A90" s="152" t="s">
        <v>679</v>
      </c>
      <c r="B90" s="153"/>
      <c r="C90" s="154" t="s">
        <v>680</v>
      </c>
      <c r="D90" s="155"/>
    </row>
    <row r="91" ht="14.65">
      <c r="A91" s="156" t="s">
        <v>681</v>
      </c>
      <c r="B91" s="157">
        <v>10028665</v>
      </c>
      <c r="C91" s="158" t="s">
        <v>682</v>
      </c>
      <c r="D91" s="159"/>
    </row>
    <row r="92" ht="14.25">
      <c r="A92" s="152" t="s">
        <v>683</v>
      </c>
      <c r="B92" s="153">
        <v>10023117</v>
      </c>
      <c r="C92" s="154" t="s">
        <v>684</v>
      </c>
      <c r="D92" s="155"/>
    </row>
    <row r="93" ht="14.25">
      <c r="A93" s="178" t="s">
        <v>685</v>
      </c>
      <c r="B93" s="162">
        <v>10022081</v>
      </c>
      <c r="C93" s="163" t="s">
        <v>686</v>
      </c>
      <c r="D93" s="164"/>
    </row>
    <row r="94" ht="14.25">
      <c r="A94" s="178" t="s">
        <v>687</v>
      </c>
      <c r="B94" s="162">
        <v>10029943</v>
      </c>
      <c r="C94" s="163" t="s">
        <v>688</v>
      </c>
      <c r="D94" s="164"/>
    </row>
    <row r="95" ht="14.25">
      <c r="A95" s="178" t="s">
        <v>689</v>
      </c>
      <c r="B95" s="162">
        <v>10031510</v>
      </c>
      <c r="C95" s="163" t="s">
        <v>690</v>
      </c>
      <c r="D95" s="164"/>
    </row>
    <row r="96" ht="14.25">
      <c r="A96" s="178" t="s">
        <v>691</v>
      </c>
      <c r="B96" s="162">
        <v>10030034</v>
      </c>
      <c r="C96" s="163" t="s">
        <v>692</v>
      </c>
      <c r="D96" s="164"/>
    </row>
    <row r="97" ht="14.25">
      <c r="A97" s="178" t="s">
        <v>693</v>
      </c>
      <c r="B97" s="162">
        <v>10033081</v>
      </c>
      <c r="C97" s="163" t="s">
        <v>694</v>
      </c>
      <c r="D97" s="164"/>
    </row>
    <row r="98" ht="14.25">
      <c r="A98" s="178" t="s">
        <v>695</v>
      </c>
      <c r="B98" s="162">
        <v>10030949</v>
      </c>
      <c r="C98" s="163" t="s">
        <v>696</v>
      </c>
      <c r="D98" s="164"/>
    </row>
    <row r="99" ht="14.25">
      <c r="A99" s="178" t="s">
        <v>697</v>
      </c>
      <c r="B99" s="162">
        <v>10021933</v>
      </c>
      <c r="C99" s="163" t="s">
        <v>698</v>
      </c>
      <c r="D99" s="164"/>
    </row>
    <row r="100" ht="14.25">
      <c r="A100" s="178" t="s">
        <v>699</v>
      </c>
      <c r="B100" s="162">
        <v>10026568</v>
      </c>
      <c r="C100" s="163" t="s">
        <v>700</v>
      </c>
      <c r="D100" s="164"/>
    </row>
    <row r="101" ht="14.25">
      <c r="A101" s="178" t="s">
        <v>701</v>
      </c>
      <c r="B101" s="162">
        <v>10029831</v>
      </c>
      <c r="C101" s="163" t="s">
        <v>702</v>
      </c>
      <c r="D101" s="164"/>
    </row>
    <row r="102" ht="14.25">
      <c r="A102" s="178" t="s">
        <v>703</v>
      </c>
      <c r="B102" s="162">
        <v>10027558</v>
      </c>
      <c r="C102" s="163" t="s">
        <v>704</v>
      </c>
      <c r="D102" s="164"/>
    </row>
    <row r="103" ht="14.25">
      <c r="A103" s="178" t="s">
        <v>705</v>
      </c>
      <c r="B103" s="162">
        <v>10029642</v>
      </c>
      <c r="C103" s="163" t="s">
        <v>706</v>
      </c>
      <c r="D103" s="164"/>
    </row>
    <row r="104" ht="14.25">
      <c r="A104" s="178" t="s">
        <v>707</v>
      </c>
      <c r="B104" s="162">
        <v>10030100</v>
      </c>
      <c r="C104" s="163" t="s">
        <v>708</v>
      </c>
      <c r="D104" s="164"/>
    </row>
    <row r="105" ht="14.25">
      <c r="A105" s="178" t="s">
        <v>709</v>
      </c>
      <c r="B105" s="162">
        <v>10021347</v>
      </c>
      <c r="C105" s="163" t="s">
        <v>710</v>
      </c>
      <c r="D105" s="164"/>
    </row>
    <row r="106" ht="14.25">
      <c r="A106" s="178" t="s">
        <v>711</v>
      </c>
      <c r="B106" s="162">
        <v>10031030</v>
      </c>
      <c r="C106" s="163" t="s">
        <v>712</v>
      </c>
      <c r="D106" s="164"/>
    </row>
    <row r="107" ht="14.25">
      <c r="A107" s="178" t="s">
        <v>713</v>
      </c>
      <c r="B107" s="162">
        <v>10031031</v>
      </c>
      <c r="C107" s="163" t="s">
        <v>714</v>
      </c>
      <c r="D107" s="164"/>
    </row>
    <row r="108" ht="14.25">
      <c r="A108" s="178" t="s">
        <v>715</v>
      </c>
      <c r="B108" s="162">
        <v>10032530</v>
      </c>
      <c r="C108" s="163" t="s">
        <v>716</v>
      </c>
      <c r="D108" s="164"/>
    </row>
    <row r="109" ht="14.25">
      <c r="A109" s="178" t="s">
        <v>717</v>
      </c>
      <c r="B109" s="162">
        <v>10013256</v>
      </c>
      <c r="C109" s="163" t="s">
        <v>718</v>
      </c>
      <c r="D109" s="164"/>
    </row>
    <row r="110" ht="14.25">
      <c r="A110" s="178" t="s">
        <v>719</v>
      </c>
      <c r="B110" s="162">
        <v>10023086</v>
      </c>
      <c r="C110" s="163" t="s">
        <v>720</v>
      </c>
      <c r="D110" s="164"/>
    </row>
    <row r="111" ht="14.25">
      <c r="A111" s="178" t="s">
        <v>721</v>
      </c>
      <c r="B111" s="162">
        <v>10022092</v>
      </c>
      <c r="C111" s="163" t="s">
        <v>722</v>
      </c>
      <c r="D111" s="164"/>
    </row>
    <row r="112" ht="14.25">
      <c r="A112" s="178" t="s">
        <v>723</v>
      </c>
      <c r="B112" s="162">
        <v>10022093</v>
      </c>
      <c r="C112" s="163" t="s">
        <v>724</v>
      </c>
      <c r="D112" s="164"/>
    </row>
    <row r="113" ht="14.25">
      <c r="A113" s="178" t="s">
        <v>725</v>
      </c>
      <c r="B113" s="162">
        <v>10029911</v>
      </c>
      <c r="C113" s="163" t="s">
        <v>726</v>
      </c>
      <c r="D113" s="164"/>
    </row>
    <row r="114" ht="14.25">
      <c r="A114" s="178" t="s">
        <v>727</v>
      </c>
      <c r="B114" s="162">
        <v>10030405</v>
      </c>
      <c r="C114" s="163" t="s">
        <v>728</v>
      </c>
      <c r="D114" s="164"/>
    </row>
    <row r="115" ht="14.25">
      <c r="A115" s="178" t="s">
        <v>729</v>
      </c>
      <c r="B115" s="162">
        <v>10030986</v>
      </c>
      <c r="C115" s="163" t="s">
        <v>730</v>
      </c>
      <c r="D115" s="164"/>
    </row>
    <row r="116" ht="14.25">
      <c r="A116" s="178" t="s">
        <v>731</v>
      </c>
      <c r="B116" s="162">
        <v>10030809</v>
      </c>
      <c r="C116" s="163" t="s">
        <v>732</v>
      </c>
      <c r="D116" s="164"/>
    </row>
    <row r="117" ht="14.25">
      <c r="A117" s="178" t="s">
        <v>733</v>
      </c>
      <c r="B117" s="162">
        <v>10031596</v>
      </c>
      <c r="C117" s="163" t="s">
        <v>734</v>
      </c>
      <c r="D117" s="164"/>
    </row>
    <row r="118" ht="14.25">
      <c r="A118" s="178" t="s">
        <v>735</v>
      </c>
      <c r="B118" s="162">
        <v>10032286</v>
      </c>
      <c r="C118" s="163" t="s">
        <v>736</v>
      </c>
      <c r="D118" s="164"/>
    </row>
    <row r="119" ht="14.25">
      <c r="A119" s="178" t="s">
        <v>737</v>
      </c>
      <c r="B119" s="162">
        <v>10032287</v>
      </c>
      <c r="C119" s="163" t="s">
        <v>738</v>
      </c>
      <c r="D119" s="164"/>
    </row>
    <row r="120" ht="14.25">
      <c r="A120" s="178" t="s">
        <v>739</v>
      </c>
      <c r="B120" s="162">
        <v>10031597</v>
      </c>
      <c r="C120" s="163" t="s">
        <v>740</v>
      </c>
      <c r="D120" s="164"/>
    </row>
    <row r="121" ht="14.25">
      <c r="A121" s="178" t="s">
        <v>741</v>
      </c>
      <c r="B121" s="162">
        <v>10027557</v>
      </c>
      <c r="C121" s="163" t="s">
        <v>742</v>
      </c>
      <c r="D121" s="164"/>
    </row>
    <row r="122" ht="14.25">
      <c r="A122" s="178" t="s">
        <v>743</v>
      </c>
      <c r="B122" s="162">
        <v>10021306</v>
      </c>
      <c r="C122" s="163" t="s">
        <v>744</v>
      </c>
      <c r="D122" s="164"/>
    </row>
    <row r="123" ht="14.25">
      <c r="A123" s="178" t="s">
        <v>745</v>
      </c>
      <c r="B123" s="162">
        <v>10030821</v>
      </c>
      <c r="C123" s="163" t="s">
        <v>746</v>
      </c>
      <c r="D123" s="164"/>
    </row>
    <row r="124" ht="14.25">
      <c r="A124" s="178" t="s">
        <v>747</v>
      </c>
      <c r="B124" s="162">
        <v>10027555</v>
      </c>
      <c r="C124" s="163" t="s">
        <v>748</v>
      </c>
      <c r="D124" s="164"/>
    </row>
    <row r="125" ht="14.65">
      <c r="A125" s="178" t="s">
        <v>749</v>
      </c>
      <c r="B125" s="162">
        <v>10027556</v>
      </c>
      <c r="C125" s="163" t="s">
        <v>750</v>
      </c>
      <c r="D125" s="164"/>
    </row>
    <row r="126" ht="14.25">
      <c r="A126" s="179" t="s">
        <v>751</v>
      </c>
      <c r="B126" s="180">
        <v>10026565</v>
      </c>
      <c r="C126" s="181" t="s">
        <v>752</v>
      </c>
      <c r="D126" s="182"/>
    </row>
    <row r="127" ht="14.25">
      <c r="A127" s="160" t="s">
        <v>753</v>
      </c>
      <c r="B127" s="153">
        <v>10030033</v>
      </c>
      <c r="C127" s="154" t="s">
        <v>754</v>
      </c>
      <c r="D127" s="155"/>
    </row>
    <row r="128" ht="14.25">
      <c r="A128" s="160" t="s">
        <v>755</v>
      </c>
      <c r="B128" s="153">
        <v>10022107</v>
      </c>
      <c r="C128" s="154" t="s">
        <v>756</v>
      </c>
      <c r="D128" s="164"/>
    </row>
    <row r="129" ht="14.25">
      <c r="A129" s="160" t="s">
        <v>757</v>
      </c>
      <c r="B129" s="153">
        <v>10031511</v>
      </c>
      <c r="C129" s="154" t="s">
        <v>758</v>
      </c>
      <c r="D129" s="164"/>
    </row>
    <row r="130" ht="14.25">
      <c r="A130" s="160" t="s">
        <v>759</v>
      </c>
      <c r="B130" s="153">
        <v>10032941</v>
      </c>
      <c r="C130" s="154" t="s">
        <v>760</v>
      </c>
      <c r="D130" s="164"/>
    </row>
    <row r="131" ht="14.25">
      <c r="A131" s="160" t="s">
        <v>761</v>
      </c>
      <c r="B131" s="153">
        <v>10017344</v>
      </c>
      <c r="C131" s="154" t="s">
        <v>762</v>
      </c>
      <c r="D131" s="164"/>
    </row>
    <row r="132" ht="14.65">
      <c r="A132" s="183" t="s">
        <v>763</v>
      </c>
      <c r="B132" s="153">
        <v>10032809</v>
      </c>
      <c r="C132" s="184" t="s">
        <v>764</v>
      </c>
      <c r="D132" s="159"/>
    </row>
    <row r="133" ht="14.65">
      <c r="A133" s="165" t="s">
        <v>765</v>
      </c>
      <c r="B133" s="166">
        <v>10029819</v>
      </c>
      <c r="C133" s="167" t="s">
        <v>766</v>
      </c>
      <c r="D133" s="168"/>
    </row>
    <row r="134" ht="14.25">
      <c r="A134" s="169" t="s">
        <v>767</v>
      </c>
      <c r="B134" s="170">
        <v>10029408</v>
      </c>
      <c r="C134" s="171" t="s">
        <v>768</v>
      </c>
      <c r="D134" s="172"/>
    </row>
    <row r="135" ht="14.25">
      <c r="A135" s="169" t="s">
        <v>769</v>
      </c>
      <c r="B135" s="170">
        <v>10028459</v>
      </c>
      <c r="C135" s="171" t="s">
        <v>770</v>
      </c>
      <c r="D135" s="172"/>
    </row>
    <row r="136" ht="14.25">
      <c r="A136" s="169" t="s">
        <v>771</v>
      </c>
      <c r="B136" s="170">
        <v>10028489</v>
      </c>
      <c r="C136" s="171" t="s">
        <v>772</v>
      </c>
      <c r="D136" s="172"/>
    </row>
    <row r="137" ht="14.25">
      <c r="A137" s="152" t="s">
        <v>773</v>
      </c>
      <c r="B137" s="153">
        <v>10028467</v>
      </c>
      <c r="C137" s="154" t="s">
        <v>774</v>
      </c>
      <c r="D137" s="155"/>
    </row>
    <row r="138" ht="14.25">
      <c r="A138" s="152" t="s">
        <v>773</v>
      </c>
      <c r="B138" s="162">
        <v>10028468</v>
      </c>
      <c r="C138" s="163" t="s">
        <v>775</v>
      </c>
      <c r="D138" s="164"/>
    </row>
    <row r="139" ht="52.9">
      <c r="A139" s="185" t="s">
        <v>773</v>
      </c>
      <c r="B139" s="157"/>
      <c r="C139" s="158" t="s">
        <v>776</v>
      </c>
      <c r="D139" s="186" t="s">
        <v>777</v>
      </c>
    </row>
    <row r="140" ht="14.25">
      <c r="A140" s="169" t="s">
        <v>778</v>
      </c>
      <c r="B140" s="170">
        <v>10023102</v>
      </c>
      <c r="C140" s="171" t="s">
        <v>779</v>
      </c>
      <c r="D140" s="172"/>
    </row>
    <row r="141" ht="14.25">
      <c r="A141" s="169" t="s">
        <v>780</v>
      </c>
      <c r="B141" s="170">
        <v>10021514</v>
      </c>
      <c r="C141" s="171" t="s">
        <v>781</v>
      </c>
      <c r="D141" s="172"/>
    </row>
    <row r="142" ht="14.25">
      <c r="A142" s="169" t="s">
        <v>782</v>
      </c>
      <c r="B142" s="170">
        <v>10027548</v>
      </c>
      <c r="C142" s="171" t="s">
        <v>783</v>
      </c>
      <c r="D142" s="172"/>
    </row>
    <row r="143" ht="14.25">
      <c r="A143" s="152" t="s">
        <v>784</v>
      </c>
      <c r="B143" s="153">
        <v>10026564</v>
      </c>
      <c r="C143" s="154" t="s">
        <v>785</v>
      </c>
      <c r="D143" s="155"/>
    </row>
    <row r="144" ht="14.25">
      <c r="A144" s="178" t="s">
        <v>786</v>
      </c>
      <c r="B144" s="162">
        <v>10022424</v>
      </c>
      <c r="C144" s="163" t="s">
        <v>787</v>
      </c>
      <c r="D144" s="164"/>
    </row>
    <row r="145" ht="14.25">
      <c r="A145" s="152" t="s">
        <v>788</v>
      </c>
      <c r="B145" s="153">
        <v>10028420</v>
      </c>
      <c r="C145" s="154" t="s">
        <v>789</v>
      </c>
      <c r="D145" s="155"/>
    </row>
    <row r="146" ht="14.25">
      <c r="A146" s="152" t="s">
        <v>790</v>
      </c>
      <c r="B146" s="153">
        <v>10023104</v>
      </c>
      <c r="C146" s="154" t="s">
        <v>791</v>
      </c>
      <c r="D146" s="155"/>
    </row>
    <row r="147" ht="14.25">
      <c r="A147" s="152" t="s">
        <v>792</v>
      </c>
      <c r="B147" s="153">
        <v>10029818</v>
      </c>
      <c r="C147" s="154" t="s">
        <v>793</v>
      </c>
      <c r="D147" s="155"/>
    </row>
    <row r="148" ht="14.25">
      <c r="A148" s="152" t="s">
        <v>794</v>
      </c>
      <c r="B148" s="153">
        <v>10032364</v>
      </c>
      <c r="C148" s="154" t="s">
        <v>795</v>
      </c>
      <c r="D148" s="155"/>
    </row>
    <row r="149" ht="14.25">
      <c r="A149" s="152" t="s">
        <v>796</v>
      </c>
      <c r="B149" s="153">
        <v>10028458</v>
      </c>
      <c r="C149" s="154" t="s">
        <v>797</v>
      </c>
      <c r="D149" s="155"/>
    </row>
    <row r="150" ht="14.25">
      <c r="A150" s="152" t="s">
        <v>798</v>
      </c>
      <c r="B150" s="153">
        <v>10026368</v>
      </c>
      <c r="C150" s="154" t="s">
        <v>799</v>
      </c>
      <c r="D150" s="155"/>
    </row>
    <row r="151" ht="14.25">
      <c r="A151" s="152" t="s">
        <v>800</v>
      </c>
      <c r="B151" s="153">
        <v>10026366</v>
      </c>
      <c r="C151" s="154" t="s">
        <v>801</v>
      </c>
      <c r="D151" s="155"/>
    </row>
    <row r="152" ht="14.25">
      <c r="A152" s="152" t="s">
        <v>802</v>
      </c>
      <c r="B152" s="153">
        <v>10022550</v>
      </c>
      <c r="C152" s="154" t="s">
        <v>803</v>
      </c>
      <c r="D152" s="155"/>
    </row>
    <row r="153" ht="14.25">
      <c r="A153" s="152" t="s">
        <v>804</v>
      </c>
      <c r="B153" s="153">
        <v>10023609</v>
      </c>
      <c r="C153" s="154" t="s">
        <v>805</v>
      </c>
      <c r="D153" s="155"/>
    </row>
    <row r="154" ht="14.25">
      <c r="A154" s="152" t="s">
        <v>806</v>
      </c>
      <c r="B154" s="153">
        <v>10023610</v>
      </c>
      <c r="C154" s="154" t="s">
        <v>807</v>
      </c>
      <c r="D154" s="155"/>
    </row>
    <row r="155" ht="14.25">
      <c r="A155" s="152" t="s">
        <v>808</v>
      </c>
      <c r="B155" s="153">
        <v>10023902</v>
      </c>
      <c r="C155" s="154" t="s">
        <v>809</v>
      </c>
      <c r="D155" s="155"/>
    </row>
    <row r="156" ht="14.25">
      <c r="A156" s="152" t="s">
        <v>810</v>
      </c>
      <c r="B156" s="153">
        <v>10026566</v>
      </c>
      <c r="C156" s="154" t="s">
        <v>811</v>
      </c>
      <c r="D156" s="155"/>
    </row>
    <row r="157" ht="14.25">
      <c r="A157" s="169" t="s">
        <v>812</v>
      </c>
      <c r="B157" s="170">
        <v>10030356</v>
      </c>
      <c r="C157" s="171" t="s">
        <v>813</v>
      </c>
      <c r="D157" s="172"/>
    </row>
    <row r="158" ht="14.25">
      <c r="A158" s="169" t="s">
        <v>814</v>
      </c>
      <c r="B158" s="170">
        <v>10030384</v>
      </c>
      <c r="C158" s="171" t="s">
        <v>815</v>
      </c>
      <c r="D158" s="172"/>
    </row>
    <row r="159" ht="14.25">
      <c r="A159" s="152" t="s">
        <v>816</v>
      </c>
      <c r="B159" s="153">
        <v>10030278</v>
      </c>
      <c r="C159" s="154" t="s">
        <v>817</v>
      </c>
      <c r="D159" s="155"/>
    </row>
    <row r="160" ht="14.25">
      <c r="A160" s="152" t="s">
        <v>818</v>
      </c>
      <c r="B160" s="153" t="s">
        <v>819</v>
      </c>
      <c r="C160" s="154" t="s">
        <v>820</v>
      </c>
      <c r="D160" s="155"/>
    </row>
    <row r="161" ht="14.25">
      <c r="A161" s="152" t="s">
        <v>821</v>
      </c>
      <c r="B161" s="153" t="s">
        <v>822</v>
      </c>
      <c r="C161" s="154" t="s">
        <v>823</v>
      </c>
      <c r="D161" s="155"/>
    </row>
    <row r="162" ht="14.65">
      <c r="A162" s="152" t="s">
        <v>824</v>
      </c>
      <c r="B162" s="153">
        <v>10030620</v>
      </c>
      <c r="C162" s="154" t="s">
        <v>825</v>
      </c>
      <c r="D162" s="155"/>
    </row>
    <row r="163" ht="14.25">
      <c r="A163" s="148" t="s">
        <v>826</v>
      </c>
      <c r="B163" s="149">
        <v>10028421</v>
      </c>
      <c r="C163" s="150" t="s">
        <v>827</v>
      </c>
      <c r="D163" s="151"/>
    </row>
    <row r="164" ht="14.25">
      <c r="A164" s="169" t="s">
        <v>828</v>
      </c>
      <c r="B164" s="170">
        <v>10027465</v>
      </c>
      <c r="C164" s="171" t="s">
        <v>829</v>
      </c>
      <c r="D164" s="172"/>
    </row>
    <row r="165" ht="14.25">
      <c r="A165" s="152" t="s">
        <v>830</v>
      </c>
      <c r="B165" s="153">
        <v>10027549</v>
      </c>
      <c r="C165" s="154" t="s">
        <v>831</v>
      </c>
      <c r="D165" s="155"/>
    </row>
    <row r="166" ht="14.25">
      <c r="A166" s="152" t="s">
        <v>832</v>
      </c>
      <c r="B166" s="153">
        <v>10024424</v>
      </c>
      <c r="C166" s="154" t="s">
        <v>833</v>
      </c>
      <c r="D166" s="155"/>
    </row>
    <row r="167" ht="14.25">
      <c r="A167" s="152" t="s">
        <v>834</v>
      </c>
      <c r="B167" s="153">
        <v>10017992</v>
      </c>
      <c r="C167" s="154" t="s">
        <v>835</v>
      </c>
      <c r="D167" s="155"/>
    </row>
    <row r="168" ht="14.25">
      <c r="A168" s="152" t="s">
        <v>836</v>
      </c>
      <c r="B168" s="153">
        <v>10024393</v>
      </c>
      <c r="C168" s="154" t="s">
        <v>837</v>
      </c>
      <c r="D168" s="155"/>
    </row>
    <row r="169" ht="14.25">
      <c r="A169" s="152" t="s">
        <v>838</v>
      </c>
      <c r="B169" s="153">
        <v>10024394</v>
      </c>
      <c r="C169" s="154" t="s">
        <v>839</v>
      </c>
      <c r="D169" s="155"/>
    </row>
    <row r="170" ht="14.65">
      <c r="A170" s="152" t="s">
        <v>840</v>
      </c>
      <c r="B170" s="153">
        <v>10022531</v>
      </c>
      <c r="C170" s="154" t="s">
        <v>841</v>
      </c>
      <c r="D170" s="155"/>
    </row>
    <row r="171" ht="14.25">
      <c r="A171" s="148" t="s">
        <v>842</v>
      </c>
      <c r="B171" s="149">
        <v>10027554</v>
      </c>
      <c r="C171" s="150" t="s">
        <v>843</v>
      </c>
      <c r="D171" s="151"/>
    </row>
    <row r="172" ht="14.25">
      <c r="A172" s="152" t="s">
        <v>844</v>
      </c>
      <c r="B172" s="153">
        <v>10017994</v>
      </c>
      <c r="C172" s="154" t="s">
        <v>845</v>
      </c>
      <c r="D172" s="155"/>
    </row>
    <row r="173" ht="14.25">
      <c r="A173" s="152" t="s">
        <v>846</v>
      </c>
      <c r="B173" s="153">
        <v>10024391</v>
      </c>
      <c r="C173" s="154" t="s">
        <v>847</v>
      </c>
      <c r="D173" s="155"/>
    </row>
    <row r="174" ht="14.25">
      <c r="A174" s="152" t="s">
        <v>848</v>
      </c>
      <c r="B174" s="153">
        <v>10022423</v>
      </c>
      <c r="C174" s="154" t="s">
        <v>849</v>
      </c>
      <c r="D174" s="155"/>
    </row>
    <row r="175" ht="14.25">
      <c r="A175" s="152" t="s">
        <v>850</v>
      </c>
      <c r="B175" s="153">
        <v>10024392</v>
      </c>
      <c r="C175" s="154" t="s">
        <v>849</v>
      </c>
      <c r="D175" s="155"/>
    </row>
    <row r="176" ht="14.25">
      <c r="A176" s="152" t="s">
        <v>851</v>
      </c>
      <c r="B176" s="153">
        <v>10026567</v>
      </c>
      <c r="C176" s="154" t="s">
        <v>852</v>
      </c>
      <c r="D176" s="155"/>
    </row>
    <row r="177" ht="14.25">
      <c r="A177" s="152" t="s">
        <v>853</v>
      </c>
      <c r="B177" s="153">
        <v>10030404</v>
      </c>
      <c r="C177" s="154" t="s">
        <v>854</v>
      </c>
      <c r="D177" s="155"/>
    </row>
    <row r="178" ht="14.25">
      <c r="A178" s="152" t="s">
        <v>855</v>
      </c>
      <c r="B178" s="153">
        <v>10029910</v>
      </c>
      <c r="C178" s="154" t="s">
        <v>856</v>
      </c>
      <c r="D178" s="155"/>
    </row>
    <row r="179" ht="14.25">
      <c r="A179" s="152" t="s">
        <v>857</v>
      </c>
      <c r="B179" s="153">
        <v>10030228</v>
      </c>
      <c r="C179" s="154" t="s">
        <v>858</v>
      </c>
      <c r="D179" s="155"/>
    </row>
    <row r="180" ht="14.25">
      <c r="A180" s="152" t="s">
        <v>859</v>
      </c>
      <c r="B180" s="153">
        <v>10030229</v>
      </c>
      <c r="C180" s="154" t="s">
        <v>860</v>
      </c>
      <c r="D180" s="155"/>
    </row>
    <row r="181" ht="14.25">
      <c r="A181" s="152" t="s">
        <v>861</v>
      </c>
      <c r="B181" s="153">
        <v>10024252</v>
      </c>
      <c r="C181" s="154" t="s">
        <v>862</v>
      </c>
      <c r="D181" s="155"/>
    </row>
    <row r="182" ht="14.25">
      <c r="A182" s="178" t="s">
        <v>863</v>
      </c>
      <c r="B182" s="162">
        <v>10029817</v>
      </c>
      <c r="C182" s="163" t="s">
        <v>864</v>
      </c>
      <c r="D182" s="164"/>
    </row>
    <row r="183" ht="14.25">
      <c r="A183" s="178" t="s">
        <v>865</v>
      </c>
      <c r="B183" s="162">
        <v>10029938</v>
      </c>
      <c r="C183" s="163" t="s">
        <v>866</v>
      </c>
      <c r="D183" s="164"/>
    </row>
    <row r="184" ht="14.25">
      <c r="A184" s="178" t="s">
        <v>867</v>
      </c>
      <c r="B184" s="162">
        <v>10029896</v>
      </c>
      <c r="C184" s="163" t="s">
        <v>868</v>
      </c>
      <c r="D184" s="164"/>
    </row>
    <row r="185" ht="14.25">
      <c r="A185" s="178" t="s">
        <v>869</v>
      </c>
      <c r="B185" s="162">
        <v>10030319</v>
      </c>
      <c r="C185" s="163" t="s">
        <v>870</v>
      </c>
      <c r="D185" s="164"/>
    </row>
    <row r="186" ht="14.25">
      <c r="A186" s="178" t="s">
        <v>871</v>
      </c>
      <c r="B186" s="162">
        <v>10029895</v>
      </c>
      <c r="C186" s="163" t="s">
        <v>872</v>
      </c>
      <c r="D186" s="164"/>
    </row>
    <row r="187" ht="14.25">
      <c r="A187" s="178" t="s">
        <v>873</v>
      </c>
      <c r="B187" s="162">
        <v>10032529</v>
      </c>
      <c r="C187" s="163" t="s">
        <v>874</v>
      </c>
      <c r="D187" s="164"/>
    </row>
    <row r="188" ht="14.25">
      <c r="A188" s="178" t="s">
        <v>875</v>
      </c>
      <c r="B188" s="162">
        <v>10030373</v>
      </c>
      <c r="C188" s="163" t="s">
        <v>876</v>
      </c>
      <c r="D188" s="164"/>
    </row>
    <row r="189" ht="14.25">
      <c r="A189" s="178" t="s">
        <v>877</v>
      </c>
      <c r="B189" s="162">
        <v>10030374</v>
      </c>
      <c r="C189" s="163" t="s">
        <v>878</v>
      </c>
      <c r="D189" s="164"/>
    </row>
    <row r="190" ht="14.25">
      <c r="A190" s="178" t="s">
        <v>879</v>
      </c>
      <c r="B190" s="162">
        <v>10030371</v>
      </c>
      <c r="C190" s="163" t="s">
        <v>880</v>
      </c>
      <c r="D190" s="164"/>
    </row>
    <row r="191" ht="14.25">
      <c r="A191" s="178" t="s">
        <v>881</v>
      </c>
      <c r="B191" s="162">
        <v>10031484</v>
      </c>
      <c r="C191" s="163" t="s">
        <v>882</v>
      </c>
      <c r="D191" s="164"/>
    </row>
    <row r="192" ht="14.25">
      <c r="A192" s="178" t="s">
        <v>883</v>
      </c>
      <c r="B192" s="162">
        <v>10030372</v>
      </c>
      <c r="C192" s="163" t="s">
        <v>884</v>
      </c>
      <c r="D192" s="164"/>
    </row>
    <row r="193" ht="14.25">
      <c r="A193" s="178" t="s">
        <v>885</v>
      </c>
      <c r="B193" s="162">
        <v>10031595</v>
      </c>
      <c r="C193" s="163" t="s">
        <v>886</v>
      </c>
      <c r="D193" s="164"/>
    </row>
    <row r="194" ht="14.25">
      <c r="A194" s="178" t="s">
        <v>887</v>
      </c>
      <c r="B194" s="162">
        <v>10031482</v>
      </c>
      <c r="C194" s="163" t="s">
        <v>888</v>
      </c>
      <c r="D194" s="164"/>
    </row>
    <row r="195" ht="14.25">
      <c r="A195" s="178" t="s">
        <v>889</v>
      </c>
      <c r="B195" s="162">
        <v>10031512</v>
      </c>
      <c r="C195" s="163" t="s">
        <v>890</v>
      </c>
      <c r="D195" s="164"/>
    </row>
    <row r="196" ht="14.25">
      <c r="A196" s="178" t="s">
        <v>891</v>
      </c>
      <c r="B196" s="162">
        <v>10031483</v>
      </c>
      <c r="C196" s="163" t="s">
        <v>892</v>
      </c>
      <c r="D196" s="164"/>
    </row>
    <row r="197" ht="14.25">
      <c r="A197" s="178" t="s">
        <v>893</v>
      </c>
      <c r="B197" s="162">
        <v>10031485</v>
      </c>
      <c r="C197" s="163" t="s">
        <v>894</v>
      </c>
      <c r="D197" s="164"/>
    </row>
    <row r="198" ht="14.25">
      <c r="A198" s="178" t="s">
        <v>895</v>
      </c>
      <c r="B198" s="162">
        <v>10032291</v>
      </c>
      <c r="C198" s="163" t="s">
        <v>896</v>
      </c>
      <c r="D198" s="164"/>
    </row>
    <row r="199" ht="14.25">
      <c r="A199" s="178" t="s">
        <v>897</v>
      </c>
      <c r="B199" s="162">
        <v>10032290</v>
      </c>
      <c r="C199" s="163" t="s">
        <v>896</v>
      </c>
      <c r="D199" s="164"/>
    </row>
    <row r="200" ht="14.65">
      <c r="A200" s="156" t="s">
        <v>898</v>
      </c>
      <c r="B200" s="157">
        <v>10030277</v>
      </c>
      <c r="C200" s="158" t="s">
        <v>899</v>
      </c>
      <c r="D200" s="159"/>
    </row>
    <row r="201" ht="14.25">
      <c r="A201" s="152" t="s">
        <v>900</v>
      </c>
      <c r="B201" s="153">
        <v>10022362</v>
      </c>
      <c r="C201" s="154" t="s">
        <v>901</v>
      </c>
      <c r="D201" s="155"/>
    </row>
    <row r="202" ht="14.25">
      <c r="A202" s="152" t="s">
        <v>902</v>
      </c>
      <c r="B202" s="153">
        <v>10027463</v>
      </c>
      <c r="C202" s="154" t="s">
        <v>903</v>
      </c>
      <c r="D202" s="155"/>
    </row>
    <row r="203" ht="14.25">
      <c r="A203" s="152" t="s">
        <v>904</v>
      </c>
      <c r="B203" s="153">
        <v>10026563</v>
      </c>
      <c r="C203" s="154" t="s">
        <v>905</v>
      </c>
      <c r="D203" s="155"/>
    </row>
    <row r="204" ht="14.25">
      <c r="A204" s="152" t="s">
        <v>906</v>
      </c>
      <c r="B204" s="153">
        <v>10027462</v>
      </c>
      <c r="C204" s="154" t="s">
        <v>907</v>
      </c>
      <c r="D204" s="155"/>
    </row>
    <row r="205" ht="14.25">
      <c r="A205" s="152" t="s">
        <v>908</v>
      </c>
      <c r="B205" s="153">
        <v>10022513</v>
      </c>
      <c r="C205" s="154" t="s">
        <v>909</v>
      </c>
      <c r="D205" s="155"/>
    </row>
    <row r="206" ht="14.25">
      <c r="A206" s="152" t="s">
        <v>910</v>
      </c>
      <c r="B206" s="153">
        <v>10027464</v>
      </c>
      <c r="C206" s="154" t="s">
        <v>911</v>
      </c>
      <c r="D206" s="155"/>
    </row>
    <row r="207" ht="14.25">
      <c r="A207" s="152" t="s">
        <v>912</v>
      </c>
      <c r="B207" s="153">
        <v>10026371</v>
      </c>
      <c r="C207" s="154" t="s">
        <v>913</v>
      </c>
      <c r="D207" s="155"/>
    </row>
    <row r="208" ht="14.25">
      <c r="A208" s="152" t="s">
        <v>914</v>
      </c>
      <c r="B208" s="153">
        <v>10017996</v>
      </c>
      <c r="C208" s="154" t="s">
        <v>915</v>
      </c>
      <c r="D208" s="155"/>
    </row>
    <row r="209" ht="14.65">
      <c r="A209" s="174" t="s">
        <v>916</v>
      </c>
      <c r="B209" s="175">
        <v>10029397</v>
      </c>
      <c r="C209" s="176" t="s">
        <v>917</v>
      </c>
      <c r="D209" s="177"/>
    </row>
    <row r="210" ht="14.25">
      <c r="A210" s="179" t="s">
        <v>918</v>
      </c>
      <c r="B210" s="180">
        <v>10027550</v>
      </c>
      <c r="C210" s="181" t="s">
        <v>919</v>
      </c>
      <c r="D210" s="182"/>
    </row>
    <row r="211" ht="14.25">
      <c r="A211" s="178" t="s">
        <v>920</v>
      </c>
      <c r="B211" s="162">
        <v>10025645</v>
      </c>
      <c r="C211" s="163" t="s">
        <v>921</v>
      </c>
      <c r="D211" s="164"/>
    </row>
    <row r="212" ht="14.25">
      <c r="A212" s="178" t="s">
        <v>922</v>
      </c>
      <c r="B212" s="162">
        <v>10025644</v>
      </c>
      <c r="C212" s="163" t="s">
        <v>923</v>
      </c>
      <c r="D212" s="164"/>
    </row>
    <row r="213" ht="14.25">
      <c r="A213" s="178" t="s">
        <v>924</v>
      </c>
      <c r="B213" s="162">
        <v>10023904</v>
      </c>
      <c r="C213" s="163" t="s">
        <v>925</v>
      </c>
      <c r="D213" s="164"/>
    </row>
    <row r="214" ht="14.25">
      <c r="A214" s="152" t="s">
        <v>926</v>
      </c>
      <c r="B214" s="153">
        <v>10023128</v>
      </c>
      <c r="C214" s="154" t="s">
        <v>927</v>
      </c>
      <c r="D214" s="155"/>
    </row>
    <row r="215" ht="14.25">
      <c r="A215" s="152" t="s">
        <v>928</v>
      </c>
      <c r="B215" s="153">
        <v>10026369</v>
      </c>
      <c r="C215" s="154" t="s">
        <v>929</v>
      </c>
      <c r="D215" s="155"/>
    </row>
    <row r="216" ht="14.25">
      <c r="A216" s="178" t="s">
        <v>930</v>
      </c>
      <c r="B216" s="162">
        <v>10030232</v>
      </c>
      <c r="C216" s="163" t="s">
        <v>931</v>
      </c>
      <c r="D216" s="164"/>
    </row>
    <row r="217" ht="14.25">
      <c r="A217" s="178" t="s">
        <v>932</v>
      </c>
      <c r="B217" s="162">
        <v>10030233</v>
      </c>
      <c r="C217" s="163" t="s">
        <v>933</v>
      </c>
      <c r="D217" s="164"/>
    </row>
    <row r="218" ht="14.25">
      <c r="A218" s="178" t="s">
        <v>934</v>
      </c>
      <c r="B218" s="162">
        <v>10026370</v>
      </c>
      <c r="C218" s="163" t="s">
        <v>935</v>
      </c>
      <c r="D218" s="164"/>
    </row>
    <row r="219" ht="14.25">
      <c r="A219" s="178" t="s">
        <v>936</v>
      </c>
      <c r="B219" s="162">
        <v>10030231</v>
      </c>
      <c r="C219" s="163" t="s">
        <v>937</v>
      </c>
      <c r="D219" s="164"/>
    </row>
    <row r="220" ht="14.25">
      <c r="A220" s="178" t="s">
        <v>938</v>
      </c>
      <c r="B220" s="162">
        <v>10030427</v>
      </c>
      <c r="C220" s="163" t="s">
        <v>939</v>
      </c>
      <c r="D220" s="164"/>
    </row>
    <row r="221" ht="14.25">
      <c r="A221" s="178" t="s">
        <v>938</v>
      </c>
      <c r="B221" s="162">
        <v>10030385</v>
      </c>
      <c r="C221" s="163" t="s">
        <v>940</v>
      </c>
      <c r="D221" s="164"/>
    </row>
    <row r="222" ht="14.25">
      <c r="A222" s="178" t="s">
        <v>938</v>
      </c>
      <c r="B222" s="162">
        <v>10030230</v>
      </c>
      <c r="C222" s="163" t="s">
        <v>941</v>
      </c>
      <c r="D222" s="164"/>
    </row>
    <row r="223" ht="14.65">
      <c r="A223" s="178" t="s">
        <v>942</v>
      </c>
      <c r="B223" s="162">
        <v>10030386</v>
      </c>
      <c r="C223" s="163" t="s">
        <v>943</v>
      </c>
      <c r="D223" s="164"/>
    </row>
    <row r="224" ht="14.25">
      <c r="A224" s="148" t="s">
        <v>944</v>
      </c>
      <c r="B224" s="149">
        <v>10025853</v>
      </c>
      <c r="C224" s="150" t="s">
        <v>945</v>
      </c>
      <c r="D224" s="151"/>
    </row>
    <row r="225" ht="14.25">
      <c r="A225" s="152" t="s">
        <v>946</v>
      </c>
      <c r="B225" s="153">
        <v>10023103</v>
      </c>
      <c r="C225" s="154" t="s">
        <v>947</v>
      </c>
      <c r="D225" s="155"/>
    </row>
    <row r="226" ht="14.25">
      <c r="A226" s="152" t="s">
        <v>948</v>
      </c>
      <c r="B226" s="153">
        <v>10022357</v>
      </c>
      <c r="C226" s="154" t="s">
        <v>949</v>
      </c>
      <c r="D226" s="155"/>
    </row>
    <row r="227" ht="14.25">
      <c r="A227" s="152" t="s">
        <v>950</v>
      </c>
      <c r="B227" s="153">
        <v>10029406</v>
      </c>
      <c r="C227" s="154" t="s">
        <v>951</v>
      </c>
      <c r="D227" s="155"/>
    </row>
    <row r="228" ht="14.25">
      <c r="A228" s="152" t="s">
        <v>952</v>
      </c>
      <c r="B228" s="153">
        <v>10027551</v>
      </c>
      <c r="C228" s="154" t="s">
        <v>953</v>
      </c>
      <c r="D228" s="155"/>
    </row>
    <row r="229" ht="14.65">
      <c r="A229" s="152" t="s">
        <v>954</v>
      </c>
      <c r="B229" s="153">
        <v>10029407</v>
      </c>
      <c r="C229" s="154" t="s">
        <v>955</v>
      </c>
      <c r="D229" s="155"/>
    </row>
    <row r="230" ht="14.25">
      <c r="A230" s="148" t="s">
        <v>956</v>
      </c>
      <c r="B230" s="149">
        <v>10029751</v>
      </c>
      <c r="C230" s="150" t="s">
        <v>957</v>
      </c>
      <c r="D230" s="151"/>
    </row>
    <row r="231" ht="14.25">
      <c r="A231" s="169" t="s">
        <v>958</v>
      </c>
      <c r="B231" s="170">
        <v>10029752</v>
      </c>
      <c r="C231" s="171" t="s">
        <v>959</v>
      </c>
      <c r="D231" s="172"/>
    </row>
    <row r="232" ht="14.25">
      <c r="A232" s="169" t="s">
        <v>958</v>
      </c>
      <c r="B232" s="170">
        <v>10029754</v>
      </c>
      <c r="C232" s="171" t="s">
        <v>960</v>
      </c>
      <c r="D232" s="172"/>
    </row>
    <row r="233" ht="14.25">
      <c r="A233" s="169" t="s">
        <v>958</v>
      </c>
      <c r="B233" s="170">
        <v>10030383</v>
      </c>
      <c r="C233" s="171" t="s">
        <v>961</v>
      </c>
      <c r="D233" s="172"/>
    </row>
    <row r="234" ht="14.25">
      <c r="A234" s="169" t="s">
        <v>962</v>
      </c>
      <c r="B234" s="170">
        <v>10029750</v>
      </c>
      <c r="C234" s="171" t="s">
        <v>963</v>
      </c>
      <c r="D234" s="172"/>
    </row>
    <row r="235" ht="14.65">
      <c r="A235" s="156" t="s">
        <v>962</v>
      </c>
      <c r="B235" s="157">
        <v>10029864</v>
      </c>
      <c r="C235" s="158" t="s">
        <v>964</v>
      </c>
      <c r="D235" s="159"/>
    </row>
    <row r="239" ht="14.25">
      <c r="A239" s="142"/>
      <c r="B239" s="141"/>
      <c r="C239" s="141"/>
      <c r="D239" s="141"/>
    </row>
    <row r="240" ht="14.25">
      <c r="A240" s="187" t="s">
        <v>965</v>
      </c>
      <c r="B240" s="143"/>
      <c r="C240" s="143"/>
      <c r="D240" s="143"/>
    </row>
  </sheetData>
  <pageMargins left="0.7" right="0.7" top="0.75" bottom="0.75" header="0.3" footer="0.3"/>
  <pageSetup orientation="portrait"/>
  <headerFooter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2"/>
  <dimension ref="A1:L41"/>
  <sheetViews>
    <sheetView zoomScale="90" zoomScaleNormal="90" workbookViewId="0">
      <selection activeCell="N41" sqref="N41"/>
    </sheetView>
  </sheetViews>
  <sheetFormatPr defaultRowHeight="12.75"/>
  <cols>
    <col min="1" max="1" width="12.86328125" customWidth="1"/>
    <col min="2" max="2" bestFit="1" width="17.265625" customWidth="1"/>
    <col min="3" max="3" bestFit="1" width="14.3984375" customWidth="1"/>
    <col min="4" max="4" width="39.59765625" customWidth="1"/>
    <col min="5" max="5" width="15.73046875" customWidth="1"/>
    <col min="6" max="6" bestFit="1" width="59.86328125" customWidth="1"/>
    <col min="7" max="7" width="21.265625" customWidth="1"/>
    <col min="8" max="8" width="19.1328125" customWidth="1"/>
    <col min="9" max="9" width="16.73046875" customWidth="1"/>
    <col min="10" max="10" bestFit="1" width="54.1328125" customWidth="1"/>
  </cols>
  <sheetData>
    <row r="1" ht="14.25">
      <c r="A1" s="113" t="s">
        <v>137</v>
      </c>
      <c r="B1" s="117" t="s">
        <v>138</v>
      </c>
      <c r="C1" s="117" t="s">
        <v>139</v>
      </c>
      <c r="D1" s="117" t="s">
        <v>140</v>
      </c>
      <c r="E1" s="117" t="s">
        <v>141</v>
      </c>
      <c r="F1" s="117" t="s">
        <v>142</v>
      </c>
      <c r="G1" s="118" t="s">
        <v>143</v>
      </c>
      <c r="H1" s="117" t="s">
        <v>144</v>
      </c>
      <c r="I1" s="118" t="s">
        <v>145</v>
      </c>
      <c r="J1" s="130" t="s">
        <v>146</v>
      </c>
      <c r="K1" s="114"/>
      <c r="L1" s="114"/>
    </row>
    <row r="2" ht="14.25">
      <c r="A2" s="112" t="s">
        <v>147</v>
      </c>
      <c r="B2" s="119">
        <v>10027276</v>
      </c>
      <c r="C2" s="119" t="s">
        <v>148</v>
      </c>
      <c r="D2" s="119" t="s">
        <v>149</v>
      </c>
      <c r="E2" s="119" t="s">
        <v>150</v>
      </c>
      <c r="F2" s="120" t="s">
        <v>151</v>
      </c>
      <c r="G2" s="119"/>
      <c r="H2" s="119"/>
      <c r="I2" s="119"/>
      <c r="J2" s="131" t="s">
        <v>152</v>
      </c>
      <c r="K2" s="114"/>
      <c r="L2" s="114"/>
    </row>
    <row r="3" ht="14.25">
      <c r="A3" s="112" t="s">
        <v>153</v>
      </c>
      <c r="B3" s="119">
        <v>10030662</v>
      </c>
      <c r="C3" s="119" t="s">
        <v>148</v>
      </c>
      <c r="D3" s="119" t="s">
        <v>154</v>
      </c>
      <c r="E3" s="119" t="s">
        <v>150</v>
      </c>
      <c r="F3" s="120" t="s">
        <v>151</v>
      </c>
      <c r="G3" s="119"/>
      <c r="H3" s="119"/>
      <c r="I3" s="119"/>
      <c r="J3" s="131" t="s">
        <v>152</v>
      </c>
      <c r="K3" s="114"/>
      <c r="L3" s="114"/>
    </row>
    <row r="4" ht="14.25">
      <c r="A4" s="112" t="s">
        <v>155</v>
      </c>
      <c r="B4" s="119">
        <v>10027272</v>
      </c>
      <c r="C4" s="119" t="s">
        <v>148</v>
      </c>
      <c r="D4" s="119" t="s">
        <v>156</v>
      </c>
      <c r="E4" s="119" t="s">
        <v>150</v>
      </c>
      <c r="F4" s="120" t="s">
        <v>151</v>
      </c>
      <c r="G4" s="119"/>
      <c r="H4" s="119"/>
      <c r="I4" s="119"/>
      <c r="J4" s="131" t="s">
        <v>152</v>
      </c>
      <c r="K4" s="114"/>
      <c r="L4" s="114"/>
    </row>
    <row r="5" ht="14.25">
      <c r="A5" s="112" t="s">
        <v>157</v>
      </c>
      <c r="B5" s="119">
        <v>10030658</v>
      </c>
      <c r="C5" s="119" t="s">
        <v>148</v>
      </c>
      <c r="D5" s="119" t="s">
        <v>158</v>
      </c>
      <c r="E5" s="119" t="s">
        <v>150</v>
      </c>
      <c r="F5" s="120" t="s">
        <v>151</v>
      </c>
      <c r="G5" s="119"/>
      <c r="H5" s="119"/>
      <c r="I5" s="119"/>
      <c r="J5" s="131" t="s">
        <v>152</v>
      </c>
      <c r="K5" s="114"/>
      <c r="L5" s="114"/>
    </row>
    <row r="6" ht="14.25">
      <c r="A6" s="112" t="s">
        <v>159</v>
      </c>
      <c r="B6" s="119">
        <v>10029705</v>
      </c>
      <c r="C6" s="119" t="s">
        <v>160</v>
      </c>
      <c r="D6" s="119" t="s">
        <v>149</v>
      </c>
      <c r="E6" s="119" t="s">
        <v>150</v>
      </c>
      <c r="F6" s="120" t="s">
        <v>151</v>
      </c>
      <c r="G6" s="119"/>
      <c r="H6" s="119"/>
      <c r="I6" s="119"/>
      <c r="J6" s="131" t="s">
        <v>152</v>
      </c>
      <c r="K6" s="114"/>
      <c r="L6" s="114"/>
    </row>
    <row r="7" ht="14.25">
      <c r="A7" s="112" t="s">
        <v>161</v>
      </c>
      <c r="B7" s="119">
        <v>10030566</v>
      </c>
      <c r="C7" s="119" t="s">
        <v>162</v>
      </c>
      <c r="D7" s="119" t="s">
        <v>163</v>
      </c>
      <c r="E7" s="119" t="s">
        <v>150</v>
      </c>
      <c r="F7" s="120" t="s">
        <v>151</v>
      </c>
      <c r="G7" s="119"/>
      <c r="H7" s="119"/>
      <c r="I7" s="119"/>
      <c r="J7" s="131" t="s">
        <v>152</v>
      </c>
      <c r="K7" s="114"/>
      <c r="L7" s="114"/>
    </row>
    <row r="8" ht="14.25">
      <c r="A8" s="112" t="s">
        <v>164</v>
      </c>
      <c r="B8" s="119">
        <v>10029714</v>
      </c>
      <c r="C8" s="119" t="s">
        <v>162</v>
      </c>
      <c r="D8" s="119" t="s">
        <v>165</v>
      </c>
      <c r="E8" s="119" t="s">
        <v>150</v>
      </c>
      <c r="F8" s="120" t="s">
        <v>151</v>
      </c>
      <c r="G8" s="119"/>
      <c r="H8" s="119"/>
      <c r="I8" s="119"/>
      <c r="J8" s="131" t="s">
        <v>152</v>
      </c>
      <c r="K8" s="114"/>
      <c r="L8" s="114"/>
    </row>
    <row r="9" ht="14.25">
      <c r="A9" s="112" t="s">
        <v>166</v>
      </c>
      <c r="B9" s="119">
        <v>10029713</v>
      </c>
      <c r="C9" s="119" t="s">
        <v>162</v>
      </c>
      <c r="D9" s="119" t="s">
        <v>167</v>
      </c>
      <c r="E9" s="119" t="s">
        <v>150</v>
      </c>
      <c r="F9" s="120" t="s">
        <v>151</v>
      </c>
      <c r="G9" s="119"/>
      <c r="H9" s="119"/>
      <c r="I9" s="119"/>
      <c r="J9" s="131" t="s">
        <v>152</v>
      </c>
      <c r="K9" s="114"/>
      <c r="L9" s="114"/>
    </row>
    <row r="10" ht="14.25">
      <c r="A10" s="112" t="s">
        <v>168</v>
      </c>
      <c r="B10" s="119">
        <v>10031468</v>
      </c>
      <c r="C10" s="119" t="s">
        <v>169</v>
      </c>
      <c r="D10" s="119" t="s">
        <v>170</v>
      </c>
      <c r="E10" s="119" t="s">
        <v>150</v>
      </c>
      <c r="F10" s="120" t="s">
        <v>151</v>
      </c>
      <c r="G10" s="119"/>
      <c r="H10" s="119"/>
      <c r="I10" s="119"/>
      <c r="J10" s="131"/>
      <c r="K10" s="114"/>
      <c r="L10" s="114"/>
    </row>
    <row r="11" ht="14.25">
      <c r="A11" s="112" t="s">
        <v>171</v>
      </c>
      <c r="B11" s="119">
        <v>10031469</v>
      </c>
      <c r="C11" s="119" t="s">
        <v>169</v>
      </c>
      <c r="D11" s="119" t="s">
        <v>172</v>
      </c>
      <c r="E11" s="119" t="s">
        <v>150</v>
      </c>
      <c r="F11" s="120" t="s">
        <v>151</v>
      </c>
      <c r="G11" s="119"/>
      <c r="H11" s="119"/>
      <c r="I11" s="119"/>
      <c r="J11" s="131"/>
      <c r="K11" s="114"/>
      <c r="L11" s="114"/>
    </row>
    <row r="12" ht="14.25">
      <c r="A12" s="112" t="s">
        <v>173</v>
      </c>
      <c r="B12" s="119">
        <v>10027275</v>
      </c>
      <c r="C12" s="119" t="s">
        <v>174</v>
      </c>
      <c r="D12" s="119" t="s">
        <v>149</v>
      </c>
      <c r="E12" s="119" t="s">
        <v>150</v>
      </c>
      <c r="F12" s="120" t="s">
        <v>151</v>
      </c>
      <c r="G12" s="119"/>
      <c r="H12" s="119"/>
      <c r="I12" s="119"/>
      <c r="J12" s="131"/>
      <c r="K12" s="114"/>
      <c r="L12" s="114"/>
    </row>
    <row r="13" ht="14.25">
      <c r="A13" s="112" t="s">
        <v>175</v>
      </c>
      <c r="B13" s="119">
        <v>10024251</v>
      </c>
      <c r="C13" s="119" t="s">
        <v>174</v>
      </c>
      <c r="D13" s="119" t="s">
        <v>176</v>
      </c>
      <c r="E13" s="119" t="s">
        <v>150</v>
      </c>
      <c r="F13" s="120" t="s">
        <v>151</v>
      </c>
      <c r="G13" s="119"/>
      <c r="H13" s="119"/>
      <c r="I13" s="119"/>
      <c r="J13" s="131"/>
      <c r="K13" s="114"/>
      <c r="L13" s="114"/>
    </row>
    <row r="14" ht="14.25">
      <c r="A14" s="112" t="s">
        <v>177</v>
      </c>
      <c r="B14" s="119">
        <v>10030661</v>
      </c>
      <c r="C14" s="119" t="s">
        <v>174</v>
      </c>
      <c r="D14" s="119" t="s">
        <v>154</v>
      </c>
      <c r="E14" s="119" t="s">
        <v>150</v>
      </c>
      <c r="F14" s="120" t="s">
        <v>151</v>
      </c>
      <c r="G14" s="119"/>
      <c r="H14" s="119"/>
      <c r="I14" s="119"/>
      <c r="J14" s="131"/>
      <c r="K14" s="114"/>
      <c r="L14" s="114"/>
    </row>
    <row r="15" ht="14.25">
      <c r="A15" s="112" t="s">
        <v>178</v>
      </c>
      <c r="B15" s="119">
        <v>10026879</v>
      </c>
      <c r="C15" s="119" t="s">
        <v>179</v>
      </c>
      <c r="D15" s="119" t="s">
        <v>180</v>
      </c>
      <c r="E15" s="119" t="s">
        <v>150</v>
      </c>
      <c r="F15" s="120" t="s">
        <v>151</v>
      </c>
      <c r="G15" s="119"/>
      <c r="H15" s="119"/>
      <c r="I15" s="119"/>
      <c r="J15" s="131"/>
      <c r="K15" s="114"/>
      <c r="L15" s="115" t="s">
        <v>181</v>
      </c>
    </row>
    <row r="16" ht="14.25">
      <c r="A16" s="111" t="s">
        <v>182</v>
      </c>
      <c r="B16" s="121">
        <v>10031088</v>
      </c>
      <c r="C16" s="119" t="s">
        <v>183</v>
      </c>
      <c r="D16" s="119" t="s">
        <v>184</v>
      </c>
      <c r="E16" s="119" t="s">
        <v>150</v>
      </c>
      <c r="F16" s="120" t="s">
        <v>151</v>
      </c>
      <c r="G16" s="119"/>
      <c r="H16" s="119"/>
      <c r="I16" s="119"/>
      <c r="J16" s="131"/>
      <c r="K16" s="114"/>
      <c r="L16" s="115" t="s">
        <v>185</v>
      </c>
    </row>
    <row r="17" ht="28.5">
      <c r="A17" s="110" t="s">
        <v>186</v>
      </c>
      <c r="B17" s="122">
        <v>10027340</v>
      </c>
      <c r="C17" s="123" t="s">
        <v>183</v>
      </c>
      <c r="D17" s="123" t="s">
        <v>187</v>
      </c>
      <c r="E17" s="123" t="s">
        <v>150</v>
      </c>
      <c r="F17" s="124" t="s">
        <v>151</v>
      </c>
      <c r="G17" s="119"/>
      <c r="H17" s="119"/>
      <c r="I17" s="119"/>
      <c r="J17" s="131"/>
      <c r="K17" s="114"/>
      <c r="L17" s="116" t="s">
        <v>188</v>
      </c>
    </row>
    <row r="18" ht="14.25">
      <c r="A18" s="110" t="s">
        <v>189</v>
      </c>
      <c r="B18" s="122">
        <v>10027271</v>
      </c>
      <c r="C18" s="123" t="s">
        <v>183</v>
      </c>
      <c r="D18" s="123" t="s">
        <v>190</v>
      </c>
      <c r="E18" s="123" t="s">
        <v>150</v>
      </c>
      <c r="F18" s="124" t="s">
        <v>151</v>
      </c>
      <c r="G18" s="119"/>
      <c r="H18" s="119"/>
      <c r="I18" s="119"/>
      <c r="J18" s="131"/>
      <c r="K18" s="114"/>
      <c r="L18" s="115" t="s">
        <v>191</v>
      </c>
    </row>
    <row r="19" ht="14.25">
      <c r="A19" s="110" t="s">
        <v>192</v>
      </c>
      <c r="B19" s="122">
        <v>10026709</v>
      </c>
      <c r="C19" s="123" t="s">
        <v>183</v>
      </c>
      <c r="D19" s="123" t="s">
        <v>193</v>
      </c>
      <c r="E19" s="123" t="s">
        <v>150</v>
      </c>
      <c r="F19" s="124" t="s">
        <v>151</v>
      </c>
      <c r="G19" s="119"/>
      <c r="H19" s="119"/>
      <c r="I19" s="119"/>
      <c r="J19" s="131"/>
      <c r="K19" s="114"/>
      <c r="L19" s="115" t="s">
        <v>194</v>
      </c>
    </row>
    <row r="20" ht="14.25">
      <c r="A20" s="110" t="s">
        <v>195</v>
      </c>
      <c r="B20" s="122">
        <v>10031385</v>
      </c>
      <c r="C20" s="123" t="s">
        <v>183</v>
      </c>
      <c r="D20" s="123" t="s">
        <v>196</v>
      </c>
      <c r="E20" s="123" t="s">
        <v>150</v>
      </c>
      <c r="F20" s="124" t="s">
        <v>151</v>
      </c>
      <c r="G20" s="119"/>
      <c r="H20" s="119"/>
      <c r="I20" s="119"/>
      <c r="J20" s="131"/>
      <c r="K20" s="114"/>
      <c r="L20" s="115" t="s">
        <v>197</v>
      </c>
    </row>
    <row r="21" ht="14.25">
      <c r="A21" s="109" t="s">
        <v>198</v>
      </c>
      <c r="B21" s="123">
        <v>10027269</v>
      </c>
      <c r="C21" s="123" t="s">
        <v>199</v>
      </c>
      <c r="D21" s="123" t="s">
        <v>200</v>
      </c>
      <c r="E21" s="123" t="s">
        <v>150</v>
      </c>
      <c r="F21" s="124" t="s">
        <v>151</v>
      </c>
      <c r="G21" s="119"/>
      <c r="H21" s="119"/>
      <c r="I21" s="119"/>
      <c r="J21" s="131" t="s">
        <v>201</v>
      </c>
      <c r="K21" s="114"/>
      <c r="L21" s="115" t="s">
        <v>202</v>
      </c>
    </row>
    <row r="22" ht="14.25">
      <c r="A22" s="109" t="s">
        <v>198</v>
      </c>
      <c r="B22" s="123" t="s">
        <v>203</v>
      </c>
      <c r="C22" s="123" t="s">
        <v>199</v>
      </c>
      <c r="D22" s="123" t="s">
        <v>200</v>
      </c>
      <c r="E22" s="123" t="s">
        <v>150</v>
      </c>
      <c r="F22" s="124" t="s">
        <v>204</v>
      </c>
      <c r="G22" s="119"/>
      <c r="H22" s="119"/>
      <c r="I22" s="119"/>
      <c r="J22" s="131" t="s">
        <v>205</v>
      </c>
      <c r="K22" s="114"/>
      <c r="L22" s="115" t="s">
        <v>206</v>
      </c>
    </row>
    <row r="23" ht="14.25">
      <c r="A23" s="109" t="s">
        <v>207</v>
      </c>
      <c r="B23" s="123">
        <v>10031384</v>
      </c>
      <c r="C23" s="123" t="s">
        <v>199</v>
      </c>
      <c r="D23" s="123" t="s">
        <v>208</v>
      </c>
      <c r="E23" s="123" t="s">
        <v>150</v>
      </c>
      <c r="F23" s="124" t="s">
        <v>151</v>
      </c>
      <c r="G23" s="119"/>
      <c r="H23" s="119"/>
      <c r="I23" s="119"/>
      <c r="J23" s="131" t="s">
        <v>209</v>
      </c>
      <c r="K23" s="114"/>
      <c r="L23" s="115" t="s">
        <v>210</v>
      </c>
    </row>
    <row r="24" ht="14.25">
      <c r="A24" s="109" t="s">
        <v>207</v>
      </c>
      <c r="B24" s="123" t="s">
        <v>203</v>
      </c>
      <c r="C24" s="123" t="s">
        <v>199</v>
      </c>
      <c r="D24" s="123" t="s">
        <v>208</v>
      </c>
      <c r="E24" s="123" t="s">
        <v>150</v>
      </c>
      <c r="F24" s="124" t="s">
        <v>204</v>
      </c>
      <c r="G24" s="119"/>
      <c r="H24" s="119"/>
      <c r="I24" s="119"/>
      <c r="J24" s="131" t="s">
        <v>211</v>
      </c>
      <c r="K24" s="114"/>
      <c r="L24" s="115" t="s">
        <v>212</v>
      </c>
    </row>
    <row r="25" ht="14.25">
      <c r="A25" s="109" t="s">
        <v>213</v>
      </c>
      <c r="B25" s="123">
        <v>10027273</v>
      </c>
      <c r="C25" s="123"/>
      <c r="D25" s="123" t="s">
        <v>214</v>
      </c>
      <c r="E25" s="123" t="s">
        <v>150</v>
      </c>
      <c r="F25" s="124" t="s">
        <v>151</v>
      </c>
      <c r="G25" s="119"/>
      <c r="H25" s="119"/>
      <c r="I25" s="119"/>
      <c r="J25" s="131" t="s">
        <v>215</v>
      </c>
      <c r="K25" s="114"/>
      <c r="L25" s="114"/>
    </row>
    <row r="26" ht="14.25">
      <c r="A26" s="109" t="s">
        <v>216</v>
      </c>
      <c r="B26" s="123"/>
      <c r="C26" s="123" t="s">
        <v>148</v>
      </c>
      <c r="D26" s="123" t="s">
        <v>176</v>
      </c>
      <c r="E26" s="123" t="s">
        <v>150</v>
      </c>
      <c r="F26" s="124" t="s">
        <v>151</v>
      </c>
      <c r="G26" s="119"/>
      <c r="H26" s="119"/>
      <c r="I26" s="119"/>
      <c r="J26" s="131"/>
      <c r="K26" s="114"/>
      <c r="L26" s="114"/>
    </row>
    <row r="27" ht="14.25">
      <c r="A27" s="109" t="s">
        <v>217</v>
      </c>
      <c r="B27" s="123">
        <v>10027420</v>
      </c>
      <c r="C27" s="123" t="s">
        <v>160</v>
      </c>
      <c r="D27" s="123" t="s">
        <v>218</v>
      </c>
      <c r="E27" s="123" t="s">
        <v>150</v>
      </c>
      <c r="F27" s="124" t="s">
        <v>151</v>
      </c>
      <c r="G27" s="119"/>
      <c r="H27" s="119"/>
      <c r="I27" s="119"/>
      <c r="J27" s="131"/>
      <c r="K27" s="114"/>
      <c r="L27" s="114"/>
    </row>
    <row r="28" ht="14.25">
      <c r="A28" s="109" t="s">
        <v>175</v>
      </c>
      <c r="B28" s="123">
        <v>10024251</v>
      </c>
      <c r="C28" s="123" t="s">
        <v>174</v>
      </c>
      <c r="D28" s="123" t="s">
        <v>176</v>
      </c>
      <c r="E28" s="123" t="s">
        <v>150</v>
      </c>
      <c r="F28" s="124" t="s">
        <v>151</v>
      </c>
      <c r="G28" s="119"/>
      <c r="H28" s="119"/>
      <c r="I28" s="119"/>
      <c r="J28" s="131"/>
      <c r="K28" s="114"/>
      <c r="L28" s="114"/>
    </row>
    <row r="29" ht="14.25">
      <c r="A29" s="112" t="s">
        <v>219</v>
      </c>
      <c r="B29" s="119"/>
      <c r="C29" s="119"/>
      <c r="D29" s="119" t="s">
        <v>220</v>
      </c>
      <c r="E29" s="123" t="s">
        <v>150</v>
      </c>
      <c r="F29" s="124" t="s">
        <v>151</v>
      </c>
      <c r="G29" s="119"/>
      <c r="H29" s="119"/>
      <c r="I29" s="119"/>
      <c r="J29" s="131"/>
      <c r="K29" s="114"/>
      <c r="L29" s="114"/>
    </row>
    <row r="30" ht="14.25">
      <c r="A30" s="112" t="s">
        <v>221</v>
      </c>
      <c r="B30" s="119"/>
      <c r="C30" s="119" t="s">
        <v>160</v>
      </c>
      <c r="D30" s="119" t="s">
        <v>218</v>
      </c>
      <c r="E30" s="123" t="s">
        <v>150</v>
      </c>
      <c r="F30" s="124" t="s">
        <v>151</v>
      </c>
      <c r="G30" s="119"/>
      <c r="H30" s="119"/>
      <c r="I30" s="119"/>
      <c r="J30" s="131"/>
      <c r="K30" s="114"/>
      <c r="L30" s="114"/>
    </row>
    <row r="31" ht="14.25">
      <c r="A31" s="108" t="s">
        <v>222</v>
      </c>
      <c r="B31" s="125"/>
      <c r="C31" s="119" t="s">
        <v>160</v>
      </c>
      <c r="D31" s="119" t="s">
        <v>223</v>
      </c>
      <c r="E31" s="123" t="s">
        <v>150</v>
      </c>
      <c r="F31" s="124" t="s">
        <v>151</v>
      </c>
      <c r="G31" s="119"/>
      <c r="H31" s="119"/>
      <c r="I31" s="119"/>
      <c r="J31" s="131"/>
      <c r="K31" s="114"/>
      <c r="L31" s="114"/>
    </row>
    <row r="32" ht="14.25">
      <c r="A32" s="112" t="s">
        <v>224</v>
      </c>
      <c r="B32" s="119"/>
      <c r="C32" s="119" t="s">
        <v>160</v>
      </c>
      <c r="D32" s="119" t="s">
        <v>225</v>
      </c>
      <c r="E32" s="123" t="s">
        <v>150</v>
      </c>
      <c r="F32" s="124" t="s">
        <v>151</v>
      </c>
      <c r="G32" s="119"/>
      <c r="H32" s="119"/>
      <c r="I32" s="119"/>
      <c r="J32" s="131"/>
      <c r="K32" s="114"/>
      <c r="L32" s="114"/>
    </row>
    <row r="33" ht="14.25">
      <c r="A33" s="112" t="s">
        <v>226</v>
      </c>
      <c r="B33" s="119"/>
      <c r="C33" s="119" t="s">
        <v>174</v>
      </c>
      <c r="D33" s="119" t="s">
        <v>227</v>
      </c>
      <c r="E33" s="123" t="s">
        <v>150</v>
      </c>
      <c r="F33" s="124" t="s">
        <v>151</v>
      </c>
      <c r="G33" s="119"/>
      <c r="H33" s="119"/>
      <c r="I33" s="119"/>
      <c r="J33" s="131"/>
    </row>
    <row r="34" ht="14.25">
      <c r="A34" s="112" t="s">
        <v>228</v>
      </c>
      <c r="B34" s="119"/>
      <c r="C34" s="119" t="s">
        <v>229</v>
      </c>
      <c r="D34" s="119" t="s">
        <v>230</v>
      </c>
      <c r="E34" s="123" t="s">
        <v>150</v>
      </c>
      <c r="F34" s="124" t="s">
        <v>151</v>
      </c>
      <c r="G34" s="119"/>
      <c r="H34" s="119"/>
      <c r="I34" s="119"/>
      <c r="J34" s="131"/>
    </row>
    <row r="35" ht="14.25">
      <c r="A35" s="112" t="s">
        <v>231</v>
      </c>
      <c r="B35" s="119"/>
      <c r="C35" s="119" t="s">
        <v>229</v>
      </c>
      <c r="D35" s="119" t="s">
        <v>232</v>
      </c>
      <c r="E35" s="123" t="s">
        <v>150</v>
      </c>
      <c r="F35" s="124" t="s">
        <v>151</v>
      </c>
      <c r="G35" s="119"/>
      <c r="H35" s="119"/>
      <c r="I35" s="119"/>
      <c r="J35" s="131"/>
    </row>
    <row r="36" ht="14.25">
      <c r="A36" s="112" t="s">
        <v>233</v>
      </c>
      <c r="B36" s="119"/>
      <c r="C36" s="119" t="s">
        <v>234</v>
      </c>
      <c r="D36" s="119" t="s">
        <v>235</v>
      </c>
      <c r="E36" s="123" t="s">
        <v>150</v>
      </c>
      <c r="F36" s="124" t="s">
        <v>151</v>
      </c>
      <c r="G36" s="119"/>
      <c r="H36" s="119"/>
      <c r="I36" s="119"/>
      <c r="J36" s="131"/>
    </row>
    <row r="37" ht="14.25">
      <c r="A37" s="107" t="s">
        <v>236</v>
      </c>
      <c r="B37" s="126"/>
      <c r="C37" s="126" t="s">
        <v>234</v>
      </c>
      <c r="D37" s="126" t="s">
        <v>237</v>
      </c>
      <c r="E37" s="127" t="s">
        <v>150</v>
      </c>
      <c r="F37" s="128" t="s">
        <v>151</v>
      </c>
      <c r="G37" s="126"/>
      <c r="H37" s="126"/>
      <c r="I37" s="126"/>
      <c r="J37" s="132"/>
    </row>
    <row r="38" ht="14.25">
      <c r="A38" s="112" t="s">
        <v>238</v>
      </c>
      <c r="B38" s="119"/>
      <c r="C38" s="119" t="s">
        <v>234</v>
      </c>
      <c r="D38" s="119" t="s">
        <v>237</v>
      </c>
      <c r="E38" s="123" t="s">
        <v>150</v>
      </c>
      <c r="F38" s="129" t="s">
        <v>151</v>
      </c>
      <c r="G38" s="119"/>
      <c r="H38" s="119"/>
      <c r="I38" s="119"/>
      <c r="J38" s="131"/>
    </row>
    <row r="39" ht="14.25">
      <c r="A39" s="112" t="s">
        <v>239</v>
      </c>
      <c r="B39" s="119"/>
      <c r="C39" s="119" t="s">
        <v>234</v>
      </c>
      <c r="D39" s="119" t="s">
        <v>240</v>
      </c>
      <c r="E39" s="123" t="s">
        <v>150</v>
      </c>
      <c r="F39" s="129" t="s">
        <v>151</v>
      </c>
      <c r="G39" s="119"/>
      <c r="H39" s="119"/>
      <c r="I39" s="119"/>
      <c r="J39" s="131"/>
    </row>
    <row r="40" ht="14.25">
      <c r="A40" s="112" t="s">
        <v>241</v>
      </c>
      <c r="B40" s="119"/>
      <c r="C40" s="119" t="s">
        <v>199</v>
      </c>
      <c r="D40" s="119" t="s">
        <v>242</v>
      </c>
      <c r="E40" s="123" t="s">
        <v>150</v>
      </c>
      <c r="F40" s="129" t="s">
        <v>151</v>
      </c>
      <c r="G40" s="119"/>
      <c r="H40" s="119"/>
      <c r="I40" s="119"/>
      <c r="J40" s="131"/>
    </row>
    <row r="41" ht="14.25">
      <c r="A41" s="112"/>
      <c r="B41" s="119"/>
      <c r="C41" s="119" t="s">
        <v>243</v>
      </c>
      <c r="D41" s="119" t="s">
        <v>243</v>
      </c>
      <c r="E41" s="123" t="s">
        <v>150</v>
      </c>
      <c r="F41" s="129" t="s">
        <v>151</v>
      </c>
      <c r="G41" s="119"/>
      <c r="H41" s="119"/>
      <c r="I41" s="119"/>
      <c r="J41" s="131"/>
    </row>
  </sheetData>
  <pageMargins left="0.7" right="0.7" top="0.75" bottom="0.75" header="0.3" footer="0.3"/>
  <headerFooter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mc:Ignorable="x14ac xr">
  <sheetPr codeName="Sheet13"/>
  <dimension ref="A1:B188"/>
  <sheetViews>
    <sheetView workbookViewId="0">
      <selection activeCell="G54" sqref="G54"/>
    </sheetView>
  </sheetViews>
  <sheetFormatPr defaultRowHeight="12.75"/>
  <cols>
    <col min="1" max="1" bestFit="1" width="25.73046875" customWidth="1"/>
    <col min="2" max="2" bestFit="1" width="10.265625" customWidth="1"/>
  </cols>
  <sheetData>
    <row r="1" ht="14.25">
      <c r="A1" s="135" t="s">
        <v>244</v>
      </c>
      <c r="B1" s="136" t="s">
        <v>245</v>
      </c>
    </row>
    <row r="2" ht="14.25">
      <c r="A2" s="133">
        <v>736347</v>
      </c>
      <c r="B2" s="134" t="s">
        <v>246</v>
      </c>
    </row>
    <row r="3" ht="14.25">
      <c r="A3" s="133">
        <v>736349</v>
      </c>
      <c r="B3" s="134" t="s">
        <v>114</v>
      </c>
    </row>
    <row r="4" ht="14.25">
      <c r="A4" s="133">
        <v>736350</v>
      </c>
      <c r="B4" s="134" t="s">
        <v>246</v>
      </c>
    </row>
    <row r="5" ht="14.25">
      <c r="A5" s="133">
        <v>736854</v>
      </c>
      <c r="B5" s="134" t="s">
        <v>246</v>
      </c>
    </row>
    <row r="6" ht="14.25">
      <c r="A6" s="133">
        <v>737190</v>
      </c>
      <c r="B6" s="134" t="s">
        <v>114</v>
      </c>
    </row>
    <row r="7" ht="14.25">
      <c r="A7" s="133">
        <v>738187</v>
      </c>
      <c r="B7" s="134" t="s">
        <v>114</v>
      </c>
    </row>
    <row r="8" ht="14.25">
      <c r="A8" s="133">
        <v>738446</v>
      </c>
      <c r="B8" s="134" t="s">
        <v>246</v>
      </c>
    </row>
    <row r="9" ht="14.25">
      <c r="A9" s="133">
        <v>738447</v>
      </c>
      <c r="B9" s="134" t="s">
        <v>114</v>
      </c>
    </row>
    <row r="10" ht="14.25">
      <c r="A10" s="133">
        <v>738448</v>
      </c>
      <c r="B10" s="134" t="s">
        <v>114</v>
      </c>
    </row>
    <row r="11" ht="14.25">
      <c r="A11" s="133">
        <v>738449</v>
      </c>
      <c r="B11" s="134" t="s">
        <v>246</v>
      </c>
    </row>
    <row r="12" ht="14.25">
      <c r="A12" s="133">
        <v>738454</v>
      </c>
      <c r="B12" s="134" t="s">
        <v>246</v>
      </c>
    </row>
    <row r="13" ht="14.25">
      <c r="A13" s="133">
        <v>739489</v>
      </c>
      <c r="B13" s="134" t="s">
        <v>114</v>
      </c>
    </row>
    <row r="14" ht="14.25">
      <c r="A14" s="133">
        <v>739620</v>
      </c>
      <c r="B14" s="134" t="s">
        <v>246</v>
      </c>
    </row>
    <row r="15" ht="14.25">
      <c r="A15" s="133">
        <v>739622</v>
      </c>
      <c r="B15" s="134" t="s">
        <v>246</v>
      </c>
    </row>
    <row r="16" ht="14.25">
      <c r="A16" s="133">
        <v>739623</v>
      </c>
      <c r="B16" s="134" t="s">
        <v>246</v>
      </c>
    </row>
    <row r="17" ht="14.25">
      <c r="A17" s="133">
        <v>739624</v>
      </c>
      <c r="B17" s="134" t="s">
        <v>246</v>
      </c>
    </row>
    <row r="18" ht="14.25">
      <c r="A18" s="133">
        <v>739630</v>
      </c>
      <c r="B18" s="134" t="s">
        <v>246</v>
      </c>
    </row>
    <row r="19" ht="14.25">
      <c r="A19" s="133">
        <v>739636</v>
      </c>
      <c r="B19" s="134" t="s">
        <v>246</v>
      </c>
    </row>
    <row r="20" ht="14.25">
      <c r="A20" s="133">
        <v>739637</v>
      </c>
      <c r="B20" s="134" t="s">
        <v>246</v>
      </c>
    </row>
    <row r="21" ht="14.25">
      <c r="A21" s="133">
        <v>739640</v>
      </c>
      <c r="B21" s="134" t="s">
        <v>246</v>
      </c>
    </row>
    <row r="22" ht="14.25">
      <c r="A22" s="133">
        <v>739649</v>
      </c>
      <c r="B22" s="134" t="s">
        <v>246</v>
      </c>
    </row>
    <row r="23" ht="14.25">
      <c r="A23" s="133">
        <v>739650</v>
      </c>
      <c r="B23" s="134" t="s">
        <v>246</v>
      </c>
    </row>
    <row r="24" ht="14.25">
      <c r="A24" s="133">
        <v>739685</v>
      </c>
      <c r="B24" s="134" t="s">
        <v>246</v>
      </c>
    </row>
    <row r="25" ht="14.25">
      <c r="A25" s="133">
        <v>739686</v>
      </c>
      <c r="B25" s="134" t="s">
        <v>246</v>
      </c>
    </row>
    <row r="26" ht="14.25">
      <c r="A26" s="133">
        <v>741785</v>
      </c>
      <c r="B26" s="134" t="s">
        <v>114</v>
      </c>
    </row>
    <row r="27" ht="14.25">
      <c r="A27" s="133">
        <v>741794</v>
      </c>
      <c r="B27" s="134" t="s">
        <v>246</v>
      </c>
    </row>
    <row r="28" ht="14.25">
      <c r="A28" s="133">
        <v>742047</v>
      </c>
      <c r="B28" s="134" t="s">
        <v>246</v>
      </c>
    </row>
    <row r="29" ht="14.25">
      <c r="A29" s="133">
        <v>742192</v>
      </c>
      <c r="B29" s="134" t="s">
        <v>114</v>
      </c>
    </row>
    <row r="30" ht="14.25">
      <c r="A30" s="133">
        <v>742210</v>
      </c>
      <c r="B30" s="134" t="s">
        <v>246</v>
      </c>
    </row>
    <row r="31" ht="14.25">
      <c r="A31" s="133">
        <v>742211</v>
      </c>
      <c r="B31" s="134" t="s">
        <v>246</v>
      </c>
    </row>
    <row r="32" ht="14.25">
      <c r="A32" s="133">
        <v>742215</v>
      </c>
      <c r="B32" s="134" t="s">
        <v>246</v>
      </c>
    </row>
    <row r="33" ht="14.25">
      <c r="A33" s="133">
        <v>742241</v>
      </c>
      <c r="B33" s="134" t="s">
        <v>246</v>
      </c>
    </row>
    <row r="34" ht="14.25">
      <c r="A34" s="133">
        <v>742265</v>
      </c>
      <c r="B34" s="134" t="s">
        <v>246</v>
      </c>
    </row>
    <row r="35" ht="14.25">
      <c r="A35" s="133">
        <v>742266</v>
      </c>
      <c r="B35" s="134" t="s">
        <v>246</v>
      </c>
    </row>
    <row r="36" ht="14.25">
      <c r="A36" s="133">
        <v>742270</v>
      </c>
      <c r="B36" s="134" t="s">
        <v>246</v>
      </c>
    </row>
    <row r="37" ht="14.25">
      <c r="A37" s="133">
        <v>742290</v>
      </c>
      <c r="B37" s="134" t="s">
        <v>246</v>
      </c>
    </row>
    <row r="38" ht="14.25">
      <c r="A38" s="133">
        <v>5863903</v>
      </c>
      <c r="B38" s="134" t="s">
        <v>246</v>
      </c>
    </row>
    <row r="39" ht="14.25">
      <c r="A39" s="133">
        <v>5961300</v>
      </c>
      <c r="B39" s="134" t="s">
        <v>246</v>
      </c>
    </row>
    <row r="40" ht="14.25">
      <c r="A40" s="133">
        <v>80010173</v>
      </c>
      <c r="B40" s="134" t="s">
        <v>246</v>
      </c>
    </row>
    <row r="41" ht="14.25">
      <c r="A41" s="133">
        <v>80010204</v>
      </c>
      <c r="B41" s="134" t="s">
        <v>246</v>
      </c>
    </row>
    <row r="42" ht="14.25">
      <c r="A42" s="133">
        <v>80010248</v>
      </c>
      <c r="B42" s="134" t="s">
        <v>246</v>
      </c>
    </row>
    <row r="43" ht="14.25">
      <c r="A43" s="133">
        <v>80010249</v>
      </c>
      <c r="B43" s="134" t="s">
        <v>114</v>
      </c>
    </row>
    <row r="44" ht="14.25">
      <c r="A44" s="133">
        <v>80010274</v>
      </c>
      <c r="B44" s="134" t="s">
        <v>114</v>
      </c>
    </row>
    <row r="45" ht="14.25">
      <c r="A45" s="133">
        <v>80010292</v>
      </c>
      <c r="B45" s="134" t="s">
        <v>246</v>
      </c>
    </row>
    <row r="46" ht="14.25">
      <c r="A46" s="133">
        <v>80010302</v>
      </c>
      <c r="B46" s="134" t="s">
        <v>246</v>
      </c>
    </row>
    <row r="47" ht="14.25">
      <c r="A47" s="133">
        <v>80010307</v>
      </c>
      <c r="B47" s="134" t="s">
        <v>246</v>
      </c>
    </row>
    <row r="48" ht="14.25">
      <c r="A48" s="133">
        <v>80010454</v>
      </c>
      <c r="B48" s="134" t="s">
        <v>246</v>
      </c>
    </row>
    <row r="49" ht="14.25">
      <c r="A49" s="133">
        <v>80010456</v>
      </c>
      <c r="B49" s="134" t="s">
        <v>246</v>
      </c>
    </row>
    <row r="50" ht="14.25">
      <c r="A50" s="133">
        <v>80010465</v>
      </c>
      <c r="B50" s="134" t="s">
        <v>114</v>
      </c>
    </row>
    <row r="51" ht="14.25">
      <c r="A51" s="133">
        <v>80010492</v>
      </c>
      <c r="B51" s="134" t="s">
        <v>246</v>
      </c>
    </row>
    <row r="52" ht="14.25">
      <c r="A52" s="133">
        <v>80010517</v>
      </c>
      <c r="B52" s="134" t="s">
        <v>246</v>
      </c>
    </row>
    <row r="53" ht="14.25">
      <c r="A53" s="133">
        <v>80010622</v>
      </c>
      <c r="B53" s="134" t="s">
        <v>114</v>
      </c>
    </row>
    <row r="54" ht="14.25">
      <c r="A54" s="133">
        <v>80010656</v>
      </c>
      <c r="B54" s="134" t="s">
        <v>114</v>
      </c>
    </row>
    <row r="55" ht="14.25">
      <c r="A55" s="133">
        <v>80010677</v>
      </c>
      <c r="B55" s="134" t="s">
        <v>114</v>
      </c>
    </row>
    <row r="56" ht="14.25">
      <c r="A56" s="133">
        <v>80010681</v>
      </c>
      <c r="B56" s="134" t="s">
        <v>114</v>
      </c>
    </row>
    <row r="57" ht="14.25">
      <c r="A57" s="133">
        <v>80010682</v>
      </c>
      <c r="B57" s="134" t="s">
        <v>114</v>
      </c>
    </row>
    <row r="58" ht="14.25">
      <c r="A58" s="133">
        <v>80010692</v>
      </c>
      <c r="B58" s="134" t="s">
        <v>114</v>
      </c>
    </row>
    <row r="59" ht="14.25">
      <c r="A59" s="133">
        <v>80010710</v>
      </c>
      <c r="B59" s="134" t="s">
        <v>114</v>
      </c>
    </row>
    <row r="60" ht="14.25">
      <c r="A60" s="133">
        <v>80010748</v>
      </c>
      <c r="B60" s="134" t="s">
        <v>114</v>
      </c>
    </row>
    <row r="61" ht="14.25">
      <c r="A61" s="133">
        <v>80010761</v>
      </c>
      <c r="B61" s="134" t="s">
        <v>114</v>
      </c>
    </row>
    <row r="62" ht="14.25">
      <c r="A62" s="133">
        <v>80010776</v>
      </c>
      <c r="B62" s="134" t="s">
        <v>114</v>
      </c>
    </row>
    <row r="63" ht="14.25">
      <c r="A63" s="133">
        <v>80010825</v>
      </c>
      <c r="B63" s="134" t="s">
        <v>246</v>
      </c>
    </row>
    <row r="64" ht="14.25">
      <c r="A64" s="133">
        <v>80010826</v>
      </c>
      <c r="B64" s="134" t="s">
        <v>246</v>
      </c>
    </row>
    <row r="65" ht="14.25">
      <c r="A65" s="133">
        <v>80010864</v>
      </c>
      <c r="B65" s="134" t="s">
        <v>114</v>
      </c>
    </row>
    <row r="66" ht="14.25">
      <c r="A66" s="133">
        <v>80010865</v>
      </c>
      <c r="B66" s="134" t="s">
        <v>114</v>
      </c>
    </row>
    <row r="67" ht="14.25">
      <c r="A67" s="133">
        <v>80010899</v>
      </c>
      <c r="B67" s="134" t="s">
        <v>114</v>
      </c>
    </row>
    <row r="68" ht="14.25">
      <c r="A68" s="133">
        <v>80010992</v>
      </c>
      <c r="B68" s="134" t="s">
        <v>114</v>
      </c>
    </row>
    <row r="69" ht="14.25">
      <c r="A69" s="133">
        <v>80020872</v>
      </c>
      <c r="B69" s="134" t="s">
        <v>114</v>
      </c>
    </row>
    <row r="70" ht="14.25">
      <c r="A70" s="133">
        <v>80020892</v>
      </c>
      <c r="B70" s="134" t="s">
        <v>114</v>
      </c>
    </row>
    <row r="71" ht="14.25">
      <c r="A71" s="133">
        <v>80020899</v>
      </c>
      <c r="B71" s="134" t="s">
        <v>114</v>
      </c>
    </row>
    <row r="72" ht="14.25">
      <c r="A72" s="133" t="s">
        <v>247</v>
      </c>
      <c r="B72" s="134" t="s">
        <v>114</v>
      </c>
    </row>
    <row r="73" ht="14.25">
      <c r="A73" s="133" t="s">
        <v>248</v>
      </c>
      <c r="B73" s="134" t="s">
        <v>114</v>
      </c>
    </row>
    <row r="74" ht="14.25">
      <c r="A74" s="133" t="s">
        <v>249</v>
      </c>
      <c r="B74" s="134" t="s">
        <v>114</v>
      </c>
    </row>
    <row r="75" ht="14.25">
      <c r="A75" s="133" t="s">
        <v>250</v>
      </c>
      <c r="B75" s="134" t="s">
        <v>114</v>
      </c>
    </row>
    <row r="76" ht="14.25">
      <c r="A76" s="133" t="s">
        <v>251</v>
      </c>
      <c r="B76" s="134" t="s">
        <v>246</v>
      </c>
    </row>
    <row r="77" ht="14.25">
      <c r="A77" s="133" t="s">
        <v>252</v>
      </c>
      <c r="B77" s="134" t="s">
        <v>246</v>
      </c>
    </row>
    <row r="78" ht="14.25">
      <c r="A78" s="133" t="s">
        <v>253</v>
      </c>
      <c r="B78" s="134" t="s">
        <v>246</v>
      </c>
    </row>
    <row r="79" ht="14.25">
      <c r="A79" s="133" t="s">
        <v>254</v>
      </c>
      <c r="B79" s="134" t="s">
        <v>246</v>
      </c>
    </row>
    <row r="80" ht="14.25">
      <c r="A80" s="133" t="s">
        <v>255</v>
      </c>
      <c r="B80" s="134" t="s">
        <v>246</v>
      </c>
    </row>
    <row r="81" ht="14.25">
      <c r="A81" s="133" t="s">
        <v>256</v>
      </c>
      <c r="B81" s="134" t="s">
        <v>246</v>
      </c>
    </row>
    <row r="82" ht="14.25">
      <c r="A82" s="133" t="s">
        <v>257</v>
      </c>
      <c r="B82" s="134" t="s">
        <v>246</v>
      </c>
    </row>
    <row r="83" ht="14.25">
      <c r="A83" s="133" t="s">
        <v>258</v>
      </c>
      <c r="B83" s="134" t="s">
        <v>246</v>
      </c>
    </row>
    <row r="84" ht="14.25">
      <c r="A84" s="133" t="s">
        <v>259</v>
      </c>
      <c r="B84" s="134" t="s">
        <v>246</v>
      </c>
    </row>
    <row r="85" ht="14.25">
      <c r="A85" s="133" t="s">
        <v>260</v>
      </c>
      <c r="B85" s="134" t="s">
        <v>246</v>
      </c>
    </row>
    <row r="86" ht="14.25">
      <c r="A86" s="133" t="s">
        <v>261</v>
      </c>
      <c r="B86" s="134" t="s">
        <v>246</v>
      </c>
    </row>
    <row r="87" ht="14.25">
      <c r="A87" s="133" t="s">
        <v>262</v>
      </c>
      <c r="B87" s="134" t="s">
        <v>246</v>
      </c>
    </row>
    <row r="88" ht="14.25">
      <c r="A88" s="133" t="s">
        <v>263</v>
      </c>
      <c r="B88" s="134" t="s">
        <v>246</v>
      </c>
    </row>
    <row r="89" ht="14.25">
      <c r="A89" s="133" t="s">
        <v>264</v>
      </c>
      <c r="B89" s="134" t="s">
        <v>246</v>
      </c>
    </row>
    <row r="90" ht="14.25">
      <c r="A90" s="133" t="s">
        <v>265</v>
      </c>
      <c r="B90" s="134" t="s">
        <v>246</v>
      </c>
    </row>
    <row r="91" ht="14.25">
      <c r="A91" s="133" t="s">
        <v>266</v>
      </c>
      <c r="B91" s="134" t="s">
        <v>246</v>
      </c>
    </row>
    <row r="92" ht="14.25">
      <c r="A92" s="133" t="s">
        <v>267</v>
      </c>
      <c r="B92" s="134" t="s">
        <v>246</v>
      </c>
    </row>
    <row r="93" ht="14.25">
      <c r="A93" s="133" t="s">
        <v>268</v>
      </c>
      <c r="B93" s="134" t="s">
        <v>246</v>
      </c>
    </row>
    <row r="94" ht="14.25">
      <c r="A94" s="133" t="s">
        <v>269</v>
      </c>
      <c r="B94" s="134" t="s">
        <v>114</v>
      </c>
    </row>
    <row r="95" ht="14.25">
      <c r="A95" s="133" t="s">
        <v>270</v>
      </c>
      <c r="B95" s="134" t="s">
        <v>114</v>
      </c>
    </row>
    <row r="96" ht="14.25">
      <c r="A96" s="133" t="s">
        <v>271</v>
      </c>
      <c r="B96" s="134" t="s">
        <v>114</v>
      </c>
    </row>
    <row r="97" ht="14.25">
      <c r="A97" s="133" t="s">
        <v>272</v>
      </c>
      <c r="B97" s="134" t="s">
        <v>114</v>
      </c>
    </row>
    <row r="98" ht="14.25">
      <c r="A98" s="133" t="s">
        <v>273</v>
      </c>
      <c r="B98" s="134" t="s">
        <v>114</v>
      </c>
    </row>
    <row r="99" ht="14.25">
      <c r="A99" s="133" t="s">
        <v>274</v>
      </c>
      <c r="B99" s="134" t="s">
        <v>114</v>
      </c>
    </row>
    <row r="100" ht="14.25">
      <c r="A100" s="133" t="s">
        <v>275</v>
      </c>
      <c r="B100" s="134" t="s">
        <v>114</v>
      </c>
    </row>
    <row r="101" ht="14.25">
      <c r="A101" s="133" t="s">
        <v>180</v>
      </c>
      <c r="B101" s="134" t="s">
        <v>114</v>
      </c>
    </row>
    <row r="102" ht="14.25">
      <c r="A102" s="133" t="s">
        <v>276</v>
      </c>
      <c r="B102" s="134" t="s">
        <v>114</v>
      </c>
    </row>
    <row r="103" ht="14.25">
      <c r="A103" s="133" t="s">
        <v>277</v>
      </c>
      <c r="B103" s="134" t="s">
        <v>114</v>
      </c>
    </row>
    <row r="104" ht="14.25">
      <c r="A104" s="139" t="s">
        <v>278</v>
      </c>
      <c r="B104" s="140" t="s">
        <v>114</v>
      </c>
    </row>
    <row r="105" ht="14.25">
      <c r="A105" s="133" t="s">
        <v>279</v>
      </c>
      <c r="B105" s="134" t="s">
        <v>246</v>
      </c>
    </row>
    <row r="106" ht="14.25">
      <c r="A106" s="133" t="s">
        <v>280</v>
      </c>
      <c r="B106" s="134" t="s">
        <v>114</v>
      </c>
    </row>
    <row r="107" ht="14.25">
      <c r="A107" s="133" t="s">
        <v>281</v>
      </c>
      <c r="B107" s="134" t="s">
        <v>114</v>
      </c>
    </row>
    <row r="108" ht="14.25">
      <c r="A108" s="133" t="s">
        <v>282</v>
      </c>
      <c r="B108" s="134" t="s">
        <v>114</v>
      </c>
    </row>
    <row r="109" ht="14.25">
      <c r="A109" s="133" t="s">
        <v>283</v>
      </c>
      <c r="B109" s="134" t="s">
        <v>114</v>
      </c>
    </row>
    <row r="110" ht="14.25">
      <c r="A110" s="133" t="s">
        <v>284</v>
      </c>
      <c r="B110" s="134" t="s">
        <v>114</v>
      </c>
    </row>
    <row r="111" ht="14.25">
      <c r="A111" s="133" t="s">
        <v>285</v>
      </c>
      <c r="B111" s="134" t="s">
        <v>114</v>
      </c>
    </row>
    <row r="112" ht="14.25">
      <c r="A112" s="133" t="s">
        <v>286</v>
      </c>
      <c r="B112" s="134" t="s">
        <v>114</v>
      </c>
    </row>
    <row r="113" ht="14.25">
      <c r="A113" s="133" t="s">
        <v>287</v>
      </c>
      <c r="B113" s="134" t="s">
        <v>114</v>
      </c>
    </row>
    <row r="114" ht="14.25">
      <c r="A114" s="133" t="s">
        <v>288</v>
      </c>
      <c r="B114" s="134" t="s">
        <v>114</v>
      </c>
    </row>
    <row r="115" ht="14.25">
      <c r="A115" s="133" t="s">
        <v>289</v>
      </c>
      <c r="B115" s="134" t="s">
        <v>114</v>
      </c>
    </row>
    <row r="116" ht="14.25">
      <c r="A116" s="133" t="s">
        <v>290</v>
      </c>
      <c r="B116" s="134" t="s">
        <v>114</v>
      </c>
    </row>
    <row r="117" ht="14.25">
      <c r="A117" s="133" t="s">
        <v>291</v>
      </c>
      <c r="B117" s="134" t="s">
        <v>114</v>
      </c>
    </row>
    <row r="118" ht="14.25">
      <c r="A118" s="133" t="s">
        <v>292</v>
      </c>
      <c r="B118" s="134" t="s">
        <v>114</v>
      </c>
    </row>
    <row r="119" ht="14.25">
      <c r="A119" s="133" t="s">
        <v>293</v>
      </c>
      <c r="B119" s="134" t="s">
        <v>114</v>
      </c>
    </row>
    <row r="120" ht="14.25">
      <c r="A120" s="133" t="s">
        <v>294</v>
      </c>
      <c r="B120" s="134" t="s">
        <v>114</v>
      </c>
    </row>
    <row r="121" ht="14.25">
      <c r="A121" s="133" t="s">
        <v>295</v>
      </c>
      <c r="B121" s="134" t="s">
        <v>114</v>
      </c>
    </row>
    <row r="122" ht="14.25">
      <c r="A122" s="133" t="s">
        <v>296</v>
      </c>
      <c r="B122" s="134" t="s">
        <v>114</v>
      </c>
    </row>
    <row r="123" ht="14.25">
      <c r="A123" s="133" t="s">
        <v>7</v>
      </c>
      <c r="B123" s="134" t="s">
        <v>114</v>
      </c>
    </row>
    <row r="124" ht="14.25">
      <c r="A124" s="133" t="s">
        <v>297</v>
      </c>
      <c r="B124" s="134" t="s">
        <v>114</v>
      </c>
    </row>
    <row r="125" ht="14.25">
      <c r="A125" s="133" t="s">
        <v>298</v>
      </c>
      <c r="B125" s="134" t="s">
        <v>114</v>
      </c>
    </row>
    <row r="126" ht="14.25">
      <c r="A126" s="133" t="s">
        <v>299</v>
      </c>
      <c r="B126" s="134" t="s">
        <v>114</v>
      </c>
    </row>
    <row r="127" ht="14.25">
      <c r="A127" s="133" t="s">
        <v>300</v>
      </c>
      <c r="B127" s="134" t="s">
        <v>114</v>
      </c>
    </row>
    <row r="128" ht="14.25">
      <c r="A128" s="133" t="s">
        <v>301</v>
      </c>
      <c r="B128" s="134" t="s">
        <v>114</v>
      </c>
    </row>
    <row r="129" ht="14.25">
      <c r="A129" s="133" t="s">
        <v>302</v>
      </c>
      <c r="B129" s="134" t="s">
        <v>246</v>
      </c>
    </row>
    <row r="130" ht="14.25">
      <c r="A130" s="133" t="s">
        <v>303</v>
      </c>
      <c r="B130" s="134" t="s">
        <v>114</v>
      </c>
    </row>
    <row r="131" ht="14.25">
      <c r="A131" s="133" t="s">
        <v>304</v>
      </c>
      <c r="B131" s="134" t="s">
        <v>114</v>
      </c>
    </row>
    <row r="132" ht="14.25">
      <c r="A132" s="133" t="s">
        <v>305</v>
      </c>
      <c r="B132" s="134" t="s">
        <v>114</v>
      </c>
    </row>
    <row r="133" ht="14.25">
      <c r="A133" s="133" t="s">
        <v>306</v>
      </c>
      <c r="B133" s="134" t="s">
        <v>114</v>
      </c>
    </row>
    <row r="134" ht="14.25">
      <c r="A134" s="133" t="s">
        <v>307</v>
      </c>
      <c r="B134" s="134" t="s">
        <v>114</v>
      </c>
    </row>
    <row r="135" ht="14.25">
      <c r="A135" s="133" t="s">
        <v>308</v>
      </c>
      <c r="B135" s="134" t="s">
        <v>114</v>
      </c>
    </row>
    <row r="136" ht="14.25">
      <c r="A136" s="133" t="s">
        <v>309</v>
      </c>
      <c r="B136" s="134" t="s">
        <v>114</v>
      </c>
    </row>
    <row r="137" ht="14.25">
      <c r="A137" s="133" t="s">
        <v>310</v>
      </c>
      <c r="B137" s="134" t="s">
        <v>246</v>
      </c>
    </row>
    <row r="138" ht="14.25">
      <c r="A138" s="133" t="s">
        <v>311</v>
      </c>
      <c r="B138" s="134" t="s">
        <v>246</v>
      </c>
    </row>
    <row r="139" ht="14.25">
      <c r="A139" s="133" t="s">
        <v>312</v>
      </c>
      <c r="B139" s="134" t="s">
        <v>246</v>
      </c>
    </row>
    <row r="140" ht="14.25">
      <c r="A140" s="133" t="s">
        <v>313</v>
      </c>
      <c r="B140" s="134" t="s">
        <v>246</v>
      </c>
    </row>
    <row r="141" ht="14.25">
      <c r="A141" s="133" t="s">
        <v>314</v>
      </c>
      <c r="B141" s="134" t="s">
        <v>114</v>
      </c>
    </row>
    <row r="142" ht="14.25">
      <c r="A142" s="133" t="s">
        <v>315</v>
      </c>
      <c r="B142" s="134" t="s">
        <v>114</v>
      </c>
    </row>
    <row r="143" ht="14.25">
      <c r="A143" s="133" t="s">
        <v>316</v>
      </c>
      <c r="B143" s="134" t="s">
        <v>246</v>
      </c>
    </row>
    <row r="144" ht="14.25">
      <c r="A144" s="133" t="s">
        <v>317</v>
      </c>
      <c r="B144" s="134" t="s">
        <v>246</v>
      </c>
    </row>
    <row r="145" ht="14.25">
      <c r="A145" s="133" t="s">
        <v>318</v>
      </c>
      <c r="B145" s="134" t="s">
        <v>246</v>
      </c>
    </row>
    <row r="146" ht="14.25">
      <c r="A146" s="133" t="s">
        <v>319</v>
      </c>
      <c r="B146" s="134" t="s">
        <v>246</v>
      </c>
    </row>
    <row r="147" ht="14.25">
      <c r="A147" s="133" t="s">
        <v>320</v>
      </c>
      <c r="B147" s="134" t="s">
        <v>246</v>
      </c>
    </row>
    <row r="148" ht="14.25">
      <c r="A148" s="133" t="s">
        <v>321</v>
      </c>
      <c r="B148" s="134" t="s">
        <v>114</v>
      </c>
    </row>
    <row r="149" ht="14.25">
      <c r="A149" s="133" t="s">
        <v>322</v>
      </c>
      <c r="B149" s="134" t="s">
        <v>114</v>
      </c>
    </row>
    <row r="150" ht="14.25">
      <c r="A150" s="133" t="s">
        <v>323</v>
      </c>
      <c r="B150" s="134" t="s">
        <v>114</v>
      </c>
    </row>
    <row r="151" ht="14.25">
      <c r="A151" s="133" t="s">
        <v>324</v>
      </c>
      <c r="B151" s="134" t="s">
        <v>246</v>
      </c>
    </row>
    <row r="152" ht="14.25">
      <c r="A152" s="133" t="s">
        <v>325</v>
      </c>
      <c r="B152" s="134" t="s">
        <v>246</v>
      </c>
    </row>
    <row r="153" ht="14.25">
      <c r="A153" s="133" t="s">
        <v>326</v>
      </c>
      <c r="B153" s="134" t="s">
        <v>114</v>
      </c>
    </row>
    <row r="154" ht="14.25">
      <c r="A154" s="133" t="s">
        <v>327</v>
      </c>
      <c r="B154" s="134" t="s">
        <v>114</v>
      </c>
    </row>
    <row r="155" ht="14.25">
      <c r="A155" s="133" t="s">
        <v>328</v>
      </c>
      <c r="B155" s="134" t="s">
        <v>114</v>
      </c>
    </row>
    <row r="156" ht="14.25">
      <c r="A156" s="133" t="s">
        <v>329</v>
      </c>
      <c r="B156" s="134" t="s">
        <v>114</v>
      </c>
    </row>
    <row r="157" ht="14.25">
      <c r="A157" s="133" t="s">
        <v>330</v>
      </c>
      <c r="B157" s="134" t="s">
        <v>246</v>
      </c>
    </row>
    <row r="158" ht="14.25">
      <c r="A158" s="133" t="s">
        <v>331</v>
      </c>
      <c r="B158" s="134" t="s">
        <v>114</v>
      </c>
    </row>
    <row r="159" ht="14.25">
      <c r="A159" s="133" t="s">
        <v>332</v>
      </c>
      <c r="B159" s="134" t="s">
        <v>114</v>
      </c>
    </row>
    <row r="160" ht="14.25">
      <c r="A160" s="133" t="s">
        <v>333</v>
      </c>
      <c r="B160" s="134" t="s">
        <v>246</v>
      </c>
    </row>
    <row r="161" ht="14.25">
      <c r="A161" s="133" t="s">
        <v>334</v>
      </c>
      <c r="B161" s="134" t="s">
        <v>246</v>
      </c>
    </row>
    <row r="162" ht="14.25">
      <c r="A162" s="133" t="s">
        <v>335</v>
      </c>
      <c r="B162" s="134" t="s">
        <v>246</v>
      </c>
    </row>
    <row r="163" ht="14.25">
      <c r="A163" s="133" t="s">
        <v>336</v>
      </c>
      <c r="B163" s="134" t="s">
        <v>246</v>
      </c>
    </row>
    <row r="164" ht="14.25">
      <c r="A164" s="133" t="s">
        <v>337</v>
      </c>
      <c r="B164" s="134" t="s">
        <v>246</v>
      </c>
    </row>
    <row r="165" ht="14.25">
      <c r="A165" s="133" t="s">
        <v>338</v>
      </c>
      <c r="B165" s="134" t="s">
        <v>246</v>
      </c>
    </row>
    <row r="166" ht="14.25">
      <c r="A166" s="133" t="s">
        <v>339</v>
      </c>
      <c r="B166" s="134" t="s">
        <v>114</v>
      </c>
    </row>
    <row r="167" ht="14.25">
      <c r="A167" s="133" t="s">
        <v>340</v>
      </c>
      <c r="B167" s="134" t="s">
        <v>114</v>
      </c>
    </row>
    <row r="168" ht="14.25">
      <c r="A168" s="133" t="s">
        <v>341</v>
      </c>
      <c r="B168" s="134" t="s">
        <v>114</v>
      </c>
    </row>
    <row r="169" ht="14.25">
      <c r="A169" s="133" t="s">
        <v>342</v>
      </c>
      <c r="B169" s="134" t="s">
        <v>246</v>
      </c>
    </row>
    <row r="170" ht="14.25">
      <c r="A170" s="133" t="s">
        <v>343</v>
      </c>
      <c r="B170" s="134" t="s">
        <v>246</v>
      </c>
    </row>
    <row r="171" ht="14.25">
      <c r="A171" s="133" t="s">
        <v>344</v>
      </c>
      <c r="B171" s="134" t="s">
        <v>246</v>
      </c>
    </row>
    <row r="172" ht="14.25">
      <c r="A172" s="133" t="s">
        <v>345</v>
      </c>
      <c r="B172" s="134" t="s">
        <v>246</v>
      </c>
    </row>
    <row r="173" ht="14.25">
      <c r="A173" s="133" t="s">
        <v>346</v>
      </c>
      <c r="B173" s="134" t="s">
        <v>114</v>
      </c>
    </row>
    <row r="174" ht="14.25">
      <c r="A174" s="133" t="s">
        <v>347</v>
      </c>
      <c r="B174" s="134" t="s">
        <v>114</v>
      </c>
    </row>
    <row r="175" ht="14.25">
      <c r="A175" s="133" t="s">
        <v>348</v>
      </c>
      <c r="B175" s="134" t="s">
        <v>114</v>
      </c>
    </row>
    <row r="176" ht="14.25">
      <c r="A176" s="133" t="s">
        <v>349</v>
      </c>
      <c r="B176" s="134" t="s">
        <v>114</v>
      </c>
    </row>
    <row r="177" ht="14.25">
      <c r="A177" s="133" t="s">
        <v>350</v>
      </c>
      <c r="B177" s="134" t="s">
        <v>114</v>
      </c>
    </row>
    <row r="178" ht="14.25">
      <c r="A178" s="133" t="s">
        <v>351</v>
      </c>
      <c r="B178" s="134" t="s">
        <v>114</v>
      </c>
    </row>
    <row r="179" ht="14.25">
      <c r="A179" s="133" t="s">
        <v>352</v>
      </c>
      <c r="B179" s="134" t="s">
        <v>114</v>
      </c>
    </row>
    <row r="180" ht="14.25">
      <c r="A180" s="133" t="s">
        <v>353</v>
      </c>
      <c r="B180" s="134" t="s">
        <v>246</v>
      </c>
    </row>
    <row r="181" ht="14.25">
      <c r="A181" s="133" t="s">
        <v>354</v>
      </c>
      <c r="B181" s="134" t="s">
        <v>246</v>
      </c>
    </row>
    <row r="182" ht="14.25">
      <c r="A182" s="133" t="s">
        <v>355</v>
      </c>
      <c r="B182" s="134" t="s">
        <v>246</v>
      </c>
    </row>
    <row r="183" ht="14.25">
      <c r="A183" s="133" t="s">
        <v>356</v>
      </c>
      <c r="B183" s="134" t="s">
        <v>246</v>
      </c>
    </row>
    <row r="184" ht="14.25">
      <c r="A184" s="133" t="s">
        <v>357</v>
      </c>
      <c r="B184" s="134" t="s">
        <v>114</v>
      </c>
    </row>
    <row r="185" ht="14.25">
      <c r="A185" s="133" t="s">
        <v>358</v>
      </c>
      <c r="B185" s="134" t="s">
        <v>246</v>
      </c>
    </row>
    <row r="186" ht="14.25">
      <c r="A186" s="133" t="s">
        <v>359</v>
      </c>
      <c r="B186" s="134" t="s">
        <v>114</v>
      </c>
    </row>
    <row r="187" ht="14.25">
      <c r="A187" s="133" t="s">
        <v>360</v>
      </c>
      <c r="B187" s="134" t="s">
        <v>114</v>
      </c>
    </row>
    <row r="188" ht="14.25">
      <c r="A188" s="137" t="s">
        <v>361</v>
      </c>
      <c r="B188" s="138" t="s">
        <v>246</v>
      </c>
    </row>
  </sheetData>
  <pageMargins left="0.7" right="0.7" top="0.75" bottom="0.75" header="0.3" footer="0.3"/>
  <headerFooter/>
  <tableParts count="1">
    <tablePart r:id="rId1"/>
  </tableParts>
</worksheet>
</file>

<file path=xl/worksheets/sheet31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"/>
  <dimension ref="A1:J269"/>
  <sheetViews>
    <sheetView workbookViewId="0"/>
  </sheetViews>
  <sheetFormatPr defaultRowHeight="15"/>
  <sheetData>
    <row r="1">
      <c r="A1" s="0" t="s">
        <v>247</v>
      </c>
      <c r="B1" s="0" t="s">
        <v>362</v>
      </c>
      <c r="C1" s="0" t="s">
        <v>362</v>
      </c>
    </row>
    <row r="2">
      <c r="A2" s="0" t="s">
        <v>248</v>
      </c>
      <c r="B2" s="0" t="s">
        <v>363</v>
      </c>
      <c r="C2" s="0" t="s">
        <v>363</v>
      </c>
    </row>
    <row r="3">
      <c r="A3" s="0" t="s">
        <v>364</v>
      </c>
      <c r="B3" s="0" t="s">
        <v>35</v>
      </c>
    </row>
    <row r="4">
      <c r="A4" s="0" t="s">
        <v>365</v>
      </c>
      <c r="B4" s="0" t="s">
        <v>366</v>
      </c>
      <c r="C4" s="0" t="s">
        <v>367</v>
      </c>
    </row>
    <row r="5">
      <c r="A5" s="0" t="s">
        <v>368</v>
      </c>
      <c r="B5" s="0" t="s">
        <v>366</v>
      </c>
      <c r="C5" s="0" t="s">
        <v>367</v>
      </c>
      <c r="D5" s="0" t="s">
        <v>367</v>
      </c>
    </row>
    <row r="6">
      <c r="A6" s="0" t="s">
        <v>369</v>
      </c>
      <c r="B6" s="0" t="s">
        <v>35</v>
      </c>
      <c r="C6" s="0" t="s">
        <v>370</v>
      </c>
      <c r="D6" s="0" t="s">
        <v>35</v>
      </c>
      <c r="E6" s="0" t="s">
        <v>370</v>
      </c>
    </row>
    <row r="7">
      <c r="A7" s="0" t="s">
        <v>371</v>
      </c>
      <c r="B7" s="0" t="s">
        <v>370</v>
      </c>
      <c r="C7" s="0" t="s">
        <v>370</v>
      </c>
      <c r="D7" s="0" t="s">
        <v>372</v>
      </c>
      <c r="E7" s="0" t="s">
        <v>372</v>
      </c>
    </row>
    <row r="8">
      <c r="A8" s="0" t="s">
        <v>373</v>
      </c>
      <c r="B8" s="0" t="s">
        <v>35</v>
      </c>
      <c r="C8" s="0" t="s">
        <v>370</v>
      </c>
      <c r="D8" s="0" t="s">
        <v>35</v>
      </c>
      <c r="E8" s="0" t="s">
        <v>35</v>
      </c>
      <c r="F8" s="0" t="s">
        <v>370</v>
      </c>
    </row>
    <row r="9">
      <c r="A9" s="0" t="s">
        <v>374</v>
      </c>
      <c r="B9" s="0" t="s">
        <v>35</v>
      </c>
      <c r="C9" s="0" t="s">
        <v>375</v>
      </c>
      <c r="D9" s="0" t="s">
        <v>370</v>
      </c>
      <c r="E9" s="0" t="s">
        <v>35</v>
      </c>
      <c r="F9" s="0" t="s">
        <v>35</v>
      </c>
      <c r="G9" s="0" t="s">
        <v>370</v>
      </c>
    </row>
    <row r="10">
      <c r="A10" s="0" t="s">
        <v>249</v>
      </c>
      <c r="B10" s="0" t="s">
        <v>376</v>
      </c>
      <c r="C10" s="0" t="s">
        <v>376</v>
      </c>
      <c r="D10" s="0" t="s">
        <v>376</v>
      </c>
      <c r="E10" s="0" t="s">
        <v>376</v>
      </c>
      <c r="F10" s="0" t="s">
        <v>376</v>
      </c>
    </row>
    <row r="11">
      <c r="A11" s="0" t="s">
        <v>377</v>
      </c>
      <c r="B11" s="0" t="s">
        <v>378</v>
      </c>
      <c r="C11" s="0" t="s">
        <v>378</v>
      </c>
      <c r="D11" s="0" t="s">
        <v>378</v>
      </c>
      <c r="E11" s="0" t="s">
        <v>378</v>
      </c>
      <c r="F11" s="0" t="s">
        <v>378</v>
      </c>
    </row>
    <row r="12">
      <c r="A12" s="0" t="s">
        <v>379</v>
      </c>
      <c r="B12" s="0" t="s">
        <v>362</v>
      </c>
    </row>
    <row r="13">
      <c r="A13" s="0" t="s">
        <v>380</v>
      </c>
      <c r="B13" s="0" t="s">
        <v>381</v>
      </c>
    </row>
    <row r="14">
      <c r="A14" s="0" t="s">
        <v>382</v>
      </c>
      <c r="B14" s="0" t="s">
        <v>381</v>
      </c>
    </row>
    <row r="15">
      <c r="A15" s="0" t="s">
        <v>383</v>
      </c>
      <c r="B15" s="0" t="s">
        <v>381</v>
      </c>
    </row>
    <row r="16">
      <c r="A16" s="0" t="s">
        <v>384</v>
      </c>
      <c r="B16" s="0" t="s">
        <v>385</v>
      </c>
    </row>
    <row r="17">
      <c r="A17" s="0" t="s">
        <v>386</v>
      </c>
      <c r="B17" s="0" t="s">
        <v>387</v>
      </c>
    </row>
    <row r="18">
      <c r="A18" s="0" t="s">
        <v>388</v>
      </c>
      <c r="B18" s="0" t="s">
        <v>387</v>
      </c>
    </row>
    <row r="19">
      <c r="A19" s="0" t="s">
        <v>389</v>
      </c>
      <c r="B19" s="0" t="s">
        <v>390</v>
      </c>
    </row>
    <row r="20">
      <c r="A20" s="0" t="s">
        <v>391</v>
      </c>
      <c r="B20" s="0" t="s">
        <v>392</v>
      </c>
    </row>
    <row r="21">
      <c r="A21" s="0" t="s">
        <v>393</v>
      </c>
      <c r="B21" s="0" t="s">
        <v>394</v>
      </c>
    </row>
    <row r="22">
      <c r="A22" s="0" t="s">
        <v>395</v>
      </c>
      <c r="B22" s="0" t="s">
        <v>396</v>
      </c>
    </row>
    <row r="23">
      <c r="A23" s="0" t="s">
        <v>397</v>
      </c>
      <c r="B23" s="0" t="s">
        <v>398</v>
      </c>
    </row>
    <row r="24">
      <c r="A24" s="0" t="s">
        <v>399</v>
      </c>
      <c r="B24" s="0" t="s">
        <v>400</v>
      </c>
    </row>
    <row r="25">
      <c r="A25" s="0" t="s">
        <v>401</v>
      </c>
      <c r="B25" s="0" t="s">
        <v>367</v>
      </c>
    </row>
    <row r="26">
      <c r="A26" s="0" t="s">
        <v>402</v>
      </c>
      <c r="B26" s="0" t="s">
        <v>403</v>
      </c>
    </row>
    <row r="27">
      <c r="A27" s="0" t="s">
        <v>404</v>
      </c>
      <c r="B27" s="0" t="s">
        <v>405</v>
      </c>
    </row>
    <row r="28">
      <c r="A28" s="0" t="s">
        <v>406</v>
      </c>
      <c r="B28" s="0" t="s">
        <v>407</v>
      </c>
    </row>
    <row r="29">
      <c r="A29" s="0" t="s">
        <v>408</v>
      </c>
      <c r="B29" s="0" t="s">
        <v>407</v>
      </c>
    </row>
    <row r="30">
      <c r="A30" s="0" t="s">
        <v>409</v>
      </c>
      <c r="B30" s="0" t="s">
        <v>407</v>
      </c>
    </row>
    <row r="31">
      <c r="A31" s="0" t="s">
        <v>410</v>
      </c>
      <c r="B31" s="0" t="s">
        <v>407</v>
      </c>
    </row>
    <row r="32">
      <c r="A32" s="0" t="s">
        <v>411</v>
      </c>
      <c r="B32" s="0" t="s">
        <v>381</v>
      </c>
    </row>
    <row r="33">
      <c r="A33" s="0" t="s">
        <v>412</v>
      </c>
      <c r="B33" s="0" t="s">
        <v>407</v>
      </c>
    </row>
    <row r="34">
      <c r="A34" s="0" t="s">
        <v>413</v>
      </c>
      <c r="B34" s="0" t="s">
        <v>407</v>
      </c>
    </row>
    <row r="35">
      <c r="A35" s="0" t="s">
        <v>414</v>
      </c>
      <c r="B35" s="0" t="s">
        <v>407</v>
      </c>
    </row>
    <row r="36">
      <c r="A36" s="0" t="s">
        <v>415</v>
      </c>
      <c r="B36" s="0" t="s">
        <v>416</v>
      </c>
    </row>
    <row r="37">
      <c r="A37" s="0" t="s">
        <v>417</v>
      </c>
      <c r="B37" s="0" t="s">
        <v>407</v>
      </c>
    </row>
    <row r="38">
      <c r="A38" s="0" t="s">
        <v>418</v>
      </c>
      <c r="B38" s="0" t="s">
        <v>407</v>
      </c>
    </row>
    <row r="39">
      <c r="A39" s="0" t="s">
        <v>419</v>
      </c>
      <c r="B39" s="0" t="s">
        <v>407</v>
      </c>
    </row>
    <row r="40">
      <c r="A40" s="0" t="s">
        <v>420</v>
      </c>
      <c r="B40" s="0" t="s">
        <v>407</v>
      </c>
    </row>
    <row r="41">
      <c r="A41" s="0" t="s">
        <v>421</v>
      </c>
      <c r="B41" s="0" t="s">
        <v>407</v>
      </c>
    </row>
    <row r="42">
      <c r="A42" s="0" t="s">
        <v>422</v>
      </c>
      <c r="B42" s="0" t="s">
        <v>403</v>
      </c>
    </row>
    <row r="43">
      <c r="A43" s="0" t="s">
        <v>423</v>
      </c>
      <c r="B43" s="0" t="s">
        <v>424</v>
      </c>
    </row>
    <row r="44">
      <c r="A44" s="0" t="s">
        <v>425</v>
      </c>
      <c r="B44" s="0" t="s">
        <v>381</v>
      </c>
    </row>
    <row r="45">
      <c r="A45" s="0" t="s">
        <v>426</v>
      </c>
      <c r="B45" s="0" t="s">
        <v>381</v>
      </c>
    </row>
    <row r="46">
      <c r="A46" s="0" t="s">
        <v>427</v>
      </c>
      <c r="B46" s="0" t="s">
        <v>381</v>
      </c>
    </row>
    <row r="47">
      <c r="A47" s="0" t="s">
        <v>428</v>
      </c>
      <c r="B47" s="0" t="s">
        <v>367</v>
      </c>
    </row>
    <row r="48">
      <c r="A48" s="0" t="s">
        <v>429</v>
      </c>
      <c r="B48" s="0" t="s">
        <v>430</v>
      </c>
    </row>
    <row r="49">
      <c r="A49" s="0" t="s">
        <v>431</v>
      </c>
      <c r="B49" s="0" t="s">
        <v>432</v>
      </c>
    </row>
    <row r="50">
      <c r="A50" s="0" t="s">
        <v>433</v>
      </c>
      <c r="B50" s="0" t="s">
        <v>434</v>
      </c>
    </row>
    <row r="51">
      <c r="A51" s="0" t="s">
        <v>250</v>
      </c>
      <c r="B51" s="0" t="s">
        <v>435</v>
      </c>
    </row>
    <row r="52">
      <c r="A52" s="0" t="s">
        <v>436</v>
      </c>
      <c r="B52" s="0" t="s">
        <v>437</v>
      </c>
    </row>
    <row r="53">
      <c r="A53" s="0" t="s">
        <v>438</v>
      </c>
      <c r="B53" s="0" t="s">
        <v>367</v>
      </c>
    </row>
    <row r="54">
      <c r="A54" s="0" t="s">
        <v>439</v>
      </c>
      <c r="B54" s="0" t="s">
        <v>367</v>
      </c>
    </row>
    <row r="55">
      <c r="A55" s="0" t="s">
        <v>440</v>
      </c>
      <c r="B55" s="0" t="s">
        <v>367</v>
      </c>
    </row>
    <row r="56">
      <c r="A56" s="0" t="s">
        <v>441</v>
      </c>
      <c r="B56" s="0" t="s">
        <v>400</v>
      </c>
    </row>
    <row r="57">
      <c r="A57" s="0" t="s">
        <v>251</v>
      </c>
      <c r="B57" s="0" t="s">
        <v>442</v>
      </c>
    </row>
    <row r="58">
      <c r="A58" s="0" t="s">
        <v>443</v>
      </c>
      <c r="B58" s="0" t="s">
        <v>444</v>
      </c>
    </row>
    <row r="59">
      <c r="A59" s="0" t="s">
        <v>445</v>
      </c>
      <c r="B59" s="0" t="s">
        <v>378</v>
      </c>
      <c r="C59" s="0" t="s">
        <v>416</v>
      </c>
    </row>
    <row r="60">
      <c r="A60" s="0" t="s">
        <v>446</v>
      </c>
      <c r="B60" s="0" t="s">
        <v>367</v>
      </c>
      <c r="C60" s="0" t="s">
        <v>416</v>
      </c>
      <c r="D60" s="0" t="s">
        <v>367</v>
      </c>
    </row>
    <row r="61">
      <c r="A61" s="0" t="s">
        <v>252</v>
      </c>
      <c r="B61" s="0" t="s">
        <v>378</v>
      </c>
      <c r="C61" s="0" t="s">
        <v>362</v>
      </c>
    </row>
    <row r="62">
      <c r="A62" s="0" t="s">
        <v>447</v>
      </c>
      <c r="B62" s="0" t="s">
        <v>367</v>
      </c>
      <c r="C62" s="0" t="s">
        <v>416</v>
      </c>
    </row>
    <row r="63">
      <c r="A63" s="0" t="s">
        <v>253</v>
      </c>
      <c r="B63" s="0" t="s">
        <v>378</v>
      </c>
      <c r="C63" s="0" t="s">
        <v>362</v>
      </c>
    </row>
    <row r="64">
      <c r="A64" s="0" t="s">
        <v>448</v>
      </c>
      <c r="B64" s="0" t="s">
        <v>416</v>
      </c>
      <c r="C64" s="0" t="s">
        <v>378</v>
      </c>
    </row>
    <row r="65">
      <c r="A65" s="0" t="s">
        <v>254</v>
      </c>
      <c r="B65" s="0" t="s">
        <v>378</v>
      </c>
      <c r="C65" s="0" t="s">
        <v>362</v>
      </c>
    </row>
    <row r="66">
      <c r="A66" s="0" t="s">
        <v>255</v>
      </c>
      <c r="B66" s="0" t="s">
        <v>378</v>
      </c>
      <c r="C66" s="0" t="s">
        <v>362</v>
      </c>
    </row>
    <row r="67">
      <c r="A67" s="0" t="s">
        <v>256</v>
      </c>
      <c r="B67" s="0" t="s">
        <v>378</v>
      </c>
      <c r="C67" s="0" t="s">
        <v>362</v>
      </c>
    </row>
    <row r="68">
      <c r="A68" s="0" t="s">
        <v>449</v>
      </c>
      <c r="B68" s="0" t="s">
        <v>387</v>
      </c>
      <c r="C68" s="0" t="s">
        <v>407</v>
      </c>
      <c r="D68" s="0" t="s">
        <v>450</v>
      </c>
    </row>
    <row r="69">
      <c r="A69" s="0" t="s">
        <v>257</v>
      </c>
      <c r="B69" s="0" t="s">
        <v>450</v>
      </c>
      <c r="C69" s="0" t="s">
        <v>387</v>
      </c>
      <c r="D69" s="0" t="s">
        <v>362</v>
      </c>
    </row>
    <row r="70">
      <c r="A70" s="0" t="s">
        <v>451</v>
      </c>
      <c r="B70" s="0" t="s">
        <v>387</v>
      </c>
      <c r="C70" s="0" t="s">
        <v>407</v>
      </c>
      <c r="D70" s="0" t="s">
        <v>450</v>
      </c>
    </row>
    <row r="71">
      <c r="A71" s="0" t="s">
        <v>452</v>
      </c>
      <c r="B71" s="0" t="s">
        <v>450</v>
      </c>
      <c r="C71" s="0" t="s">
        <v>387</v>
      </c>
      <c r="D71" s="0" t="s">
        <v>362</v>
      </c>
    </row>
    <row r="72">
      <c r="A72" s="0" t="s">
        <v>453</v>
      </c>
      <c r="B72" s="0" t="s">
        <v>387</v>
      </c>
      <c r="C72" s="0" t="s">
        <v>407</v>
      </c>
      <c r="D72" s="0" t="s">
        <v>450</v>
      </c>
    </row>
    <row r="73">
      <c r="A73" s="0" t="s">
        <v>454</v>
      </c>
      <c r="B73" s="0" t="s">
        <v>455</v>
      </c>
    </row>
    <row r="74">
      <c r="A74" s="0" t="s">
        <v>456</v>
      </c>
      <c r="B74" s="0" t="s">
        <v>378</v>
      </c>
      <c r="C74" s="0" t="s">
        <v>362</v>
      </c>
    </row>
    <row r="75">
      <c r="A75" s="0" t="s">
        <v>258</v>
      </c>
      <c r="B75" s="0" t="s">
        <v>378</v>
      </c>
      <c r="C75" s="0" t="s">
        <v>362</v>
      </c>
    </row>
    <row r="76">
      <c r="A76" s="0" t="s">
        <v>457</v>
      </c>
      <c r="B76" s="0" t="s">
        <v>376</v>
      </c>
    </row>
    <row r="77">
      <c r="A77" s="0" t="s">
        <v>458</v>
      </c>
      <c r="B77" s="0" t="s">
        <v>459</v>
      </c>
    </row>
    <row r="78">
      <c r="A78" s="0" t="s">
        <v>460</v>
      </c>
      <c r="B78" s="0" t="s">
        <v>407</v>
      </c>
    </row>
    <row r="79">
      <c r="A79" s="0" t="s">
        <v>461</v>
      </c>
      <c r="B79" s="0" t="s">
        <v>462</v>
      </c>
    </row>
    <row r="80">
      <c r="A80" s="0" t="s">
        <v>463</v>
      </c>
      <c r="B80" s="0" t="s">
        <v>464</v>
      </c>
    </row>
    <row r="81">
      <c r="A81" s="0" t="s">
        <v>465</v>
      </c>
      <c r="B81" s="0" t="s">
        <v>381</v>
      </c>
      <c r="C81" s="0" t="s">
        <v>450</v>
      </c>
    </row>
    <row r="82">
      <c r="A82" s="0" t="s">
        <v>259</v>
      </c>
      <c r="B82" s="0" t="s">
        <v>378</v>
      </c>
      <c r="C82" s="0" t="s">
        <v>362</v>
      </c>
      <c r="D82" s="0" t="s">
        <v>378</v>
      </c>
    </row>
    <row r="83">
      <c r="A83" s="0" t="s">
        <v>466</v>
      </c>
      <c r="B83" s="0" t="s">
        <v>407</v>
      </c>
      <c r="C83" s="0" t="s">
        <v>378</v>
      </c>
      <c r="D83" s="0" t="s">
        <v>378</v>
      </c>
    </row>
    <row r="84">
      <c r="A84" s="0" t="s">
        <v>260</v>
      </c>
      <c r="B84" s="0" t="s">
        <v>362</v>
      </c>
      <c r="C84" s="0" t="s">
        <v>378</v>
      </c>
      <c r="D84" s="0" t="s">
        <v>378</v>
      </c>
    </row>
    <row r="85">
      <c r="A85" s="0" t="s">
        <v>261</v>
      </c>
      <c r="B85" s="0" t="s">
        <v>362</v>
      </c>
      <c r="C85" s="0" t="s">
        <v>378</v>
      </c>
      <c r="D85" s="0" t="s">
        <v>378</v>
      </c>
    </row>
    <row r="86">
      <c r="A86" s="0" t="s">
        <v>262</v>
      </c>
      <c r="B86" s="0" t="s">
        <v>378</v>
      </c>
      <c r="C86" s="0" t="s">
        <v>378</v>
      </c>
      <c r="D86" s="0" t="s">
        <v>362</v>
      </c>
    </row>
    <row r="87">
      <c r="A87" s="0" t="s">
        <v>467</v>
      </c>
      <c r="B87" s="0" t="s">
        <v>407</v>
      </c>
    </row>
    <row r="88">
      <c r="A88" s="0" t="s">
        <v>468</v>
      </c>
      <c r="B88" s="0" t="s">
        <v>407</v>
      </c>
    </row>
    <row r="89">
      <c r="A89" s="0" t="s">
        <v>263</v>
      </c>
      <c r="B89" s="0" t="s">
        <v>362</v>
      </c>
    </row>
    <row r="90">
      <c r="A90" s="0" t="s">
        <v>264</v>
      </c>
      <c r="B90" s="0" t="s">
        <v>362</v>
      </c>
    </row>
    <row r="91">
      <c r="A91" s="0" t="s">
        <v>469</v>
      </c>
      <c r="B91" s="0" t="s">
        <v>362</v>
      </c>
    </row>
    <row r="92">
      <c r="A92" s="0" t="s">
        <v>265</v>
      </c>
      <c r="B92" s="0" t="s">
        <v>362</v>
      </c>
    </row>
    <row r="93">
      <c r="A93" s="0" t="s">
        <v>470</v>
      </c>
      <c r="B93" s="0" t="s">
        <v>367</v>
      </c>
    </row>
    <row r="94">
      <c r="A94" s="0" t="s">
        <v>471</v>
      </c>
      <c r="B94" s="0" t="s">
        <v>378</v>
      </c>
    </row>
    <row r="95">
      <c r="A95" s="0" t="s">
        <v>472</v>
      </c>
      <c r="B95" s="0" t="s">
        <v>367</v>
      </c>
    </row>
    <row r="96">
      <c r="A96" s="0" t="s">
        <v>473</v>
      </c>
      <c r="B96" s="0" t="s">
        <v>474</v>
      </c>
    </row>
    <row r="97">
      <c r="A97" s="0" t="s">
        <v>475</v>
      </c>
      <c r="B97" s="0" t="s">
        <v>407</v>
      </c>
    </row>
    <row r="98">
      <c r="A98" s="0" t="s">
        <v>266</v>
      </c>
      <c r="B98" s="0" t="s">
        <v>362</v>
      </c>
    </row>
    <row r="99">
      <c r="A99" s="0" t="s">
        <v>476</v>
      </c>
      <c r="B99" s="0" t="s">
        <v>477</v>
      </c>
    </row>
    <row r="100">
      <c r="A100" s="0" t="s">
        <v>478</v>
      </c>
      <c r="B100" s="0" t="s">
        <v>378</v>
      </c>
      <c r="C100" s="0" t="s">
        <v>407</v>
      </c>
      <c r="D100" s="0" t="s">
        <v>378</v>
      </c>
    </row>
    <row r="101">
      <c r="A101" s="0" t="s">
        <v>479</v>
      </c>
      <c r="B101" s="0" t="s">
        <v>416</v>
      </c>
    </row>
    <row r="102">
      <c r="A102" s="0" t="s">
        <v>480</v>
      </c>
      <c r="B102" s="0" t="s">
        <v>416</v>
      </c>
      <c r="C102" s="0" t="s">
        <v>416</v>
      </c>
    </row>
    <row r="103">
      <c r="A103" s="0" t="s">
        <v>267</v>
      </c>
      <c r="B103" s="0" t="s">
        <v>416</v>
      </c>
      <c r="C103" s="0" t="s">
        <v>416</v>
      </c>
    </row>
    <row r="104">
      <c r="A104" s="0" t="s">
        <v>481</v>
      </c>
      <c r="B104" s="0" t="s">
        <v>376</v>
      </c>
      <c r="C104" s="0" t="s">
        <v>376</v>
      </c>
    </row>
    <row r="105">
      <c r="A105" s="0" t="s">
        <v>268</v>
      </c>
      <c r="B105" s="0" t="s">
        <v>362</v>
      </c>
    </row>
    <row r="106">
      <c r="A106" s="0" t="s">
        <v>482</v>
      </c>
      <c r="B106" s="0" t="s">
        <v>35</v>
      </c>
      <c r="C106" s="0" t="s">
        <v>35</v>
      </c>
    </row>
    <row r="107">
      <c r="A107" s="0" t="s">
        <v>483</v>
      </c>
      <c r="B107" s="0" t="s">
        <v>484</v>
      </c>
    </row>
    <row r="108">
      <c r="A108" s="0" t="s">
        <v>485</v>
      </c>
      <c r="B108" s="0" t="s">
        <v>376</v>
      </c>
      <c r="C108" s="0" t="s">
        <v>362</v>
      </c>
    </row>
    <row r="109">
      <c r="A109" s="0" t="s">
        <v>486</v>
      </c>
      <c r="B109" s="0" t="s">
        <v>376</v>
      </c>
      <c r="C109" s="0" t="s">
        <v>362</v>
      </c>
    </row>
    <row r="110">
      <c r="A110" s="0" t="s">
        <v>269</v>
      </c>
      <c r="B110" s="0" t="s">
        <v>370</v>
      </c>
      <c r="C110" s="0" t="s">
        <v>376</v>
      </c>
    </row>
    <row r="111">
      <c r="A111" s="0" t="s">
        <v>487</v>
      </c>
      <c r="B111" s="0" t="s">
        <v>488</v>
      </c>
    </row>
    <row r="112">
      <c r="A112" s="0" t="s">
        <v>489</v>
      </c>
      <c r="B112" s="0" t="s">
        <v>376</v>
      </c>
    </row>
    <row r="113">
      <c r="A113" s="0" t="s">
        <v>490</v>
      </c>
      <c r="B113" s="0" t="s">
        <v>376</v>
      </c>
      <c r="C113" s="0" t="s">
        <v>376</v>
      </c>
    </row>
    <row r="114">
      <c r="A114" s="0" t="s">
        <v>491</v>
      </c>
      <c r="B114" s="0" t="s">
        <v>376</v>
      </c>
      <c r="C114" s="0" t="s">
        <v>376</v>
      </c>
      <c r="D114" s="0" t="s">
        <v>362</v>
      </c>
    </row>
    <row r="115">
      <c r="A115" s="0" t="s">
        <v>270</v>
      </c>
      <c r="B115" s="0" t="s">
        <v>370</v>
      </c>
      <c r="C115" s="0" t="s">
        <v>376</v>
      </c>
      <c r="D115" s="0" t="s">
        <v>376</v>
      </c>
    </row>
    <row r="116">
      <c r="A116" s="0" t="s">
        <v>492</v>
      </c>
      <c r="B116" s="0" t="s">
        <v>376</v>
      </c>
      <c r="C116" s="0" t="s">
        <v>376</v>
      </c>
      <c r="D116" s="0" t="s">
        <v>362</v>
      </c>
    </row>
    <row r="117">
      <c r="A117" s="0" t="s">
        <v>271</v>
      </c>
      <c r="B117" s="0" t="s">
        <v>370</v>
      </c>
      <c r="C117" s="0" t="s">
        <v>376</v>
      </c>
      <c r="D117" s="0" t="s">
        <v>376</v>
      </c>
    </row>
    <row r="118">
      <c r="A118" s="0" t="s">
        <v>493</v>
      </c>
      <c r="B118" s="0" t="s">
        <v>494</v>
      </c>
    </row>
    <row r="119">
      <c r="A119" s="0" t="s">
        <v>495</v>
      </c>
      <c r="B119" s="0" t="s">
        <v>496</v>
      </c>
    </row>
    <row r="120">
      <c r="A120" s="0" t="s">
        <v>497</v>
      </c>
      <c r="B120" s="0" t="s">
        <v>376</v>
      </c>
    </row>
    <row r="121">
      <c r="A121" s="0" t="s">
        <v>498</v>
      </c>
      <c r="B121" s="0" t="s">
        <v>370</v>
      </c>
      <c r="C121" s="0" t="s">
        <v>35</v>
      </c>
    </row>
    <row r="122">
      <c r="A122" s="0" t="s">
        <v>499</v>
      </c>
      <c r="B122" s="0" t="s">
        <v>378</v>
      </c>
      <c r="C122" s="0" t="s">
        <v>362</v>
      </c>
      <c r="D122" s="0" t="s">
        <v>378</v>
      </c>
      <c r="E122" s="0" t="s">
        <v>362</v>
      </c>
    </row>
    <row r="123">
      <c r="A123" s="0" t="s">
        <v>500</v>
      </c>
      <c r="B123" s="0" t="s">
        <v>378</v>
      </c>
      <c r="C123" s="0" t="s">
        <v>362</v>
      </c>
      <c r="D123" s="0" t="s">
        <v>378</v>
      </c>
      <c r="E123" s="0" t="s">
        <v>362</v>
      </c>
    </row>
    <row r="124">
      <c r="A124" s="0" t="s">
        <v>501</v>
      </c>
      <c r="B124" s="0" t="s">
        <v>502</v>
      </c>
    </row>
    <row r="125">
      <c r="A125" s="0" t="s">
        <v>503</v>
      </c>
      <c r="B125" s="0" t="s">
        <v>504</v>
      </c>
    </row>
    <row r="126">
      <c r="A126" s="0" t="s">
        <v>505</v>
      </c>
      <c r="B126" s="0" t="s">
        <v>506</v>
      </c>
      <c r="C126" s="0" t="s">
        <v>35</v>
      </c>
      <c r="D126" s="0" t="s">
        <v>35</v>
      </c>
    </row>
    <row r="127">
      <c r="A127" s="0" t="s">
        <v>507</v>
      </c>
      <c r="B127" s="0" t="s">
        <v>370</v>
      </c>
      <c r="C127" s="0" t="s">
        <v>35</v>
      </c>
      <c r="D127" s="0" t="s">
        <v>35</v>
      </c>
    </row>
    <row r="128">
      <c r="A128" s="0" t="s">
        <v>272</v>
      </c>
      <c r="B128" s="0" t="s">
        <v>370</v>
      </c>
      <c r="C128" s="0" t="s">
        <v>376</v>
      </c>
      <c r="D128" s="0" t="s">
        <v>376</v>
      </c>
      <c r="E128" s="0" t="s">
        <v>376</v>
      </c>
      <c r="F128" s="0" t="s">
        <v>376</v>
      </c>
    </row>
    <row r="129">
      <c r="A129" s="0" t="s">
        <v>508</v>
      </c>
      <c r="B129" s="0" t="s">
        <v>509</v>
      </c>
      <c r="C129" s="0" t="s">
        <v>366</v>
      </c>
      <c r="D129" s="0" t="s">
        <v>376</v>
      </c>
      <c r="E129" s="0" t="s">
        <v>376</v>
      </c>
      <c r="F129" s="0" t="s">
        <v>376</v>
      </c>
      <c r="G129" s="0" t="s">
        <v>376</v>
      </c>
    </row>
    <row r="130">
      <c r="A130" s="0" t="s">
        <v>510</v>
      </c>
      <c r="B130" s="0" t="s">
        <v>370</v>
      </c>
      <c r="C130" s="0" t="s">
        <v>370</v>
      </c>
    </row>
    <row r="131">
      <c r="A131" s="0" t="s">
        <v>511</v>
      </c>
      <c r="B131" s="0" t="s">
        <v>512</v>
      </c>
      <c r="C131" s="0" t="s">
        <v>512</v>
      </c>
      <c r="D131" s="0" t="s">
        <v>35</v>
      </c>
      <c r="E131" s="0" t="s">
        <v>35</v>
      </c>
    </row>
    <row r="132">
      <c r="A132" s="0" t="s">
        <v>513</v>
      </c>
      <c r="B132" s="0" t="s">
        <v>35</v>
      </c>
      <c r="C132" s="0" t="s">
        <v>35</v>
      </c>
      <c r="D132" s="0" t="s">
        <v>370</v>
      </c>
      <c r="E132" s="0" t="s">
        <v>370</v>
      </c>
      <c r="F132" s="0" t="s">
        <v>35</v>
      </c>
      <c r="G132" s="0" t="s">
        <v>35</v>
      </c>
    </row>
    <row r="133">
      <c r="A133" s="0" t="s">
        <v>514</v>
      </c>
      <c r="B133" s="0" t="s">
        <v>370</v>
      </c>
      <c r="C133" s="0" t="s">
        <v>370</v>
      </c>
      <c r="D133" s="0" t="s">
        <v>35</v>
      </c>
      <c r="E133" s="0" t="s">
        <v>35</v>
      </c>
      <c r="F133" s="0" t="s">
        <v>35</v>
      </c>
      <c r="G133" s="0" t="s">
        <v>35</v>
      </c>
    </row>
    <row r="134">
      <c r="A134" s="0" t="s">
        <v>515</v>
      </c>
      <c r="B134" s="0" t="s">
        <v>370</v>
      </c>
      <c r="C134" s="0" t="s">
        <v>35</v>
      </c>
      <c r="D134" s="0" t="s">
        <v>35</v>
      </c>
      <c r="E134" s="0" t="s">
        <v>35</v>
      </c>
    </row>
    <row r="135">
      <c r="A135" s="0" t="s">
        <v>516</v>
      </c>
      <c r="B135" s="0" t="s">
        <v>370</v>
      </c>
      <c r="C135" s="0" t="s">
        <v>35</v>
      </c>
      <c r="D135" s="0" t="s">
        <v>35</v>
      </c>
      <c r="E135" s="0" t="s">
        <v>35</v>
      </c>
      <c r="F135" s="0" t="s">
        <v>35</v>
      </c>
    </row>
    <row r="136">
      <c r="A136" s="0" t="s">
        <v>517</v>
      </c>
      <c r="B136" s="0" t="s">
        <v>509</v>
      </c>
      <c r="C136" s="0" t="s">
        <v>366</v>
      </c>
      <c r="D136" s="0" t="s">
        <v>518</v>
      </c>
      <c r="E136" s="0" t="s">
        <v>518</v>
      </c>
      <c r="F136" s="0" t="s">
        <v>518</v>
      </c>
      <c r="G136" s="0" t="s">
        <v>518</v>
      </c>
    </row>
    <row r="137">
      <c r="A137" s="0" t="s">
        <v>519</v>
      </c>
      <c r="B137" s="0" t="s">
        <v>370</v>
      </c>
      <c r="C137" s="0" t="s">
        <v>370</v>
      </c>
      <c r="D137" s="0" t="s">
        <v>372</v>
      </c>
      <c r="E137" s="0" t="s">
        <v>372</v>
      </c>
    </row>
    <row r="138">
      <c r="A138" s="0" t="s">
        <v>520</v>
      </c>
      <c r="B138" s="0" t="s">
        <v>512</v>
      </c>
      <c r="C138" s="0" t="s">
        <v>512</v>
      </c>
      <c r="D138" s="0" t="s">
        <v>372</v>
      </c>
      <c r="E138" s="0" t="s">
        <v>372</v>
      </c>
    </row>
    <row r="139">
      <c r="A139" s="0" t="s">
        <v>521</v>
      </c>
      <c r="B139" s="0" t="s">
        <v>370</v>
      </c>
      <c r="C139" s="0" t="s">
        <v>370</v>
      </c>
      <c r="D139" s="0" t="s">
        <v>35</v>
      </c>
      <c r="E139" s="0" t="s">
        <v>35</v>
      </c>
      <c r="F139" s="0" t="s">
        <v>35</v>
      </c>
      <c r="G139" s="0" t="s">
        <v>35</v>
      </c>
    </row>
    <row r="140">
      <c r="A140" s="0" t="s">
        <v>522</v>
      </c>
      <c r="B140" s="0" t="s">
        <v>370</v>
      </c>
      <c r="C140" s="0" t="s">
        <v>370</v>
      </c>
      <c r="D140" s="0" t="s">
        <v>372</v>
      </c>
      <c r="E140" s="0" t="s">
        <v>35</v>
      </c>
      <c r="F140" s="0" t="s">
        <v>372</v>
      </c>
      <c r="G140" s="0" t="s">
        <v>35</v>
      </c>
    </row>
    <row r="141">
      <c r="A141" s="0" t="s">
        <v>273</v>
      </c>
      <c r="B141" s="0" t="s">
        <v>34</v>
      </c>
      <c r="C141" s="0" t="s">
        <v>35</v>
      </c>
      <c r="D141" s="0" t="s">
        <v>35</v>
      </c>
      <c r="E141" s="0" t="s">
        <v>35</v>
      </c>
      <c r="F141" s="0" t="s">
        <v>35</v>
      </c>
      <c r="G141" s="0" t="s">
        <v>523</v>
      </c>
    </row>
    <row r="142">
      <c r="A142" s="0" t="s">
        <v>274</v>
      </c>
      <c r="B142" s="0" t="s">
        <v>34</v>
      </c>
      <c r="C142" s="0" t="s">
        <v>35</v>
      </c>
      <c r="D142" s="0" t="s">
        <v>35</v>
      </c>
      <c r="E142" s="0" t="s">
        <v>35</v>
      </c>
      <c r="F142" s="0" t="s">
        <v>35</v>
      </c>
      <c r="G142" s="0" t="s">
        <v>523</v>
      </c>
    </row>
    <row r="143">
      <c r="A143" s="0" t="s">
        <v>524</v>
      </c>
      <c r="B143" s="0" t="s">
        <v>34</v>
      </c>
      <c r="C143" s="0" t="s">
        <v>34</v>
      </c>
      <c r="D143" s="0" t="s">
        <v>35</v>
      </c>
      <c r="E143" s="0" t="s">
        <v>372</v>
      </c>
      <c r="F143" s="0" t="s">
        <v>372</v>
      </c>
      <c r="G143" s="0" t="s">
        <v>35</v>
      </c>
      <c r="H143" s="0" t="s">
        <v>525</v>
      </c>
    </row>
    <row r="144">
      <c r="A144" s="0" t="s">
        <v>526</v>
      </c>
      <c r="B144" s="0" t="s">
        <v>34</v>
      </c>
      <c r="C144" s="0" t="s">
        <v>34</v>
      </c>
      <c r="D144" s="0" t="s">
        <v>35</v>
      </c>
      <c r="E144" s="0" t="s">
        <v>372</v>
      </c>
      <c r="F144" s="0" t="s">
        <v>372</v>
      </c>
      <c r="G144" s="0" t="s">
        <v>35</v>
      </c>
      <c r="H144" s="0" t="s">
        <v>525</v>
      </c>
    </row>
    <row r="145">
      <c r="A145" s="0" t="s">
        <v>275</v>
      </c>
      <c r="B145" s="0" t="s">
        <v>367</v>
      </c>
    </row>
    <row r="146">
      <c r="A146" s="0" t="s">
        <v>527</v>
      </c>
      <c r="B146" s="0" t="s">
        <v>376</v>
      </c>
    </row>
    <row r="147">
      <c r="A147" s="0" t="s">
        <v>528</v>
      </c>
      <c r="B147" s="0" t="s">
        <v>34</v>
      </c>
    </row>
    <row r="148">
      <c r="A148" s="0" t="s">
        <v>529</v>
      </c>
      <c r="B148" s="0" t="s">
        <v>34</v>
      </c>
    </row>
    <row r="149">
      <c r="A149" s="0" t="s">
        <v>180</v>
      </c>
      <c r="B149" s="0" t="s">
        <v>367</v>
      </c>
    </row>
    <row r="150">
      <c r="A150" s="0" t="s">
        <v>276</v>
      </c>
      <c r="B150" s="0" t="s">
        <v>530</v>
      </c>
    </row>
    <row r="151">
      <c r="A151" s="0" t="s">
        <v>170</v>
      </c>
      <c r="B151" s="0" t="s">
        <v>530</v>
      </c>
    </row>
    <row r="152">
      <c r="A152" s="0" t="s">
        <v>277</v>
      </c>
      <c r="B152" s="0" t="s">
        <v>530</v>
      </c>
    </row>
    <row r="153">
      <c r="A153" s="0" t="s">
        <v>278</v>
      </c>
      <c r="B153" s="0" t="s">
        <v>531</v>
      </c>
    </row>
    <row r="154">
      <c r="A154" s="0" t="s">
        <v>532</v>
      </c>
      <c r="B154" s="0" t="s">
        <v>370</v>
      </c>
      <c r="C154" s="0" t="s">
        <v>376</v>
      </c>
    </row>
    <row r="155">
      <c r="A155" s="0" t="s">
        <v>279</v>
      </c>
      <c r="B155" s="0" t="s">
        <v>378</v>
      </c>
      <c r="C155" s="0" t="s">
        <v>362</v>
      </c>
    </row>
    <row r="156">
      <c r="A156" s="0" t="s">
        <v>280</v>
      </c>
      <c r="B156" s="0" t="s">
        <v>34</v>
      </c>
      <c r="C156" s="0" t="s">
        <v>34</v>
      </c>
    </row>
    <row r="157">
      <c r="A157" s="0" t="s">
        <v>281</v>
      </c>
      <c r="B157" s="0" t="s">
        <v>34</v>
      </c>
      <c r="C157" s="0" t="s">
        <v>376</v>
      </c>
    </row>
    <row r="158">
      <c r="A158" s="0" t="s">
        <v>282</v>
      </c>
      <c r="B158" s="0" t="s">
        <v>34</v>
      </c>
      <c r="C158" s="0" t="s">
        <v>376</v>
      </c>
    </row>
    <row r="159">
      <c r="A159" s="0" t="s">
        <v>283</v>
      </c>
      <c r="B159" s="0" t="s">
        <v>35</v>
      </c>
      <c r="C159" s="0" t="s">
        <v>35</v>
      </c>
    </row>
    <row r="160">
      <c r="A160" s="0" t="s">
        <v>284</v>
      </c>
      <c r="B160" s="0" t="s">
        <v>34</v>
      </c>
      <c r="C160" s="0" t="s">
        <v>34</v>
      </c>
      <c r="D160" s="0" t="s">
        <v>35</v>
      </c>
      <c r="E160" s="0" t="s">
        <v>35</v>
      </c>
      <c r="F160" s="0" t="s">
        <v>35</v>
      </c>
      <c r="G160" s="0" t="s">
        <v>35</v>
      </c>
    </row>
    <row r="161">
      <c r="A161" s="0" t="s">
        <v>285</v>
      </c>
      <c r="B161" s="0" t="s">
        <v>366</v>
      </c>
      <c r="C161" s="0" t="s">
        <v>533</v>
      </c>
      <c r="D161" s="0" t="s">
        <v>35</v>
      </c>
      <c r="E161" s="0" t="s">
        <v>372</v>
      </c>
      <c r="F161" s="0" t="s">
        <v>35</v>
      </c>
      <c r="G161" s="0" t="s">
        <v>34</v>
      </c>
      <c r="H161" s="0" t="s">
        <v>35</v>
      </c>
      <c r="I161" s="0" t="s">
        <v>35</v>
      </c>
    </row>
    <row r="162">
      <c r="A162" s="0" t="s">
        <v>534</v>
      </c>
      <c r="B162" s="0" t="s">
        <v>34</v>
      </c>
      <c r="C162" s="0" t="s">
        <v>34</v>
      </c>
      <c r="D162" s="0" t="s">
        <v>35</v>
      </c>
      <c r="E162" s="0" t="s">
        <v>35</v>
      </c>
      <c r="F162" s="0" t="s">
        <v>372</v>
      </c>
      <c r="G162" s="0" t="s">
        <v>372</v>
      </c>
      <c r="H162" s="0" t="s">
        <v>35</v>
      </c>
      <c r="I162" s="0" t="s">
        <v>35</v>
      </c>
    </row>
    <row r="163">
      <c r="A163" s="0" t="s">
        <v>286</v>
      </c>
      <c r="B163" s="0" t="s">
        <v>35</v>
      </c>
      <c r="C163" s="0" t="s">
        <v>35</v>
      </c>
      <c r="D163" s="0" t="s">
        <v>34</v>
      </c>
      <c r="E163" s="0" t="s">
        <v>35</v>
      </c>
      <c r="F163" s="0" t="s">
        <v>35</v>
      </c>
    </row>
    <row r="164">
      <c r="A164" s="0" t="s">
        <v>535</v>
      </c>
      <c r="B164" s="0" t="s">
        <v>34</v>
      </c>
      <c r="C164" s="0" t="s">
        <v>34</v>
      </c>
      <c r="D164" s="0" t="s">
        <v>35</v>
      </c>
      <c r="E164" s="0" t="s">
        <v>35</v>
      </c>
    </row>
    <row r="165">
      <c r="A165" s="0" t="s">
        <v>287</v>
      </c>
      <c r="B165" s="0" t="s">
        <v>34</v>
      </c>
      <c r="C165" s="0" t="s">
        <v>34</v>
      </c>
      <c r="D165" s="0" t="s">
        <v>35</v>
      </c>
      <c r="E165" s="0" t="s">
        <v>35</v>
      </c>
    </row>
    <row r="166">
      <c r="A166" s="0" t="s">
        <v>288</v>
      </c>
      <c r="B166" s="0" t="s">
        <v>34</v>
      </c>
      <c r="C166" s="0" t="s">
        <v>34</v>
      </c>
      <c r="D166" s="0" t="s">
        <v>35</v>
      </c>
      <c r="E166" s="0" t="s">
        <v>35</v>
      </c>
    </row>
    <row r="167">
      <c r="A167" s="0" t="s">
        <v>289</v>
      </c>
      <c r="B167" s="0" t="s">
        <v>35</v>
      </c>
      <c r="C167" s="0" t="s">
        <v>34</v>
      </c>
      <c r="D167" s="0" t="s">
        <v>34</v>
      </c>
      <c r="E167" s="0" t="s">
        <v>35</v>
      </c>
    </row>
    <row r="168">
      <c r="A168" s="0" t="s">
        <v>290</v>
      </c>
      <c r="B168" s="0" t="s">
        <v>35</v>
      </c>
      <c r="C168" s="0" t="s">
        <v>34</v>
      </c>
      <c r="D168" s="0" t="s">
        <v>34</v>
      </c>
      <c r="E168" s="0" t="s">
        <v>35</v>
      </c>
    </row>
    <row r="169">
      <c r="A169" s="0" t="s">
        <v>291</v>
      </c>
      <c r="B169" s="0" t="s">
        <v>34</v>
      </c>
      <c r="C169" s="0" t="s">
        <v>34</v>
      </c>
      <c r="D169" s="0" t="s">
        <v>35</v>
      </c>
      <c r="E169" s="0" t="s">
        <v>35</v>
      </c>
    </row>
    <row r="170">
      <c r="A170" s="0" t="s">
        <v>292</v>
      </c>
      <c r="B170" s="0" t="s">
        <v>536</v>
      </c>
      <c r="C170" s="0" t="s">
        <v>366</v>
      </c>
      <c r="D170" s="0" t="s">
        <v>376</v>
      </c>
      <c r="E170" s="0" t="s">
        <v>376</v>
      </c>
    </row>
    <row r="171">
      <c r="A171" s="0" t="s">
        <v>537</v>
      </c>
      <c r="B171" s="0" t="s">
        <v>34</v>
      </c>
      <c r="C171" s="0" t="s">
        <v>34</v>
      </c>
      <c r="D171" s="0" t="s">
        <v>372</v>
      </c>
      <c r="E171" s="0" t="s">
        <v>372</v>
      </c>
    </row>
    <row r="172">
      <c r="A172" s="0" t="s">
        <v>293</v>
      </c>
      <c r="B172" s="0" t="s">
        <v>34</v>
      </c>
      <c r="C172" s="0" t="s">
        <v>35</v>
      </c>
      <c r="D172" s="0" t="s">
        <v>35</v>
      </c>
      <c r="E172" s="0" t="s">
        <v>35</v>
      </c>
    </row>
    <row r="173">
      <c r="A173" s="0" t="s">
        <v>294</v>
      </c>
      <c r="B173" s="0" t="s">
        <v>35</v>
      </c>
      <c r="C173" s="0" t="s">
        <v>35</v>
      </c>
      <c r="D173" s="0" t="s">
        <v>34</v>
      </c>
      <c r="E173" s="0" t="s">
        <v>35</v>
      </c>
      <c r="F173" s="0" t="s">
        <v>35</v>
      </c>
      <c r="G173" s="0" t="s">
        <v>538</v>
      </c>
    </row>
    <row r="174">
      <c r="A174" s="0" t="s">
        <v>295</v>
      </c>
      <c r="B174" s="0" t="s">
        <v>34</v>
      </c>
      <c r="C174" s="0" t="s">
        <v>34</v>
      </c>
      <c r="D174" s="0" t="s">
        <v>35</v>
      </c>
      <c r="E174" s="0" t="s">
        <v>35</v>
      </c>
      <c r="F174" s="0" t="s">
        <v>35</v>
      </c>
      <c r="G174" s="0" t="s">
        <v>35</v>
      </c>
    </row>
    <row r="175">
      <c r="A175" s="0" t="s">
        <v>296</v>
      </c>
      <c r="B175" s="0" t="s">
        <v>35</v>
      </c>
      <c r="C175" s="0" t="s">
        <v>35</v>
      </c>
      <c r="D175" s="0" t="s">
        <v>34</v>
      </c>
      <c r="E175" s="0" t="s">
        <v>35</v>
      </c>
      <c r="F175" s="0" t="s">
        <v>35</v>
      </c>
      <c r="G175" s="0" t="s">
        <v>34</v>
      </c>
    </row>
    <row r="176">
      <c r="A176" s="0" t="s">
        <v>7</v>
      </c>
      <c r="B176" s="0" t="s">
        <v>34</v>
      </c>
      <c r="C176" s="0" t="s">
        <v>34</v>
      </c>
      <c r="D176" s="0" t="s">
        <v>35</v>
      </c>
      <c r="E176" s="0" t="s">
        <v>35</v>
      </c>
      <c r="F176" s="0" t="s">
        <v>35</v>
      </c>
      <c r="G176" s="0" t="s">
        <v>35</v>
      </c>
    </row>
    <row r="177">
      <c r="A177" s="0" t="s">
        <v>297</v>
      </c>
      <c r="B177" s="0" t="s">
        <v>34</v>
      </c>
      <c r="C177" s="0" t="s">
        <v>34</v>
      </c>
      <c r="D177" s="0" t="s">
        <v>35</v>
      </c>
      <c r="E177" s="0" t="s">
        <v>35</v>
      </c>
      <c r="F177" s="0" t="s">
        <v>35</v>
      </c>
      <c r="G177" s="0" t="s">
        <v>35</v>
      </c>
    </row>
    <row r="178">
      <c r="A178" s="0" t="s">
        <v>298</v>
      </c>
      <c r="B178" s="0" t="s">
        <v>539</v>
      </c>
      <c r="C178" s="0" t="s">
        <v>540</v>
      </c>
      <c r="D178" s="0" t="s">
        <v>533</v>
      </c>
      <c r="E178" s="0" t="s">
        <v>35</v>
      </c>
      <c r="F178" s="0" t="s">
        <v>372</v>
      </c>
      <c r="G178" s="0" t="s">
        <v>366</v>
      </c>
    </row>
    <row r="179">
      <c r="A179" s="0" t="s">
        <v>299</v>
      </c>
      <c r="B179" s="0" t="s">
        <v>539</v>
      </c>
      <c r="C179" s="0" t="s">
        <v>540</v>
      </c>
      <c r="D179" s="0" t="s">
        <v>533</v>
      </c>
      <c r="E179" s="0" t="s">
        <v>35</v>
      </c>
      <c r="F179" s="0" t="s">
        <v>372</v>
      </c>
      <c r="G179" s="0" t="s">
        <v>366</v>
      </c>
    </row>
    <row r="180">
      <c r="A180" s="0" t="s">
        <v>300</v>
      </c>
      <c r="B180" s="0" t="s">
        <v>34</v>
      </c>
      <c r="C180" s="0" t="s">
        <v>34</v>
      </c>
      <c r="D180" s="0" t="s">
        <v>372</v>
      </c>
      <c r="E180" s="0" t="s">
        <v>372</v>
      </c>
      <c r="F180" s="0" t="s">
        <v>35</v>
      </c>
      <c r="G180" s="0" t="s">
        <v>35</v>
      </c>
    </row>
    <row r="181">
      <c r="A181" s="0" t="s">
        <v>541</v>
      </c>
      <c r="B181" s="0" t="s">
        <v>34</v>
      </c>
      <c r="C181" s="0" t="s">
        <v>34</v>
      </c>
      <c r="D181" s="0" t="s">
        <v>372</v>
      </c>
      <c r="E181" s="0" t="s">
        <v>35</v>
      </c>
      <c r="F181" s="0" t="s">
        <v>35</v>
      </c>
      <c r="G181" s="0" t="s">
        <v>372</v>
      </c>
    </row>
    <row r="182">
      <c r="A182" s="0" t="s">
        <v>301</v>
      </c>
      <c r="B182" s="0" t="s">
        <v>34</v>
      </c>
      <c r="C182" s="0" t="s">
        <v>372</v>
      </c>
      <c r="D182" s="0" t="s">
        <v>35</v>
      </c>
      <c r="E182" s="0" t="s">
        <v>35</v>
      </c>
      <c r="F182" s="0" t="s">
        <v>372</v>
      </c>
      <c r="G182" s="0" t="s">
        <v>34</v>
      </c>
    </row>
    <row r="183">
      <c r="A183" s="0" t="s">
        <v>302</v>
      </c>
      <c r="B183" s="0" t="s">
        <v>381</v>
      </c>
    </row>
    <row r="184">
      <c r="A184" s="0" t="s">
        <v>542</v>
      </c>
      <c r="B184" s="0" t="s">
        <v>523</v>
      </c>
      <c r="C184" s="0" t="s">
        <v>523</v>
      </c>
      <c r="D184" s="0" t="s">
        <v>523</v>
      </c>
      <c r="E184" s="0" t="s">
        <v>523</v>
      </c>
    </row>
    <row r="185">
      <c r="A185" s="0" t="s">
        <v>543</v>
      </c>
      <c r="B185" s="0" t="s">
        <v>34</v>
      </c>
      <c r="C185" s="0" t="s">
        <v>376</v>
      </c>
      <c r="D185" s="0" t="s">
        <v>376</v>
      </c>
    </row>
    <row r="186">
      <c r="A186" s="0" t="s">
        <v>303</v>
      </c>
      <c r="B186" s="0" t="s">
        <v>35</v>
      </c>
      <c r="C186" s="0" t="s">
        <v>34</v>
      </c>
      <c r="D186" s="0" t="s">
        <v>35</v>
      </c>
    </row>
    <row r="187">
      <c r="A187" s="0" t="s">
        <v>304</v>
      </c>
      <c r="B187" s="0" t="s">
        <v>35</v>
      </c>
      <c r="C187" s="0" t="s">
        <v>34</v>
      </c>
      <c r="D187" s="0" t="s">
        <v>35</v>
      </c>
    </row>
    <row r="188">
      <c r="A188" s="0" t="s">
        <v>305</v>
      </c>
      <c r="B188" s="0" t="s">
        <v>34</v>
      </c>
      <c r="C188" s="0" t="s">
        <v>376</v>
      </c>
      <c r="D188" s="0" t="s">
        <v>376</v>
      </c>
    </row>
    <row r="189">
      <c r="A189" s="0" t="s">
        <v>306</v>
      </c>
      <c r="B189" s="0" t="s">
        <v>35</v>
      </c>
      <c r="C189" s="0" t="s">
        <v>34</v>
      </c>
      <c r="D189" s="0" t="s">
        <v>35</v>
      </c>
    </row>
    <row r="190">
      <c r="A190" s="0" t="s">
        <v>544</v>
      </c>
      <c r="B190" s="0" t="s">
        <v>34</v>
      </c>
      <c r="C190" s="0" t="s">
        <v>35</v>
      </c>
      <c r="D190" s="0" t="s">
        <v>35</v>
      </c>
    </row>
    <row r="191">
      <c r="A191" s="0" t="s">
        <v>307</v>
      </c>
      <c r="B191" s="0" t="s">
        <v>545</v>
      </c>
    </row>
    <row r="192">
      <c r="A192" s="0" t="s">
        <v>308</v>
      </c>
      <c r="B192" s="0" t="s">
        <v>387</v>
      </c>
      <c r="C192" s="0" t="s">
        <v>450</v>
      </c>
    </row>
    <row r="193">
      <c r="A193" s="0" t="s">
        <v>546</v>
      </c>
      <c r="B193" s="0" t="s">
        <v>387</v>
      </c>
      <c r="C193" s="0" t="s">
        <v>450</v>
      </c>
      <c r="D193" s="0" t="s">
        <v>35</v>
      </c>
    </row>
    <row r="194">
      <c r="A194" s="0" t="s">
        <v>309</v>
      </c>
      <c r="B194" s="0" t="s">
        <v>547</v>
      </c>
    </row>
    <row r="195">
      <c r="A195" s="0" t="s">
        <v>310</v>
      </c>
      <c r="B195" s="0" t="s">
        <v>367</v>
      </c>
    </row>
    <row r="196">
      <c r="A196" s="0" t="s">
        <v>311</v>
      </c>
      <c r="B196" s="0" t="s">
        <v>378</v>
      </c>
      <c r="C196" s="0" t="s">
        <v>378</v>
      </c>
    </row>
    <row r="197">
      <c r="A197" s="0" t="s">
        <v>312</v>
      </c>
      <c r="B197" s="0" t="s">
        <v>378</v>
      </c>
      <c r="C197" s="0" t="s">
        <v>378</v>
      </c>
    </row>
    <row r="198">
      <c r="A198" s="0" t="s">
        <v>313</v>
      </c>
      <c r="B198" s="0" t="s">
        <v>378</v>
      </c>
      <c r="C198" s="0" t="s">
        <v>362</v>
      </c>
      <c r="D198" s="0" t="s">
        <v>378</v>
      </c>
    </row>
    <row r="199">
      <c r="A199" s="0" t="s">
        <v>314</v>
      </c>
      <c r="B199" s="0" t="s">
        <v>376</v>
      </c>
      <c r="C199" s="0" t="s">
        <v>376</v>
      </c>
    </row>
    <row r="200">
      <c r="A200" s="0" t="s">
        <v>548</v>
      </c>
      <c r="B200" s="0" t="s">
        <v>376</v>
      </c>
      <c r="C200" s="0" t="s">
        <v>376</v>
      </c>
      <c r="D200" s="0" t="s">
        <v>376</v>
      </c>
    </row>
    <row r="201">
      <c r="A201" s="0" t="s">
        <v>315</v>
      </c>
      <c r="B201" s="0" t="s">
        <v>370</v>
      </c>
      <c r="C201" s="0" t="s">
        <v>35</v>
      </c>
      <c r="D201" s="0" t="s">
        <v>35</v>
      </c>
    </row>
    <row r="202">
      <c r="A202" s="0" t="s">
        <v>316</v>
      </c>
      <c r="B202" s="0" t="s">
        <v>378</v>
      </c>
    </row>
    <row r="203">
      <c r="A203" s="0" t="s">
        <v>317</v>
      </c>
      <c r="B203" s="0" t="s">
        <v>378</v>
      </c>
    </row>
    <row r="204">
      <c r="A204" s="0" t="s">
        <v>318</v>
      </c>
      <c r="B204" s="0" t="s">
        <v>367</v>
      </c>
    </row>
    <row r="205">
      <c r="A205" s="0" t="s">
        <v>319</v>
      </c>
      <c r="B205" s="0" t="s">
        <v>367</v>
      </c>
    </row>
    <row r="206">
      <c r="A206" s="0" t="s">
        <v>549</v>
      </c>
      <c r="B206" s="0" t="s">
        <v>367</v>
      </c>
    </row>
    <row r="207">
      <c r="A207" s="0" t="s">
        <v>550</v>
      </c>
      <c r="B207" s="0" t="s">
        <v>367</v>
      </c>
      <c r="C207" s="0" t="s">
        <v>367</v>
      </c>
    </row>
    <row r="208">
      <c r="A208" s="0" t="s">
        <v>551</v>
      </c>
      <c r="B208" s="0" t="s">
        <v>367</v>
      </c>
    </row>
    <row r="209">
      <c r="A209" s="0" t="s">
        <v>320</v>
      </c>
      <c r="B209" s="0" t="s">
        <v>367</v>
      </c>
    </row>
    <row r="210">
      <c r="A210" s="0" t="s">
        <v>321</v>
      </c>
      <c r="B210" s="0" t="s">
        <v>35</v>
      </c>
      <c r="C210" s="0" t="s">
        <v>370</v>
      </c>
      <c r="D210" s="0" t="s">
        <v>35</v>
      </c>
    </row>
    <row r="211">
      <c r="A211" s="0" t="s">
        <v>552</v>
      </c>
      <c r="B211" s="0" t="s">
        <v>35</v>
      </c>
      <c r="C211" s="0" t="s">
        <v>370</v>
      </c>
      <c r="D211" s="0" t="s">
        <v>35</v>
      </c>
    </row>
    <row r="212">
      <c r="A212" s="0" t="s">
        <v>322</v>
      </c>
      <c r="B212" s="0" t="s">
        <v>553</v>
      </c>
    </row>
    <row r="213">
      <c r="A213" s="0" t="s">
        <v>554</v>
      </c>
      <c r="B213" s="0" t="s">
        <v>362</v>
      </c>
      <c r="C213" s="0" t="s">
        <v>555</v>
      </c>
      <c r="D213" s="0" t="s">
        <v>555</v>
      </c>
      <c r="E213" s="0" t="s">
        <v>35</v>
      </c>
      <c r="F213" s="0" t="s">
        <v>35</v>
      </c>
    </row>
    <row r="214">
      <c r="A214" s="0" t="s">
        <v>323</v>
      </c>
      <c r="B214" s="0" t="s">
        <v>437</v>
      </c>
    </row>
    <row r="215">
      <c r="A215" s="0" t="s">
        <v>324</v>
      </c>
      <c r="B215" s="0" t="s">
        <v>381</v>
      </c>
    </row>
    <row r="216">
      <c r="A216" s="0" t="s">
        <v>325</v>
      </c>
      <c r="B216" s="0" t="s">
        <v>416</v>
      </c>
      <c r="C216" s="0" t="s">
        <v>556</v>
      </c>
    </row>
    <row r="217">
      <c r="A217" s="0" t="s">
        <v>557</v>
      </c>
      <c r="B217" s="0" t="s">
        <v>367</v>
      </c>
      <c r="C217" s="0" t="s">
        <v>407</v>
      </c>
      <c r="D217" s="0" t="s">
        <v>367</v>
      </c>
    </row>
    <row r="218">
      <c r="A218" s="0" t="s">
        <v>326</v>
      </c>
      <c r="B218" s="0" t="s">
        <v>367</v>
      </c>
      <c r="C218" s="0" t="s">
        <v>362</v>
      </c>
      <c r="D218" s="0" t="s">
        <v>367</v>
      </c>
    </row>
    <row r="219">
      <c r="A219" s="0" t="s">
        <v>327</v>
      </c>
      <c r="B219" s="0" t="s">
        <v>506</v>
      </c>
      <c r="C219" s="0" t="s">
        <v>376</v>
      </c>
      <c r="D219" s="0" t="s">
        <v>376</v>
      </c>
    </row>
    <row r="220">
      <c r="A220" s="0" t="s">
        <v>328</v>
      </c>
      <c r="B220" s="0" t="s">
        <v>370</v>
      </c>
      <c r="C220" s="0" t="s">
        <v>558</v>
      </c>
      <c r="D220" s="0" t="s">
        <v>558</v>
      </c>
      <c r="E220" s="0" t="s">
        <v>35</v>
      </c>
      <c r="F220" s="0" t="s">
        <v>35</v>
      </c>
    </row>
    <row r="221">
      <c r="A221" s="0" t="s">
        <v>329</v>
      </c>
      <c r="B221" s="0" t="s">
        <v>370</v>
      </c>
      <c r="C221" s="0" t="s">
        <v>35</v>
      </c>
      <c r="D221" s="0" t="s">
        <v>35</v>
      </c>
      <c r="E221" s="0" t="s">
        <v>35</v>
      </c>
      <c r="F221" s="0" t="s">
        <v>35</v>
      </c>
    </row>
    <row r="222">
      <c r="A222" s="0" t="s">
        <v>559</v>
      </c>
      <c r="B222" s="0" t="s">
        <v>378</v>
      </c>
      <c r="C222" s="0" t="s">
        <v>362</v>
      </c>
      <c r="D222" s="0" t="s">
        <v>378</v>
      </c>
    </row>
    <row r="223">
      <c r="A223" s="0" t="s">
        <v>330</v>
      </c>
      <c r="B223" s="0" t="s">
        <v>378</v>
      </c>
      <c r="C223" s="0" t="s">
        <v>378</v>
      </c>
      <c r="D223" s="0" t="s">
        <v>362</v>
      </c>
    </row>
    <row r="224">
      <c r="A224" s="0" t="s">
        <v>331</v>
      </c>
      <c r="B224" s="0" t="s">
        <v>370</v>
      </c>
      <c r="C224" s="0" t="s">
        <v>376</v>
      </c>
      <c r="D224" s="0" t="s">
        <v>376</v>
      </c>
    </row>
    <row r="225">
      <c r="A225" s="0" t="s">
        <v>332</v>
      </c>
      <c r="B225" s="0" t="s">
        <v>367</v>
      </c>
      <c r="C225" s="0" t="s">
        <v>540</v>
      </c>
    </row>
    <row r="226">
      <c r="A226" s="0" t="s">
        <v>560</v>
      </c>
      <c r="B226" s="0" t="s">
        <v>376</v>
      </c>
    </row>
    <row r="227">
      <c r="A227" s="0" t="s">
        <v>333</v>
      </c>
      <c r="B227" s="0" t="s">
        <v>362</v>
      </c>
    </row>
    <row r="228">
      <c r="A228" s="0" t="s">
        <v>561</v>
      </c>
      <c r="B228" s="0" t="s">
        <v>376</v>
      </c>
      <c r="C228" s="0" t="s">
        <v>362</v>
      </c>
    </row>
    <row r="229">
      <c r="A229" s="0" t="s">
        <v>334</v>
      </c>
      <c r="B229" s="0" t="s">
        <v>378</v>
      </c>
      <c r="C229" s="0" t="s">
        <v>362</v>
      </c>
    </row>
    <row r="230">
      <c r="A230" s="0" t="s">
        <v>335</v>
      </c>
      <c r="B230" s="0" t="s">
        <v>378</v>
      </c>
      <c r="C230" s="0" t="s">
        <v>378</v>
      </c>
      <c r="D230" s="0" t="s">
        <v>362</v>
      </c>
    </row>
    <row r="231">
      <c r="A231" s="0" t="s">
        <v>562</v>
      </c>
      <c r="B231" s="0" t="s">
        <v>376</v>
      </c>
      <c r="C231" s="0" t="s">
        <v>362</v>
      </c>
      <c r="D231" s="0" t="s">
        <v>376</v>
      </c>
    </row>
    <row r="232">
      <c r="A232" s="0" t="s">
        <v>336</v>
      </c>
      <c r="B232" s="0" t="s">
        <v>378</v>
      </c>
      <c r="C232" s="0" t="s">
        <v>378</v>
      </c>
      <c r="D232" s="0" t="s">
        <v>362</v>
      </c>
    </row>
    <row r="233">
      <c r="A233" s="0" t="s">
        <v>337</v>
      </c>
      <c r="B233" s="0" t="s">
        <v>378</v>
      </c>
      <c r="C233" s="0" t="s">
        <v>378</v>
      </c>
      <c r="D233" s="0" t="s">
        <v>362</v>
      </c>
    </row>
    <row r="234">
      <c r="A234" s="0" t="s">
        <v>563</v>
      </c>
      <c r="B234" s="0" t="s">
        <v>362</v>
      </c>
      <c r="C234" s="0" t="s">
        <v>378</v>
      </c>
    </row>
    <row r="235">
      <c r="A235" s="0" t="s">
        <v>564</v>
      </c>
      <c r="B235" s="0" t="s">
        <v>362</v>
      </c>
      <c r="C235" s="0" t="s">
        <v>378</v>
      </c>
    </row>
    <row r="236">
      <c r="A236" s="0" t="s">
        <v>565</v>
      </c>
      <c r="B236" s="0" t="s">
        <v>366</v>
      </c>
      <c r="C236" s="0" t="s">
        <v>367</v>
      </c>
    </row>
    <row r="237">
      <c r="A237" s="0" t="s">
        <v>566</v>
      </c>
      <c r="B237" s="0" t="s">
        <v>567</v>
      </c>
    </row>
    <row r="238">
      <c r="A238" s="0" t="s">
        <v>568</v>
      </c>
      <c r="B238" s="0" t="s">
        <v>512</v>
      </c>
      <c r="C238" s="0" t="s">
        <v>512</v>
      </c>
      <c r="D238" s="0" t="s">
        <v>376</v>
      </c>
      <c r="E238" s="0" t="s">
        <v>376</v>
      </c>
    </row>
    <row r="239">
      <c r="A239" s="0" t="s">
        <v>338</v>
      </c>
      <c r="B239" s="0" t="s">
        <v>362</v>
      </c>
    </row>
    <row r="240">
      <c r="A240" s="0" t="s">
        <v>339</v>
      </c>
      <c r="B240" s="0" t="s">
        <v>367</v>
      </c>
    </row>
    <row r="241">
      <c r="A241" s="0" t="s">
        <v>340</v>
      </c>
      <c r="B241" s="0" t="s">
        <v>367</v>
      </c>
    </row>
    <row r="242">
      <c r="A242" s="0" t="s">
        <v>341</v>
      </c>
      <c r="B242" s="0" t="s">
        <v>367</v>
      </c>
    </row>
    <row r="243">
      <c r="A243" s="0" t="s">
        <v>569</v>
      </c>
      <c r="B243" s="0" t="s">
        <v>376</v>
      </c>
    </row>
    <row r="244">
      <c r="A244" s="0" t="s">
        <v>342</v>
      </c>
      <c r="B244" s="0" t="s">
        <v>416</v>
      </c>
      <c r="C244" s="0" t="s">
        <v>367</v>
      </c>
      <c r="D244" s="0" t="s">
        <v>416</v>
      </c>
      <c r="E244" s="0" t="s">
        <v>367</v>
      </c>
    </row>
    <row r="245">
      <c r="A245" s="0" t="s">
        <v>343</v>
      </c>
      <c r="B245" s="0" t="s">
        <v>407</v>
      </c>
      <c r="C245" s="0" t="s">
        <v>407</v>
      </c>
    </row>
    <row r="246">
      <c r="A246" s="0" t="s">
        <v>570</v>
      </c>
      <c r="B246" s="0" t="s">
        <v>416</v>
      </c>
      <c r="C246" s="0" t="s">
        <v>367</v>
      </c>
    </row>
    <row r="247">
      <c r="A247" s="0" t="s">
        <v>344</v>
      </c>
      <c r="B247" s="0" t="s">
        <v>367</v>
      </c>
      <c r="C247" s="0" t="s">
        <v>416</v>
      </c>
      <c r="D247" s="0" t="s">
        <v>367</v>
      </c>
    </row>
    <row r="248">
      <c r="A248" s="0" t="s">
        <v>345</v>
      </c>
      <c r="B248" s="0" t="s">
        <v>367</v>
      </c>
      <c r="C248" s="0" t="s">
        <v>367</v>
      </c>
      <c r="D248" s="0" t="s">
        <v>416</v>
      </c>
    </row>
    <row r="249">
      <c r="A249" s="0" t="s">
        <v>571</v>
      </c>
      <c r="B249" s="0" t="s">
        <v>512</v>
      </c>
      <c r="C249" s="0" t="s">
        <v>512</v>
      </c>
      <c r="D249" s="0" t="s">
        <v>512</v>
      </c>
      <c r="E249" s="0" t="s">
        <v>35</v>
      </c>
      <c r="F249" s="0" t="s">
        <v>35</v>
      </c>
      <c r="G249" s="0" t="s">
        <v>35</v>
      </c>
      <c r="H249" s="0" t="s">
        <v>35</v>
      </c>
      <c r="I249" s="0" t="s">
        <v>35</v>
      </c>
      <c r="J249" s="0" t="s">
        <v>35</v>
      </c>
    </row>
    <row r="250">
      <c r="A250" s="0" t="s">
        <v>346</v>
      </c>
      <c r="B250" s="0" t="s">
        <v>512</v>
      </c>
      <c r="C250" s="0" t="s">
        <v>512</v>
      </c>
      <c r="D250" s="0" t="s">
        <v>35</v>
      </c>
      <c r="E250" s="0" t="s">
        <v>35</v>
      </c>
      <c r="F250" s="0" t="s">
        <v>35</v>
      </c>
      <c r="G250" s="0" t="s">
        <v>35</v>
      </c>
    </row>
    <row r="251">
      <c r="A251" s="0" t="s">
        <v>348</v>
      </c>
      <c r="B251" s="0" t="s">
        <v>512</v>
      </c>
      <c r="C251" s="0" t="s">
        <v>512</v>
      </c>
      <c r="D251" s="0" t="s">
        <v>555</v>
      </c>
      <c r="E251" s="0" t="s">
        <v>555</v>
      </c>
      <c r="F251" s="0" t="s">
        <v>540</v>
      </c>
      <c r="G251" s="0" t="s">
        <v>372</v>
      </c>
      <c r="H251" s="0" t="s">
        <v>372</v>
      </c>
      <c r="I251" s="0" t="s">
        <v>540</v>
      </c>
    </row>
    <row r="252">
      <c r="A252" s="0" t="s">
        <v>349</v>
      </c>
      <c r="B252" s="0" t="s">
        <v>512</v>
      </c>
      <c r="C252" s="0" t="s">
        <v>512</v>
      </c>
      <c r="D252" s="0" t="s">
        <v>555</v>
      </c>
      <c r="E252" s="0" t="s">
        <v>555</v>
      </c>
      <c r="F252" s="0" t="s">
        <v>540</v>
      </c>
      <c r="G252" s="0" t="s">
        <v>372</v>
      </c>
      <c r="H252" s="0" t="s">
        <v>540</v>
      </c>
      <c r="I252" s="0" t="s">
        <v>372</v>
      </c>
    </row>
    <row r="253">
      <c r="A253" s="0" t="s">
        <v>350</v>
      </c>
      <c r="B253" s="0" t="s">
        <v>512</v>
      </c>
      <c r="C253" s="0" t="s">
        <v>555</v>
      </c>
      <c r="D253" s="0" t="s">
        <v>555</v>
      </c>
      <c r="E253" s="0" t="s">
        <v>35</v>
      </c>
      <c r="F253" s="0" t="s">
        <v>35</v>
      </c>
    </row>
    <row r="254">
      <c r="A254" s="0" t="s">
        <v>351</v>
      </c>
      <c r="B254" s="0" t="s">
        <v>512</v>
      </c>
      <c r="C254" s="0" t="s">
        <v>35</v>
      </c>
      <c r="D254" s="0" t="s">
        <v>35</v>
      </c>
      <c r="E254" s="0" t="s">
        <v>35</v>
      </c>
      <c r="F254" s="0" t="s">
        <v>35</v>
      </c>
    </row>
    <row r="255">
      <c r="A255" s="0" t="s">
        <v>352</v>
      </c>
      <c r="B255" s="0" t="s">
        <v>512</v>
      </c>
      <c r="C255" s="0" t="s">
        <v>35</v>
      </c>
      <c r="D255" s="0" t="s">
        <v>35</v>
      </c>
      <c r="E255" s="0" t="s">
        <v>35</v>
      </c>
      <c r="F255" s="0" t="s">
        <v>35</v>
      </c>
    </row>
    <row r="256">
      <c r="A256" s="0" t="s">
        <v>572</v>
      </c>
      <c r="B256" s="0" t="s">
        <v>512</v>
      </c>
      <c r="C256" s="0" t="s">
        <v>512</v>
      </c>
      <c r="D256" s="0" t="s">
        <v>35</v>
      </c>
      <c r="E256" s="0" t="s">
        <v>372</v>
      </c>
      <c r="F256" s="0" t="s">
        <v>372</v>
      </c>
      <c r="G256" s="0" t="s">
        <v>35</v>
      </c>
    </row>
    <row r="257">
      <c r="A257" s="0" t="s">
        <v>353</v>
      </c>
      <c r="B257" s="0" t="s">
        <v>416</v>
      </c>
      <c r="C257" s="0" t="s">
        <v>378</v>
      </c>
      <c r="D257" s="0" t="s">
        <v>378</v>
      </c>
    </row>
    <row r="258">
      <c r="A258" s="0" t="s">
        <v>354</v>
      </c>
      <c r="B258" s="0" t="s">
        <v>367</v>
      </c>
      <c r="C258" s="0" t="s">
        <v>416</v>
      </c>
      <c r="D258" s="0" t="s">
        <v>367</v>
      </c>
      <c r="E258" s="0" t="s">
        <v>416</v>
      </c>
    </row>
    <row r="259">
      <c r="A259" s="0" t="s">
        <v>355</v>
      </c>
      <c r="B259" s="0" t="s">
        <v>362</v>
      </c>
      <c r="C259" s="0" t="s">
        <v>367</v>
      </c>
      <c r="D259" s="0" t="s">
        <v>367</v>
      </c>
    </row>
    <row r="260">
      <c r="A260" s="0" t="s">
        <v>356</v>
      </c>
      <c r="B260" s="0" t="s">
        <v>362</v>
      </c>
      <c r="C260" s="0" t="s">
        <v>367</v>
      </c>
      <c r="D260" s="0" t="s">
        <v>367</v>
      </c>
    </row>
    <row r="261">
      <c r="A261" s="0" t="s">
        <v>573</v>
      </c>
      <c r="B261" s="0" t="s">
        <v>370</v>
      </c>
      <c r="C261" s="0" t="s">
        <v>376</v>
      </c>
      <c r="D261" s="0" t="s">
        <v>376</v>
      </c>
    </row>
    <row r="262">
      <c r="A262" s="0" t="s">
        <v>357</v>
      </c>
      <c r="B262" s="0" t="s">
        <v>370</v>
      </c>
      <c r="C262" s="0" t="s">
        <v>370</v>
      </c>
      <c r="D262" s="0" t="s">
        <v>376</v>
      </c>
      <c r="E262" s="0" t="s">
        <v>376</v>
      </c>
      <c r="F262" s="0" t="s">
        <v>376</v>
      </c>
      <c r="G262" s="0" t="s">
        <v>376</v>
      </c>
    </row>
    <row r="263">
      <c r="A263" s="0" t="s">
        <v>574</v>
      </c>
      <c r="B263" s="0" t="s">
        <v>367</v>
      </c>
      <c r="C263" s="0" t="s">
        <v>407</v>
      </c>
      <c r="D263" s="0" t="s">
        <v>367</v>
      </c>
      <c r="E263" s="0" t="s">
        <v>407</v>
      </c>
    </row>
    <row r="264">
      <c r="A264" s="0" t="s">
        <v>358</v>
      </c>
      <c r="B264" s="0" t="s">
        <v>387</v>
      </c>
      <c r="C264" s="0" t="s">
        <v>381</v>
      </c>
      <c r="D264" s="0" t="s">
        <v>387</v>
      </c>
      <c r="E264" s="0" t="s">
        <v>381</v>
      </c>
      <c r="F264" s="0" t="s">
        <v>450</v>
      </c>
    </row>
    <row r="265">
      <c r="A265" s="0" t="s">
        <v>359</v>
      </c>
      <c r="B265" s="0" t="s">
        <v>35</v>
      </c>
    </row>
    <row r="266">
      <c r="A266" s="0" t="s">
        <v>360</v>
      </c>
      <c r="B266" s="0" t="s">
        <v>35</v>
      </c>
    </row>
    <row r="267">
      <c r="A267" s="0" t="s">
        <v>575</v>
      </c>
      <c r="B267" s="0" t="s">
        <v>35</v>
      </c>
      <c r="C267" s="0" t="s">
        <v>35</v>
      </c>
    </row>
    <row r="268">
      <c r="A268" s="0" t="s">
        <v>361</v>
      </c>
      <c r="B268" s="0" t="s">
        <v>367</v>
      </c>
    </row>
    <row r="269">
      <c r="A269" s="0" t="s">
        <v>576</v>
      </c>
      <c r="B269" s="0" t="s">
        <v>545</v>
      </c>
    </row>
  </sheetData>
  <headerFooter/>
</worksheet>
</file>

<file path=xl/worksheets/sheet32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AntennasPortName"/>
  <dimension ref="A1:J269"/>
  <sheetViews>
    <sheetView workbookViewId="0"/>
  </sheetViews>
  <sheetFormatPr defaultRowHeight="15"/>
  <sheetData>
    <row r="1">
      <c r="A1" s="0" t="s">
        <v>247</v>
      </c>
      <c r="B1" s="0" t="s">
        <v>966</v>
      </c>
      <c r="C1" s="0" t="s">
        <v>967</v>
      </c>
    </row>
    <row r="2">
      <c r="A2" s="0" t="s">
        <v>248</v>
      </c>
      <c r="B2" s="0" t="s">
        <v>968</v>
      </c>
      <c r="C2" s="0" t="s">
        <v>969</v>
      </c>
    </row>
    <row r="3">
      <c r="A3" s="0" t="s">
        <v>364</v>
      </c>
      <c r="B3" s="0" t="s">
        <v>545</v>
      </c>
    </row>
    <row r="4">
      <c r="A4" s="0" t="s">
        <v>365</v>
      </c>
      <c r="B4" s="0" t="s">
        <v>545</v>
      </c>
      <c r="C4" s="0" t="s">
        <v>545</v>
      </c>
    </row>
    <row r="5">
      <c r="A5" s="0" t="s">
        <v>368</v>
      </c>
      <c r="B5" s="0" t="s">
        <v>545</v>
      </c>
      <c r="C5" s="0" t="s">
        <v>545</v>
      </c>
      <c r="D5" s="0" t="s">
        <v>545</v>
      </c>
    </row>
    <row r="6">
      <c r="A6" s="0" t="s">
        <v>369</v>
      </c>
      <c r="B6" s="0" t="s">
        <v>970</v>
      </c>
      <c r="C6" s="0" t="s">
        <v>971</v>
      </c>
      <c r="D6" s="0" t="s">
        <v>972</v>
      </c>
      <c r="E6" s="0" t="s">
        <v>973</v>
      </c>
    </row>
    <row r="7">
      <c r="A7" s="0" t="s">
        <v>371</v>
      </c>
      <c r="B7" s="0" t="s">
        <v>973</v>
      </c>
      <c r="C7" s="0" t="s">
        <v>971</v>
      </c>
      <c r="D7" s="0" t="s">
        <v>972</v>
      </c>
      <c r="E7" s="0" t="s">
        <v>970</v>
      </c>
    </row>
    <row r="8">
      <c r="A8" s="0" t="s">
        <v>373</v>
      </c>
      <c r="B8" s="0" t="s">
        <v>974</v>
      </c>
      <c r="C8" s="0" t="s">
        <v>971</v>
      </c>
      <c r="D8" s="0" t="s">
        <v>970</v>
      </c>
      <c r="E8" s="0" t="s">
        <v>972</v>
      </c>
      <c r="F8" s="0" t="s">
        <v>973</v>
      </c>
    </row>
    <row r="9">
      <c r="A9" s="0" t="s">
        <v>374</v>
      </c>
      <c r="B9" s="0" t="s">
        <v>975</v>
      </c>
      <c r="C9" s="0" t="s">
        <v>974</v>
      </c>
      <c r="D9" s="0" t="s">
        <v>971</v>
      </c>
      <c r="E9" s="0" t="s">
        <v>970</v>
      </c>
      <c r="F9" s="0" t="s">
        <v>972</v>
      </c>
      <c r="G9" s="0" t="s">
        <v>973</v>
      </c>
    </row>
    <row r="10">
      <c r="A10" s="0" t="s">
        <v>249</v>
      </c>
      <c r="B10" s="0" t="s">
        <v>976</v>
      </c>
      <c r="C10" s="0" t="s">
        <v>977</v>
      </c>
      <c r="D10" s="0" t="s">
        <v>978</v>
      </c>
      <c r="E10" s="0" t="s">
        <v>979</v>
      </c>
      <c r="F10" s="0" t="s">
        <v>980</v>
      </c>
    </row>
    <row r="11">
      <c r="A11" s="0" t="s">
        <v>377</v>
      </c>
      <c r="B11" s="0" t="s">
        <v>545</v>
      </c>
      <c r="C11" s="0" t="s">
        <v>545</v>
      </c>
      <c r="D11" s="0" t="s">
        <v>545</v>
      </c>
      <c r="E11" s="0" t="s">
        <v>545</v>
      </c>
      <c r="F11" s="0" t="s">
        <v>545</v>
      </c>
    </row>
    <row r="12">
      <c r="A12" s="0" t="s">
        <v>379</v>
      </c>
      <c r="B12" s="0" t="s">
        <v>545</v>
      </c>
    </row>
    <row r="13">
      <c r="A13" s="0" t="s">
        <v>380</v>
      </c>
      <c r="B13" s="0" t="s">
        <v>545</v>
      </c>
    </row>
    <row r="14">
      <c r="A14" s="0" t="s">
        <v>382</v>
      </c>
      <c r="B14" s="0" t="s">
        <v>545</v>
      </c>
    </row>
    <row r="15">
      <c r="A15" s="0" t="s">
        <v>383</v>
      </c>
      <c r="B15" s="0" t="s">
        <v>545</v>
      </c>
    </row>
    <row r="16">
      <c r="A16" s="0" t="s">
        <v>384</v>
      </c>
      <c r="B16" s="0" t="s">
        <v>545</v>
      </c>
    </row>
    <row r="17">
      <c r="A17" s="0" t="s">
        <v>386</v>
      </c>
      <c r="B17" s="0" t="s">
        <v>545</v>
      </c>
    </row>
    <row r="18">
      <c r="A18" s="0" t="s">
        <v>388</v>
      </c>
      <c r="B18" s="0" t="s">
        <v>545</v>
      </c>
    </row>
    <row r="19">
      <c r="A19" s="0" t="s">
        <v>389</v>
      </c>
      <c r="B19" s="0" t="s">
        <v>545</v>
      </c>
    </row>
    <row r="20">
      <c r="A20" s="0" t="s">
        <v>391</v>
      </c>
      <c r="B20" s="0" t="s">
        <v>545</v>
      </c>
    </row>
    <row r="21">
      <c r="A21" s="0" t="s">
        <v>393</v>
      </c>
      <c r="B21" s="0" t="s">
        <v>545</v>
      </c>
    </row>
    <row r="22">
      <c r="A22" s="0" t="s">
        <v>395</v>
      </c>
      <c r="B22" s="0" t="s">
        <v>545</v>
      </c>
    </row>
    <row r="23">
      <c r="A23" s="0" t="s">
        <v>397</v>
      </c>
      <c r="B23" s="0" t="s">
        <v>545</v>
      </c>
    </row>
    <row r="24">
      <c r="A24" s="0" t="s">
        <v>399</v>
      </c>
      <c r="B24" s="0" t="s">
        <v>545</v>
      </c>
    </row>
    <row r="25">
      <c r="A25" s="0" t="s">
        <v>401</v>
      </c>
      <c r="B25" s="0" t="s">
        <v>545</v>
      </c>
    </row>
    <row r="26">
      <c r="A26" s="0" t="s">
        <v>402</v>
      </c>
      <c r="B26" s="0" t="s">
        <v>545</v>
      </c>
    </row>
    <row r="27">
      <c r="A27" s="0" t="s">
        <v>404</v>
      </c>
      <c r="B27" s="0" t="s">
        <v>545</v>
      </c>
    </row>
    <row r="28">
      <c r="A28" s="0" t="s">
        <v>406</v>
      </c>
      <c r="B28" s="0" t="s">
        <v>545</v>
      </c>
    </row>
    <row r="29">
      <c r="A29" s="0" t="s">
        <v>408</v>
      </c>
      <c r="B29" s="0" t="s">
        <v>545</v>
      </c>
    </row>
    <row r="30">
      <c r="A30" s="0" t="s">
        <v>409</v>
      </c>
      <c r="B30" s="0" t="s">
        <v>545</v>
      </c>
    </row>
    <row r="31">
      <c r="A31" s="0" t="s">
        <v>410</v>
      </c>
      <c r="B31" s="0" t="s">
        <v>545</v>
      </c>
    </row>
    <row r="32">
      <c r="A32" s="0" t="s">
        <v>411</v>
      </c>
      <c r="B32" s="0" t="s">
        <v>545</v>
      </c>
    </row>
    <row r="33">
      <c r="A33" s="0" t="s">
        <v>412</v>
      </c>
      <c r="B33" s="0" t="s">
        <v>545</v>
      </c>
    </row>
    <row r="34">
      <c r="A34" s="0" t="s">
        <v>413</v>
      </c>
      <c r="B34" s="0" t="s">
        <v>545</v>
      </c>
    </row>
    <row r="35">
      <c r="A35" s="0" t="s">
        <v>414</v>
      </c>
      <c r="B35" s="0" t="s">
        <v>545</v>
      </c>
    </row>
    <row r="36">
      <c r="A36" s="0" t="s">
        <v>415</v>
      </c>
      <c r="B36" s="0" t="s">
        <v>545</v>
      </c>
    </row>
    <row r="37">
      <c r="A37" s="0" t="s">
        <v>417</v>
      </c>
      <c r="B37" s="0" t="s">
        <v>545</v>
      </c>
    </row>
    <row r="38">
      <c r="A38" s="0" t="s">
        <v>418</v>
      </c>
      <c r="B38" s="0" t="s">
        <v>545</v>
      </c>
    </row>
    <row r="39">
      <c r="A39" s="0" t="s">
        <v>419</v>
      </c>
      <c r="B39" s="0" t="s">
        <v>545</v>
      </c>
    </row>
    <row r="40">
      <c r="A40" s="0" t="s">
        <v>420</v>
      </c>
      <c r="B40" s="0" t="s">
        <v>545</v>
      </c>
    </row>
    <row r="41">
      <c r="A41" s="0" t="s">
        <v>421</v>
      </c>
      <c r="B41" s="0" t="s">
        <v>545</v>
      </c>
    </row>
    <row r="42">
      <c r="A42" s="0" t="s">
        <v>422</v>
      </c>
      <c r="B42" s="0" t="s">
        <v>545</v>
      </c>
    </row>
    <row r="43">
      <c r="A43" s="0" t="s">
        <v>423</v>
      </c>
      <c r="B43" s="0" t="s">
        <v>545</v>
      </c>
    </row>
    <row r="44">
      <c r="A44" s="0" t="s">
        <v>425</v>
      </c>
      <c r="B44" s="0" t="s">
        <v>545</v>
      </c>
    </row>
    <row r="45">
      <c r="A45" s="0" t="s">
        <v>426</v>
      </c>
      <c r="B45" s="0" t="s">
        <v>545</v>
      </c>
    </row>
    <row r="46">
      <c r="A46" s="0" t="s">
        <v>427</v>
      </c>
      <c r="B46" s="0" t="s">
        <v>545</v>
      </c>
    </row>
    <row r="47">
      <c r="A47" s="0" t="s">
        <v>428</v>
      </c>
      <c r="B47" s="0" t="s">
        <v>545</v>
      </c>
    </row>
    <row r="48">
      <c r="A48" s="0" t="s">
        <v>429</v>
      </c>
      <c r="B48" s="0" t="s">
        <v>545</v>
      </c>
    </row>
    <row r="49">
      <c r="A49" s="0" t="s">
        <v>431</v>
      </c>
      <c r="B49" s="0" t="s">
        <v>545</v>
      </c>
    </row>
    <row r="50">
      <c r="A50" s="0" t="s">
        <v>433</v>
      </c>
      <c r="B50" s="0" t="s">
        <v>545</v>
      </c>
    </row>
    <row r="51">
      <c r="A51" s="0" t="s">
        <v>250</v>
      </c>
      <c r="B51" s="0" t="s">
        <v>545</v>
      </c>
    </row>
    <row r="52">
      <c r="A52" s="0" t="s">
        <v>436</v>
      </c>
      <c r="B52" s="0" t="s">
        <v>545</v>
      </c>
    </row>
    <row r="53">
      <c r="A53" s="0" t="s">
        <v>438</v>
      </c>
      <c r="B53" s="0" t="s">
        <v>545</v>
      </c>
    </row>
    <row r="54">
      <c r="A54" s="0" t="s">
        <v>439</v>
      </c>
      <c r="B54" s="0" t="s">
        <v>545</v>
      </c>
    </row>
    <row r="55">
      <c r="A55" s="0" t="s">
        <v>440</v>
      </c>
      <c r="B55" s="0" t="s">
        <v>545</v>
      </c>
    </row>
    <row r="56">
      <c r="A56" s="0" t="s">
        <v>441</v>
      </c>
      <c r="B56" s="0" t="s">
        <v>545</v>
      </c>
    </row>
    <row r="57">
      <c r="A57" s="0" t="s">
        <v>251</v>
      </c>
      <c r="B57" s="0" t="s">
        <v>545</v>
      </c>
    </row>
    <row r="58">
      <c r="A58" s="0" t="s">
        <v>443</v>
      </c>
      <c r="B58" s="0" t="s">
        <v>545</v>
      </c>
    </row>
    <row r="59">
      <c r="A59" s="0" t="s">
        <v>445</v>
      </c>
      <c r="B59" s="0" t="s">
        <v>545</v>
      </c>
      <c r="C59" s="0" t="s">
        <v>545</v>
      </c>
    </row>
    <row r="60">
      <c r="A60" s="0" t="s">
        <v>446</v>
      </c>
      <c r="B60" s="0" t="s">
        <v>545</v>
      </c>
      <c r="C60" s="0" t="s">
        <v>545</v>
      </c>
      <c r="D60" s="0" t="s">
        <v>545</v>
      </c>
    </row>
    <row r="61">
      <c r="A61" s="0" t="s">
        <v>252</v>
      </c>
      <c r="B61" s="0" t="s">
        <v>545</v>
      </c>
      <c r="C61" s="0" t="s">
        <v>545</v>
      </c>
    </row>
    <row r="62">
      <c r="A62" s="0" t="s">
        <v>447</v>
      </c>
      <c r="B62" s="0" t="s">
        <v>545</v>
      </c>
      <c r="C62" s="0" t="s">
        <v>545</v>
      </c>
    </row>
    <row r="63">
      <c r="A63" s="0" t="s">
        <v>253</v>
      </c>
      <c r="B63" s="0" t="s">
        <v>545</v>
      </c>
      <c r="C63" s="0" t="s">
        <v>545</v>
      </c>
    </row>
    <row r="64">
      <c r="A64" s="0" t="s">
        <v>448</v>
      </c>
      <c r="B64" s="0" t="s">
        <v>545</v>
      </c>
      <c r="C64" s="0" t="s">
        <v>545</v>
      </c>
    </row>
    <row r="65">
      <c r="A65" s="0" t="s">
        <v>254</v>
      </c>
      <c r="B65" s="0" t="s">
        <v>545</v>
      </c>
      <c r="C65" s="0" t="s">
        <v>545</v>
      </c>
    </row>
    <row r="66">
      <c r="A66" s="0" t="s">
        <v>255</v>
      </c>
      <c r="B66" s="0" t="s">
        <v>545</v>
      </c>
      <c r="C66" s="0" t="s">
        <v>545</v>
      </c>
    </row>
    <row r="67">
      <c r="A67" s="0" t="s">
        <v>256</v>
      </c>
      <c r="B67" s="0" t="s">
        <v>545</v>
      </c>
      <c r="C67" s="0" t="s">
        <v>545</v>
      </c>
    </row>
    <row r="68">
      <c r="A68" s="0" t="s">
        <v>449</v>
      </c>
      <c r="B68" s="0" t="s">
        <v>545</v>
      </c>
      <c r="C68" s="0" t="s">
        <v>545</v>
      </c>
      <c r="D68" s="0" t="s">
        <v>545</v>
      </c>
    </row>
    <row r="69">
      <c r="A69" s="0" t="s">
        <v>257</v>
      </c>
      <c r="B69" s="0" t="s">
        <v>545</v>
      </c>
      <c r="C69" s="0" t="s">
        <v>545</v>
      </c>
      <c r="D69" s="0" t="s">
        <v>545</v>
      </c>
    </row>
    <row r="70">
      <c r="A70" s="0" t="s">
        <v>451</v>
      </c>
      <c r="B70" s="0" t="s">
        <v>545</v>
      </c>
      <c r="C70" s="0" t="s">
        <v>545</v>
      </c>
      <c r="D70" s="0" t="s">
        <v>545</v>
      </c>
    </row>
    <row r="71">
      <c r="A71" s="0" t="s">
        <v>452</v>
      </c>
      <c r="B71" s="0" t="s">
        <v>545</v>
      </c>
      <c r="C71" s="0" t="s">
        <v>545</v>
      </c>
      <c r="D71" s="0" t="s">
        <v>545</v>
      </c>
    </row>
    <row r="72">
      <c r="A72" s="0" t="s">
        <v>453</v>
      </c>
      <c r="B72" s="0" t="s">
        <v>545</v>
      </c>
      <c r="C72" s="0" t="s">
        <v>545</v>
      </c>
      <c r="D72" s="0" t="s">
        <v>545</v>
      </c>
    </row>
    <row r="73">
      <c r="A73" s="0" t="s">
        <v>454</v>
      </c>
      <c r="B73" s="0" t="s">
        <v>545</v>
      </c>
    </row>
    <row r="74">
      <c r="A74" s="0" t="s">
        <v>456</v>
      </c>
      <c r="B74" s="0" t="s">
        <v>545</v>
      </c>
      <c r="C74" s="0" t="s">
        <v>545</v>
      </c>
    </row>
    <row r="75">
      <c r="A75" s="0" t="s">
        <v>258</v>
      </c>
      <c r="B75" s="0" t="s">
        <v>545</v>
      </c>
      <c r="C75" s="0" t="s">
        <v>545</v>
      </c>
    </row>
    <row r="76">
      <c r="A76" s="0" t="s">
        <v>457</v>
      </c>
      <c r="B76" s="0" t="s">
        <v>545</v>
      </c>
    </row>
    <row r="77">
      <c r="A77" s="0" t="s">
        <v>458</v>
      </c>
      <c r="B77" s="0" t="s">
        <v>545</v>
      </c>
    </row>
    <row r="78">
      <c r="A78" s="0" t="s">
        <v>460</v>
      </c>
      <c r="B78" s="0" t="s">
        <v>545</v>
      </c>
    </row>
    <row r="79">
      <c r="A79" s="0" t="s">
        <v>461</v>
      </c>
      <c r="B79" s="0" t="s">
        <v>545</v>
      </c>
    </row>
    <row r="80">
      <c r="A80" s="0" t="s">
        <v>463</v>
      </c>
      <c r="B80" s="0" t="s">
        <v>545</v>
      </c>
    </row>
    <row r="81">
      <c r="A81" s="0" t="s">
        <v>465</v>
      </c>
      <c r="B81" s="0" t="s">
        <v>545</v>
      </c>
      <c r="C81" s="0" t="s">
        <v>545</v>
      </c>
    </row>
    <row r="82">
      <c r="A82" s="0" t="s">
        <v>259</v>
      </c>
      <c r="B82" s="0" t="s">
        <v>545</v>
      </c>
      <c r="C82" s="0" t="s">
        <v>545</v>
      </c>
      <c r="D82" s="0" t="s">
        <v>545</v>
      </c>
    </row>
    <row r="83">
      <c r="A83" s="0" t="s">
        <v>466</v>
      </c>
      <c r="B83" s="0" t="s">
        <v>545</v>
      </c>
      <c r="C83" s="0" t="s">
        <v>545</v>
      </c>
      <c r="D83" s="0" t="s">
        <v>545</v>
      </c>
    </row>
    <row r="84">
      <c r="A84" s="0" t="s">
        <v>260</v>
      </c>
      <c r="B84" s="0" t="s">
        <v>545</v>
      </c>
      <c r="C84" s="0" t="s">
        <v>545</v>
      </c>
      <c r="D84" s="0" t="s">
        <v>545</v>
      </c>
    </row>
    <row r="85">
      <c r="A85" s="0" t="s">
        <v>261</v>
      </c>
      <c r="B85" s="0" t="s">
        <v>545</v>
      </c>
      <c r="C85" s="0" t="s">
        <v>545</v>
      </c>
      <c r="D85" s="0" t="s">
        <v>545</v>
      </c>
    </row>
    <row r="86">
      <c r="A86" s="0" t="s">
        <v>262</v>
      </c>
      <c r="B86" s="0" t="s">
        <v>545</v>
      </c>
      <c r="C86" s="0" t="s">
        <v>545</v>
      </c>
      <c r="D86" s="0" t="s">
        <v>545</v>
      </c>
    </row>
    <row r="87">
      <c r="A87" s="0" t="s">
        <v>467</v>
      </c>
      <c r="B87" s="0" t="s">
        <v>545</v>
      </c>
    </row>
    <row r="88">
      <c r="A88" s="0" t="s">
        <v>468</v>
      </c>
      <c r="B88" s="0" t="s">
        <v>545</v>
      </c>
    </row>
    <row r="89">
      <c r="A89" s="0" t="s">
        <v>263</v>
      </c>
      <c r="B89" s="0" t="s">
        <v>545</v>
      </c>
    </row>
    <row r="90">
      <c r="A90" s="0" t="s">
        <v>264</v>
      </c>
      <c r="B90" s="0" t="s">
        <v>545</v>
      </c>
    </row>
    <row r="91">
      <c r="A91" s="0" t="s">
        <v>469</v>
      </c>
      <c r="B91" s="0" t="s">
        <v>545</v>
      </c>
    </row>
    <row r="92">
      <c r="A92" s="0" t="s">
        <v>265</v>
      </c>
      <c r="B92" s="0" t="s">
        <v>545</v>
      </c>
    </row>
    <row r="93">
      <c r="A93" s="0" t="s">
        <v>470</v>
      </c>
      <c r="B93" s="0" t="s">
        <v>545</v>
      </c>
    </row>
    <row r="94">
      <c r="A94" s="0" t="s">
        <v>471</v>
      </c>
      <c r="B94" s="0" t="s">
        <v>545</v>
      </c>
    </row>
    <row r="95">
      <c r="A95" s="0" t="s">
        <v>472</v>
      </c>
      <c r="B95" s="0" t="s">
        <v>545</v>
      </c>
    </row>
    <row r="96">
      <c r="A96" s="0" t="s">
        <v>473</v>
      </c>
      <c r="B96" s="0" t="s">
        <v>545</v>
      </c>
    </row>
    <row r="97">
      <c r="A97" s="0" t="s">
        <v>475</v>
      </c>
      <c r="B97" s="0" t="s">
        <v>545</v>
      </c>
    </row>
    <row r="98">
      <c r="A98" s="0" t="s">
        <v>266</v>
      </c>
      <c r="B98" s="0" t="s">
        <v>545</v>
      </c>
    </row>
    <row r="99">
      <c r="A99" s="0" t="s">
        <v>476</v>
      </c>
      <c r="B99" s="0" t="s">
        <v>545</v>
      </c>
    </row>
    <row r="100">
      <c r="A100" s="0" t="s">
        <v>478</v>
      </c>
      <c r="B100" s="0" t="s">
        <v>545</v>
      </c>
      <c r="C100" s="0" t="s">
        <v>545</v>
      </c>
      <c r="D100" s="0" t="s">
        <v>545</v>
      </c>
    </row>
    <row r="101">
      <c r="A101" s="0" t="s">
        <v>479</v>
      </c>
      <c r="B101" s="0" t="s">
        <v>545</v>
      </c>
    </row>
    <row r="102">
      <c r="A102" s="0" t="s">
        <v>480</v>
      </c>
      <c r="B102" s="0" t="s">
        <v>545</v>
      </c>
      <c r="C102" s="0" t="s">
        <v>545</v>
      </c>
    </row>
    <row r="103">
      <c r="A103" s="0" t="s">
        <v>267</v>
      </c>
      <c r="B103" s="0" t="s">
        <v>545</v>
      </c>
      <c r="C103" s="0" t="s">
        <v>545</v>
      </c>
    </row>
    <row r="104">
      <c r="A104" s="0" t="s">
        <v>481</v>
      </c>
      <c r="B104" s="0" t="s">
        <v>545</v>
      </c>
      <c r="C104" s="0" t="s">
        <v>545</v>
      </c>
    </row>
    <row r="105">
      <c r="A105" s="0" t="s">
        <v>268</v>
      </c>
      <c r="B105" s="0" t="s">
        <v>545</v>
      </c>
    </row>
    <row r="106">
      <c r="A106" s="0" t="s">
        <v>482</v>
      </c>
      <c r="B106" s="0" t="s">
        <v>972</v>
      </c>
      <c r="C106" s="0" t="s">
        <v>970</v>
      </c>
    </row>
    <row r="107">
      <c r="A107" s="0" t="s">
        <v>483</v>
      </c>
      <c r="B107" s="0" t="s">
        <v>545</v>
      </c>
    </row>
    <row r="108">
      <c r="A108" s="0" t="s">
        <v>485</v>
      </c>
      <c r="B108" s="0" t="s">
        <v>545</v>
      </c>
      <c r="C108" s="0" t="s">
        <v>545</v>
      </c>
    </row>
    <row r="109">
      <c r="A109" s="0" t="s">
        <v>486</v>
      </c>
      <c r="B109" s="0" t="s">
        <v>972</v>
      </c>
      <c r="C109" s="0" t="s">
        <v>973</v>
      </c>
    </row>
    <row r="110">
      <c r="A110" s="0" t="s">
        <v>269</v>
      </c>
      <c r="B110" s="0" t="s">
        <v>973</v>
      </c>
      <c r="C110" s="0" t="s">
        <v>972</v>
      </c>
    </row>
    <row r="111">
      <c r="A111" s="0" t="s">
        <v>487</v>
      </c>
      <c r="B111" s="0" t="s">
        <v>545</v>
      </c>
    </row>
    <row r="112">
      <c r="A112" s="0" t="s">
        <v>489</v>
      </c>
      <c r="B112" s="0" t="s">
        <v>545</v>
      </c>
    </row>
    <row r="113">
      <c r="A113" s="0" t="s">
        <v>490</v>
      </c>
      <c r="B113" s="0" t="s">
        <v>972</v>
      </c>
      <c r="C113" s="0" t="s">
        <v>970</v>
      </c>
    </row>
    <row r="114">
      <c r="A114" s="0" t="s">
        <v>491</v>
      </c>
      <c r="B114" s="0" t="s">
        <v>545</v>
      </c>
      <c r="C114" s="0" t="s">
        <v>545</v>
      </c>
      <c r="D114" s="0" t="s">
        <v>545</v>
      </c>
    </row>
    <row r="115">
      <c r="A115" s="0" t="s">
        <v>270</v>
      </c>
      <c r="B115" s="0" t="s">
        <v>973</v>
      </c>
      <c r="C115" s="0" t="s">
        <v>972</v>
      </c>
      <c r="D115" s="0" t="s">
        <v>970</v>
      </c>
    </row>
    <row r="116">
      <c r="A116" s="0" t="s">
        <v>492</v>
      </c>
      <c r="B116" s="0" t="s">
        <v>545</v>
      </c>
      <c r="C116" s="0" t="s">
        <v>545</v>
      </c>
      <c r="D116" s="0" t="s">
        <v>545</v>
      </c>
    </row>
    <row r="117">
      <c r="A117" s="0" t="s">
        <v>271</v>
      </c>
      <c r="B117" s="0" t="s">
        <v>973</v>
      </c>
      <c r="C117" s="0" t="s">
        <v>972</v>
      </c>
      <c r="D117" s="0" t="s">
        <v>970</v>
      </c>
    </row>
    <row r="118">
      <c r="A118" s="0" t="s">
        <v>493</v>
      </c>
      <c r="B118" s="0" t="s">
        <v>545</v>
      </c>
    </row>
    <row r="119">
      <c r="A119" s="0" t="s">
        <v>495</v>
      </c>
      <c r="B119" s="0" t="s">
        <v>545</v>
      </c>
    </row>
    <row r="120">
      <c r="A120" s="0" t="s">
        <v>497</v>
      </c>
      <c r="B120" s="0" t="s">
        <v>545</v>
      </c>
    </row>
    <row r="121">
      <c r="A121" s="0" t="s">
        <v>498</v>
      </c>
      <c r="B121" s="0" t="s">
        <v>545</v>
      </c>
      <c r="C121" s="0" t="s">
        <v>545</v>
      </c>
    </row>
    <row r="122">
      <c r="A122" s="0" t="s">
        <v>499</v>
      </c>
      <c r="B122" s="0" t="s">
        <v>545</v>
      </c>
      <c r="C122" s="0" t="s">
        <v>545</v>
      </c>
      <c r="D122" s="0" t="s">
        <v>545</v>
      </c>
      <c r="E122" s="0" t="s">
        <v>545</v>
      </c>
    </row>
    <row r="123">
      <c r="A123" s="0" t="s">
        <v>500</v>
      </c>
      <c r="B123" s="0" t="s">
        <v>981</v>
      </c>
      <c r="C123" s="0" t="s">
        <v>971</v>
      </c>
      <c r="D123" s="0" t="s">
        <v>982</v>
      </c>
      <c r="E123" s="0" t="s">
        <v>973</v>
      </c>
    </row>
    <row r="124">
      <c r="A124" s="0" t="s">
        <v>501</v>
      </c>
      <c r="B124" s="0" t="s">
        <v>545</v>
      </c>
    </row>
    <row r="125">
      <c r="A125" s="0" t="s">
        <v>503</v>
      </c>
      <c r="B125" s="0" t="s">
        <v>545</v>
      </c>
    </row>
    <row r="126">
      <c r="A126" s="0" t="s">
        <v>505</v>
      </c>
      <c r="B126" s="0" t="s">
        <v>973</v>
      </c>
      <c r="C126" s="0" t="s">
        <v>970</v>
      </c>
      <c r="D126" s="0" t="s">
        <v>972</v>
      </c>
    </row>
    <row r="127">
      <c r="A127" s="0" t="s">
        <v>507</v>
      </c>
      <c r="B127" s="0" t="s">
        <v>973</v>
      </c>
      <c r="C127" s="0" t="s">
        <v>972</v>
      </c>
      <c r="D127" s="0" t="s">
        <v>970</v>
      </c>
    </row>
    <row r="128">
      <c r="A128" s="0" t="s">
        <v>272</v>
      </c>
      <c r="B128" s="0" t="s">
        <v>973</v>
      </c>
      <c r="C128" s="0" t="s">
        <v>972</v>
      </c>
      <c r="D128" s="0" t="s">
        <v>970</v>
      </c>
      <c r="E128" s="0" t="s">
        <v>974</v>
      </c>
      <c r="F128" s="0" t="s">
        <v>975</v>
      </c>
    </row>
    <row r="129">
      <c r="A129" s="0" t="s">
        <v>508</v>
      </c>
      <c r="B129" s="0" t="s">
        <v>973</v>
      </c>
      <c r="C129" s="0" t="s">
        <v>971</v>
      </c>
      <c r="D129" s="0" t="s">
        <v>972</v>
      </c>
      <c r="E129" s="0" t="s">
        <v>970</v>
      </c>
      <c r="F129" s="0" t="s">
        <v>974</v>
      </c>
      <c r="G129" s="0" t="s">
        <v>975</v>
      </c>
    </row>
    <row r="130">
      <c r="A130" s="0" t="s">
        <v>510</v>
      </c>
      <c r="B130" s="0" t="s">
        <v>973</v>
      </c>
      <c r="C130" s="0" t="s">
        <v>971</v>
      </c>
    </row>
    <row r="131">
      <c r="A131" s="0" t="s">
        <v>511</v>
      </c>
      <c r="B131" s="0" t="s">
        <v>973</v>
      </c>
      <c r="C131" s="0" t="s">
        <v>971</v>
      </c>
      <c r="D131" s="0" t="s">
        <v>972</v>
      </c>
      <c r="E131" s="0" t="s">
        <v>970</v>
      </c>
    </row>
    <row r="132">
      <c r="A132" s="0" t="s">
        <v>513</v>
      </c>
      <c r="B132" s="0" t="s">
        <v>974</v>
      </c>
      <c r="C132" s="0" t="s">
        <v>975</v>
      </c>
      <c r="D132" s="0" t="s">
        <v>971</v>
      </c>
      <c r="E132" s="0" t="s">
        <v>973</v>
      </c>
      <c r="F132" s="0" t="s">
        <v>972</v>
      </c>
      <c r="G132" s="0" t="s">
        <v>970</v>
      </c>
    </row>
    <row r="133">
      <c r="A133" s="0" t="s">
        <v>514</v>
      </c>
      <c r="B133" s="0" t="s">
        <v>973</v>
      </c>
      <c r="C133" s="0" t="s">
        <v>971</v>
      </c>
      <c r="D133" s="0" t="s">
        <v>972</v>
      </c>
      <c r="E133" s="0" t="s">
        <v>970</v>
      </c>
      <c r="F133" s="0" t="s">
        <v>974</v>
      </c>
      <c r="G133" s="0" t="s">
        <v>975</v>
      </c>
    </row>
    <row r="134">
      <c r="A134" s="0" t="s">
        <v>515</v>
      </c>
      <c r="B134" s="0" t="s">
        <v>973</v>
      </c>
      <c r="C134" s="0" t="s">
        <v>972</v>
      </c>
      <c r="D134" s="0" t="s">
        <v>970</v>
      </c>
      <c r="E134" s="0" t="s">
        <v>974</v>
      </c>
    </row>
    <row r="135">
      <c r="A135" s="0" t="s">
        <v>516</v>
      </c>
      <c r="B135" s="0" t="s">
        <v>973</v>
      </c>
      <c r="C135" s="0" t="s">
        <v>972</v>
      </c>
      <c r="D135" s="0" t="s">
        <v>970</v>
      </c>
      <c r="E135" s="0" t="s">
        <v>974</v>
      </c>
      <c r="F135" s="0" t="s">
        <v>975</v>
      </c>
    </row>
    <row r="136">
      <c r="A136" s="0" t="s">
        <v>517</v>
      </c>
      <c r="B136" s="0" t="s">
        <v>973</v>
      </c>
      <c r="C136" s="0" t="s">
        <v>971</v>
      </c>
      <c r="D136" s="0" t="s">
        <v>972</v>
      </c>
      <c r="E136" s="0" t="s">
        <v>970</v>
      </c>
      <c r="F136" s="0" t="s">
        <v>974</v>
      </c>
      <c r="G136" s="0" t="s">
        <v>975</v>
      </c>
    </row>
    <row r="137">
      <c r="A137" s="0" t="s">
        <v>519</v>
      </c>
      <c r="B137" s="0" t="s">
        <v>973</v>
      </c>
      <c r="C137" s="0" t="s">
        <v>971</v>
      </c>
      <c r="D137" s="0" t="s">
        <v>972</v>
      </c>
      <c r="E137" s="0" t="s">
        <v>970</v>
      </c>
    </row>
    <row r="138">
      <c r="A138" s="0" t="s">
        <v>520</v>
      </c>
      <c r="B138" s="0" t="s">
        <v>973</v>
      </c>
      <c r="C138" s="0" t="s">
        <v>971</v>
      </c>
      <c r="D138" s="0" t="s">
        <v>972</v>
      </c>
      <c r="E138" s="0" t="s">
        <v>970</v>
      </c>
    </row>
    <row r="139">
      <c r="A139" s="0" t="s">
        <v>521</v>
      </c>
      <c r="B139" s="0" t="s">
        <v>973</v>
      </c>
      <c r="C139" s="0" t="s">
        <v>971</v>
      </c>
      <c r="D139" s="0" t="s">
        <v>972</v>
      </c>
      <c r="E139" s="0" t="s">
        <v>970</v>
      </c>
      <c r="F139" s="0" t="s">
        <v>974</v>
      </c>
      <c r="G139" s="0" t="s">
        <v>975</v>
      </c>
    </row>
    <row r="140">
      <c r="A140" s="0" t="s">
        <v>522</v>
      </c>
      <c r="B140" s="0" t="s">
        <v>973</v>
      </c>
      <c r="C140" s="0" t="s">
        <v>971</v>
      </c>
      <c r="D140" s="0" t="s">
        <v>972</v>
      </c>
      <c r="E140" s="0" t="s">
        <v>970</v>
      </c>
      <c r="F140" s="0" t="s">
        <v>974</v>
      </c>
      <c r="G140" s="0" t="s">
        <v>975</v>
      </c>
    </row>
    <row r="141">
      <c r="A141" s="0" t="s">
        <v>273</v>
      </c>
      <c r="B141" s="0" t="s">
        <v>983</v>
      </c>
      <c r="C141" s="0" t="s">
        <v>984</v>
      </c>
      <c r="D141" s="0" t="s">
        <v>985</v>
      </c>
      <c r="E141" s="0" t="s">
        <v>986</v>
      </c>
      <c r="F141" s="0" t="s">
        <v>987</v>
      </c>
      <c r="G141" s="0" t="s">
        <v>988</v>
      </c>
    </row>
    <row r="142">
      <c r="A142" s="0" t="s">
        <v>274</v>
      </c>
      <c r="B142" s="0" t="s">
        <v>983</v>
      </c>
      <c r="C142" s="0" t="s">
        <v>984</v>
      </c>
      <c r="D142" s="0" t="s">
        <v>985</v>
      </c>
      <c r="E142" s="0" t="s">
        <v>986</v>
      </c>
      <c r="F142" s="0" t="s">
        <v>987</v>
      </c>
      <c r="G142" s="0" t="s">
        <v>988</v>
      </c>
    </row>
    <row r="143">
      <c r="A143" s="0" t="s">
        <v>524</v>
      </c>
      <c r="B143" s="0" t="s">
        <v>26</v>
      </c>
      <c r="C143" s="0" t="s">
        <v>27</v>
      </c>
      <c r="D143" s="0" t="s">
        <v>989</v>
      </c>
      <c r="E143" s="0" t="s">
        <v>990</v>
      </c>
      <c r="F143" s="0" t="s">
        <v>991</v>
      </c>
      <c r="G143" s="0" t="s">
        <v>992</v>
      </c>
      <c r="H143" s="0" t="s">
        <v>988</v>
      </c>
    </row>
    <row r="144">
      <c r="A144" s="0" t="s">
        <v>526</v>
      </c>
      <c r="B144" s="0" t="s">
        <v>26</v>
      </c>
      <c r="C144" s="0" t="s">
        <v>27</v>
      </c>
      <c r="D144" s="0" t="s">
        <v>989</v>
      </c>
      <c r="E144" s="0" t="s">
        <v>990</v>
      </c>
      <c r="F144" s="0" t="s">
        <v>991</v>
      </c>
      <c r="G144" s="0" t="s">
        <v>992</v>
      </c>
      <c r="H144" s="0" t="s">
        <v>988</v>
      </c>
    </row>
    <row r="145">
      <c r="A145" s="0" t="s">
        <v>275</v>
      </c>
      <c r="B145" s="0" t="s">
        <v>545</v>
      </c>
    </row>
    <row r="146">
      <c r="A146" s="0" t="s">
        <v>527</v>
      </c>
      <c r="B146" s="0" t="s">
        <v>545</v>
      </c>
    </row>
    <row r="147">
      <c r="A147" s="0" t="s">
        <v>528</v>
      </c>
      <c r="B147" s="0" t="s">
        <v>993</v>
      </c>
    </row>
    <row r="148">
      <c r="A148" s="0" t="s">
        <v>529</v>
      </c>
      <c r="B148" s="0" t="s">
        <v>993</v>
      </c>
    </row>
    <row r="149">
      <c r="A149" s="0" t="s">
        <v>180</v>
      </c>
      <c r="B149" s="0" t="s">
        <v>545</v>
      </c>
    </row>
    <row r="150">
      <c r="A150" s="0" t="s">
        <v>276</v>
      </c>
      <c r="B150" s="0" t="s">
        <v>545</v>
      </c>
    </row>
    <row r="151">
      <c r="A151" s="0" t="s">
        <v>170</v>
      </c>
      <c r="B151" s="0" t="s">
        <v>545</v>
      </c>
    </row>
    <row r="152">
      <c r="A152" s="0" t="s">
        <v>277</v>
      </c>
      <c r="B152" s="0" t="s">
        <v>545</v>
      </c>
    </row>
    <row r="153">
      <c r="A153" s="0" t="s">
        <v>278</v>
      </c>
      <c r="B153" s="0" t="s">
        <v>545</v>
      </c>
    </row>
    <row r="154">
      <c r="A154" s="0" t="s">
        <v>532</v>
      </c>
      <c r="B154" s="0" t="s">
        <v>973</v>
      </c>
      <c r="C154" s="0" t="s">
        <v>972</v>
      </c>
    </row>
    <row r="155">
      <c r="A155" s="0" t="s">
        <v>279</v>
      </c>
      <c r="B155" s="0" t="s">
        <v>545</v>
      </c>
      <c r="C155" s="0" t="s">
        <v>545</v>
      </c>
    </row>
    <row r="156">
      <c r="A156" s="0" t="s">
        <v>280</v>
      </c>
      <c r="B156" s="0" t="s">
        <v>26</v>
      </c>
      <c r="C156" s="0" t="s">
        <v>27</v>
      </c>
    </row>
    <row r="157">
      <c r="A157" s="0" t="s">
        <v>281</v>
      </c>
      <c r="B157" s="0" t="s">
        <v>993</v>
      </c>
      <c r="C157" s="0" t="s">
        <v>994</v>
      </c>
    </row>
    <row r="158">
      <c r="A158" s="0" t="s">
        <v>282</v>
      </c>
      <c r="B158" s="0" t="s">
        <v>993</v>
      </c>
      <c r="C158" s="0" t="s">
        <v>994</v>
      </c>
    </row>
    <row r="159">
      <c r="A159" s="0" t="s">
        <v>283</v>
      </c>
      <c r="B159" s="0" t="s">
        <v>989</v>
      </c>
      <c r="C159" s="0" t="s">
        <v>995</v>
      </c>
    </row>
    <row r="160">
      <c r="A160" s="0" t="s">
        <v>284</v>
      </c>
      <c r="B160" s="0" t="s">
        <v>983</v>
      </c>
      <c r="C160" s="0" t="s">
        <v>996</v>
      </c>
      <c r="D160" s="0" t="s">
        <v>984</v>
      </c>
      <c r="E160" s="0" t="s">
        <v>985</v>
      </c>
      <c r="F160" s="0" t="s">
        <v>986</v>
      </c>
      <c r="G160" s="0" t="s">
        <v>987</v>
      </c>
    </row>
    <row r="161">
      <c r="A161" s="0" t="s">
        <v>285</v>
      </c>
      <c r="B161" s="0" t="s">
        <v>997</v>
      </c>
      <c r="C161" s="0" t="s">
        <v>26</v>
      </c>
      <c r="D161" s="0" t="s">
        <v>28</v>
      </c>
      <c r="E161" s="0" t="s">
        <v>998</v>
      </c>
      <c r="F161" s="0" t="s">
        <v>999</v>
      </c>
      <c r="G161" s="0" t="s">
        <v>1000</v>
      </c>
      <c r="H161" s="0" t="s">
        <v>1001</v>
      </c>
      <c r="I161" s="0" t="s">
        <v>29</v>
      </c>
    </row>
    <row r="162">
      <c r="A162" s="0" t="s">
        <v>534</v>
      </c>
      <c r="B162" s="0" t="s">
        <v>26</v>
      </c>
      <c r="C162" s="0" t="s">
        <v>27</v>
      </c>
      <c r="D162" s="0" t="s">
        <v>28</v>
      </c>
      <c r="E162" s="0" t="s">
        <v>29</v>
      </c>
      <c r="F162" s="0" t="s">
        <v>1002</v>
      </c>
      <c r="G162" s="0" t="s">
        <v>1003</v>
      </c>
      <c r="H162" s="0" t="s">
        <v>1004</v>
      </c>
      <c r="I162" s="0" t="s">
        <v>1005</v>
      </c>
    </row>
    <row r="163">
      <c r="A163" s="0" t="s">
        <v>286</v>
      </c>
      <c r="B163" s="0" t="s">
        <v>999</v>
      </c>
      <c r="C163" s="0" t="s">
        <v>1006</v>
      </c>
      <c r="D163" s="0" t="s">
        <v>983</v>
      </c>
      <c r="E163" s="0" t="s">
        <v>29</v>
      </c>
      <c r="F163" s="0" t="s">
        <v>28</v>
      </c>
    </row>
    <row r="164">
      <c r="A164" s="0" t="s">
        <v>535</v>
      </c>
      <c r="B164" s="0" t="s">
        <v>973</v>
      </c>
      <c r="C164" s="0" t="s">
        <v>971</v>
      </c>
      <c r="D164" s="0" t="s">
        <v>972</v>
      </c>
      <c r="E164" s="0" t="s">
        <v>970</v>
      </c>
    </row>
    <row r="165">
      <c r="A165" s="0" t="s">
        <v>287</v>
      </c>
      <c r="B165" s="0" t="s">
        <v>26</v>
      </c>
      <c r="C165" s="0" t="s">
        <v>27</v>
      </c>
      <c r="D165" s="0" t="s">
        <v>989</v>
      </c>
      <c r="E165" s="0" t="s">
        <v>995</v>
      </c>
    </row>
    <row r="166">
      <c r="A166" s="0" t="s">
        <v>288</v>
      </c>
      <c r="B166" s="0" t="s">
        <v>26</v>
      </c>
      <c r="C166" s="0" t="s">
        <v>27</v>
      </c>
      <c r="D166" s="0" t="s">
        <v>989</v>
      </c>
      <c r="E166" s="0" t="s">
        <v>995</v>
      </c>
    </row>
    <row r="167">
      <c r="A167" s="0" t="s">
        <v>289</v>
      </c>
      <c r="B167" s="0" t="s">
        <v>545</v>
      </c>
      <c r="C167" s="0" t="s">
        <v>545</v>
      </c>
      <c r="D167" s="0" t="s">
        <v>545</v>
      </c>
      <c r="E167" s="0" t="s">
        <v>545</v>
      </c>
    </row>
    <row r="168">
      <c r="A168" s="0" t="s">
        <v>290</v>
      </c>
      <c r="B168" s="0" t="s">
        <v>995</v>
      </c>
      <c r="C168" s="0" t="s">
        <v>27</v>
      </c>
      <c r="D168" s="0" t="s">
        <v>26</v>
      </c>
      <c r="E168" s="0" t="s">
        <v>989</v>
      </c>
    </row>
    <row r="169">
      <c r="A169" s="0" t="s">
        <v>291</v>
      </c>
      <c r="B169" s="0" t="s">
        <v>26</v>
      </c>
      <c r="C169" s="0" t="s">
        <v>27</v>
      </c>
      <c r="D169" s="0" t="s">
        <v>989</v>
      </c>
      <c r="E169" s="0" t="s">
        <v>995</v>
      </c>
    </row>
    <row r="170">
      <c r="A170" s="0" t="s">
        <v>292</v>
      </c>
      <c r="B170" s="0" t="s">
        <v>993</v>
      </c>
      <c r="C170" s="0" t="s">
        <v>1007</v>
      </c>
      <c r="D170" s="0" t="s">
        <v>1008</v>
      </c>
      <c r="E170" s="0" t="s">
        <v>1009</v>
      </c>
    </row>
    <row r="171">
      <c r="A171" s="0" t="s">
        <v>537</v>
      </c>
      <c r="B171" s="0" t="s">
        <v>26</v>
      </c>
      <c r="C171" s="0" t="s">
        <v>27</v>
      </c>
      <c r="D171" s="0" t="s">
        <v>989</v>
      </c>
      <c r="E171" s="0" t="s">
        <v>995</v>
      </c>
    </row>
    <row r="172">
      <c r="A172" s="0" t="s">
        <v>293</v>
      </c>
      <c r="B172" s="0" t="s">
        <v>983</v>
      </c>
      <c r="C172" s="0" t="s">
        <v>1010</v>
      </c>
      <c r="D172" s="0" t="s">
        <v>1011</v>
      </c>
      <c r="E172" s="0" t="s">
        <v>989</v>
      </c>
    </row>
    <row r="173">
      <c r="A173" s="0" t="s">
        <v>294</v>
      </c>
      <c r="B173" s="0" t="s">
        <v>28</v>
      </c>
      <c r="C173" s="0" t="s">
        <v>29</v>
      </c>
      <c r="D173" s="0" t="s">
        <v>26</v>
      </c>
      <c r="E173" s="0" t="s">
        <v>31</v>
      </c>
      <c r="F173" s="0" t="s">
        <v>30</v>
      </c>
      <c r="G173" s="0" t="s">
        <v>27</v>
      </c>
    </row>
    <row r="174">
      <c r="A174" s="0" t="s">
        <v>295</v>
      </c>
      <c r="B174" s="0" t="s">
        <v>26</v>
      </c>
      <c r="C174" s="0" t="s">
        <v>27</v>
      </c>
      <c r="D174" s="0" t="s">
        <v>28</v>
      </c>
      <c r="E174" s="0" t="s">
        <v>29</v>
      </c>
      <c r="F174" s="0" t="s">
        <v>30</v>
      </c>
      <c r="G174" s="0" t="s">
        <v>31</v>
      </c>
    </row>
    <row r="175">
      <c r="A175" s="0" t="s">
        <v>296</v>
      </c>
      <c r="B175" s="0" t="s">
        <v>29</v>
      </c>
      <c r="C175" s="0" t="s">
        <v>28</v>
      </c>
      <c r="D175" s="0" t="s">
        <v>26</v>
      </c>
      <c r="E175" s="0" t="s">
        <v>30</v>
      </c>
      <c r="F175" s="0" t="s">
        <v>31</v>
      </c>
      <c r="G175" s="0" t="s">
        <v>27</v>
      </c>
    </row>
    <row r="176">
      <c r="A176" s="0" t="s">
        <v>7</v>
      </c>
      <c r="B176" s="0" t="s">
        <v>26</v>
      </c>
      <c r="C176" s="0" t="s">
        <v>27</v>
      </c>
      <c r="D176" s="0" t="s">
        <v>28</v>
      </c>
      <c r="E176" s="0" t="s">
        <v>29</v>
      </c>
      <c r="F176" s="0" t="s">
        <v>30</v>
      </c>
      <c r="G176" s="0" t="s">
        <v>31</v>
      </c>
    </row>
    <row r="177">
      <c r="A177" s="0" t="s">
        <v>297</v>
      </c>
      <c r="B177" s="0" t="s">
        <v>26</v>
      </c>
      <c r="C177" s="0" t="s">
        <v>27</v>
      </c>
      <c r="D177" s="0" t="s">
        <v>28</v>
      </c>
      <c r="E177" s="0" t="s">
        <v>29</v>
      </c>
      <c r="F177" s="0" t="s">
        <v>30</v>
      </c>
      <c r="G177" s="0" t="s">
        <v>31</v>
      </c>
    </row>
    <row r="178">
      <c r="A178" s="0" t="s">
        <v>298</v>
      </c>
      <c r="B178" s="0" t="s">
        <v>1012</v>
      </c>
      <c r="C178" s="0" t="s">
        <v>989</v>
      </c>
      <c r="D178" s="0" t="s">
        <v>983</v>
      </c>
      <c r="E178" s="0" t="s">
        <v>1013</v>
      </c>
      <c r="F178" s="0" t="s">
        <v>998</v>
      </c>
      <c r="G178" s="0" t="s">
        <v>996</v>
      </c>
    </row>
    <row r="179">
      <c r="A179" s="0" t="s">
        <v>299</v>
      </c>
      <c r="B179" s="0" t="s">
        <v>1012</v>
      </c>
      <c r="C179" s="0" t="s">
        <v>989</v>
      </c>
      <c r="D179" s="0" t="s">
        <v>983</v>
      </c>
      <c r="E179" s="0" t="s">
        <v>1013</v>
      </c>
      <c r="F179" s="0" t="s">
        <v>1014</v>
      </c>
      <c r="G179" s="0" t="s">
        <v>996</v>
      </c>
    </row>
    <row r="180">
      <c r="A180" s="0" t="s">
        <v>300</v>
      </c>
      <c r="B180" s="0" t="s">
        <v>26</v>
      </c>
      <c r="C180" s="0" t="s">
        <v>27</v>
      </c>
      <c r="D180" s="0" t="s">
        <v>28</v>
      </c>
      <c r="E180" s="0" t="s">
        <v>29</v>
      </c>
      <c r="F180" s="0" t="s">
        <v>30</v>
      </c>
      <c r="G180" s="0" t="s">
        <v>31</v>
      </c>
    </row>
    <row r="181">
      <c r="A181" s="0" t="s">
        <v>541</v>
      </c>
      <c r="B181" s="0" t="s">
        <v>973</v>
      </c>
      <c r="C181" s="0" t="s">
        <v>971</v>
      </c>
      <c r="D181" s="0" t="s">
        <v>972</v>
      </c>
      <c r="E181" s="0" t="s">
        <v>970</v>
      </c>
      <c r="F181" s="0" t="s">
        <v>974</v>
      </c>
      <c r="G181" s="0" t="s">
        <v>975</v>
      </c>
    </row>
    <row r="182">
      <c r="A182" s="0" t="s">
        <v>301</v>
      </c>
      <c r="B182" s="0" t="s">
        <v>26</v>
      </c>
      <c r="C182" s="0" t="s">
        <v>989</v>
      </c>
      <c r="D182" s="0" t="s">
        <v>990</v>
      </c>
      <c r="E182" s="0" t="s">
        <v>991</v>
      </c>
      <c r="F182" s="0" t="s">
        <v>992</v>
      </c>
      <c r="G182" s="0" t="s">
        <v>1015</v>
      </c>
    </row>
    <row r="183">
      <c r="A183" s="0" t="s">
        <v>302</v>
      </c>
      <c r="B183" s="0" t="s">
        <v>545</v>
      </c>
    </row>
    <row r="184">
      <c r="A184" s="0" t="s">
        <v>542</v>
      </c>
      <c r="B184" s="0" t="s">
        <v>1016</v>
      </c>
      <c r="C184" s="0" t="s">
        <v>1017</v>
      </c>
      <c r="D184" s="0" t="s">
        <v>1018</v>
      </c>
      <c r="E184" s="0" t="s">
        <v>1019</v>
      </c>
    </row>
    <row r="185">
      <c r="A185" s="0" t="s">
        <v>543</v>
      </c>
      <c r="B185" s="0" t="s">
        <v>993</v>
      </c>
      <c r="C185" s="0" t="s">
        <v>1008</v>
      </c>
      <c r="D185" s="0" t="s">
        <v>1009</v>
      </c>
    </row>
    <row r="186">
      <c r="A186" s="0" t="s">
        <v>303</v>
      </c>
      <c r="B186" s="0" t="s">
        <v>995</v>
      </c>
      <c r="C186" s="0" t="s">
        <v>983</v>
      </c>
      <c r="D186" s="0" t="s">
        <v>989</v>
      </c>
    </row>
    <row r="187">
      <c r="A187" s="0" t="s">
        <v>304</v>
      </c>
      <c r="B187" s="0" t="s">
        <v>995</v>
      </c>
      <c r="C187" s="0" t="s">
        <v>983</v>
      </c>
      <c r="D187" s="0" t="s">
        <v>989</v>
      </c>
    </row>
    <row r="188">
      <c r="A188" s="0" t="s">
        <v>305</v>
      </c>
      <c r="B188" s="0" t="s">
        <v>993</v>
      </c>
      <c r="C188" s="0" t="s">
        <v>1008</v>
      </c>
      <c r="D188" s="0" t="s">
        <v>1009</v>
      </c>
    </row>
    <row r="189">
      <c r="A189" s="0" t="s">
        <v>306</v>
      </c>
      <c r="B189" s="0" t="s">
        <v>989</v>
      </c>
      <c r="C189" s="0" t="s">
        <v>983</v>
      </c>
      <c r="D189" s="0" t="s">
        <v>995</v>
      </c>
    </row>
    <row r="190">
      <c r="A190" s="0" t="s">
        <v>544</v>
      </c>
      <c r="B190" s="0" t="s">
        <v>973</v>
      </c>
      <c r="C190" s="0" t="s">
        <v>972</v>
      </c>
      <c r="D190" s="0" t="s">
        <v>970</v>
      </c>
    </row>
    <row r="191">
      <c r="A191" s="0" t="s">
        <v>307</v>
      </c>
      <c r="B191" s="0" t="s">
        <v>545</v>
      </c>
    </row>
    <row r="192">
      <c r="A192" s="0" t="s">
        <v>308</v>
      </c>
      <c r="B192" s="0" t="s">
        <v>545</v>
      </c>
      <c r="C192" s="0" t="s">
        <v>545</v>
      </c>
    </row>
    <row r="193">
      <c r="A193" s="0" t="s">
        <v>546</v>
      </c>
      <c r="B193" s="0" t="s">
        <v>545</v>
      </c>
      <c r="C193" s="0" t="s">
        <v>545</v>
      </c>
      <c r="D193" s="0" t="s">
        <v>545</v>
      </c>
    </row>
    <row r="194">
      <c r="A194" s="0" t="s">
        <v>309</v>
      </c>
      <c r="B194" s="0" t="s">
        <v>545</v>
      </c>
    </row>
    <row r="195">
      <c r="A195" s="0" t="s">
        <v>310</v>
      </c>
      <c r="B195" s="0" t="s">
        <v>545</v>
      </c>
    </row>
    <row r="196">
      <c r="A196" s="0" t="s">
        <v>311</v>
      </c>
      <c r="B196" s="0" t="s">
        <v>545</v>
      </c>
      <c r="C196" s="0" t="s">
        <v>545</v>
      </c>
    </row>
    <row r="197">
      <c r="A197" s="0" t="s">
        <v>312</v>
      </c>
      <c r="B197" s="0" t="s">
        <v>545</v>
      </c>
      <c r="C197" s="0" t="s">
        <v>545</v>
      </c>
    </row>
    <row r="198">
      <c r="A198" s="0" t="s">
        <v>313</v>
      </c>
      <c r="B198" s="0" t="s">
        <v>1020</v>
      </c>
      <c r="C198" s="0" t="s">
        <v>1021</v>
      </c>
      <c r="D198" s="0" t="s">
        <v>1022</v>
      </c>
    </row>
    <row r="199">
      <c r="A199" s="0" t="s">
        <v>314</v>
      </c>
      <c r="B199" s="0" t="s">
        <v>545</v>
      </c>
      <c r="C199" s="0" t="s">
        <v>545</v>
      </c>
    </row>
    <row r="200">
      <c r="A200" s="0" t="s">
        <v>548</v>
      </c>
      <c r="B200" s="0" t="s">
        <v>545</v>
      </c>
      <c r="C200" s="0" t="s">
        <v>545</v>
      </c>
      <c r="D200" s="0" t="s">
        <v>545</v>
      </c>
    </row>
    <row r="201">
      <c r="A201" s="0" t="s">
        <v>315</v>
      </c>
      <c r="B201" s="0" t="s">
        <v>973</v>
      </c>
      <c r="C201" s="0" t="s">
        <v>972</v>
      </c>
      <c r="D201" s="0" t="s">
        <v>970</v>
      </c>
    </row>
    <row r="202">
      <c r="A202" s="0" t="s">
        <v>316</v>
      </c>
      <c r="B202" s="0" t="s">
        <v>545</v>
      </c>
    </row>
    <row r="203">
      <c r="A203" s="0" t="s">
        <v>317</v>
      </c>
      <c r="B203" s="0" t="s">
        <v>545</v>
      </c>
    </row>
    <row r="204">
      <c r="A204" s="0" t="s">
        <v>318</v>
      </c>
      <c r="B204" s="0" t="s">
        <v>545</v>
      </c>
    </row>
    <row r="205">
      <c r="A205" s="0" t="s">
        <v>319</v>
      </c>
      <c r="B205" s="0" t="s">
        <v>545</v>
      </c>
    </row>
    <row r="206">
      <c r="A206" s="0" t="s">
        <v>549</v>
      </c>
      <c r="B206" s="0" t="s">
        <v>545</v>
      </c>
    </row>
    <row r="207">
      <c r="A207" s="0" t="s">
        <v>550</v>
      </c>
      <c r="B207" s="0" t="s">
        <v>545</v>
      </c>
      <c r="C207" s="0" t="s">
        <v>545</v>
      </c>
    </row>
    <row r="208">
      <c r="A208" s="0" t="s">
        <v>551</v>
      </c>
      <c r="B208" s="0" t="s">
        <v>545</v>
      </c>
    </row>
    <row r="209">
      <c r="A209" s="0" t="s">
        <v>320</v>
      </c>
      <c r="B209" s="0" t="s">
        <v>545</v>
      </c>
    </row>
    <row r="210">
      <c r="A210" s="0" t="s">
        <v>321</v>
      </c>
      <c r="B210" s="0" t="s">
        <v>1023</v>
      </c>
      <c r="C210" s="0" t="s">
        <v>1024</v>
      </c>
      <c r="D210" s="0" t="s">
        <v>1025</v>
      </c>
    </row>
    <row r="211">
      <c r="A211" s="0" t="s">
        <v>552</v>
      </c>
      <c r="B211" s="0" t="s">
        <v>970</v>
      </c>
      <c r="C211" s="0" t="s">
        <v>973</v>
      </c>
      <c r="D211" s="0" t="s">
        <v>972</v>
      </c>
    </row>
    <row r="212">
      <c r="A212" s="0" t="s">
        <v>322</v>
      </c>
      <c r="B212" s="0" t="s">
        <v>545</v>
      </c>
    </row>
    <row r="213">
      <c r="A213" s="0" t="s">
        <v>554</v>
      </c>
      <c r="B213" s="0" t="s">
        <v>973</v>
      </c>
      <c r="C213" s="0" t="s">
        <v>1026</v>
      </c>
      <c r="D213" s="0" t="s">
        <v>1027</v>
      </c>
      <c r="E213" s="0" t="s">
        <v>972</v>
      </c>
      <c r="F213" s="0" t="s">
        <v>970</v>
      </c>
    </row>
    <row r="214">
      <c r="A214" s="0" t="s">
        <v>323</v>
      </c>
      <c r="B214" s="0" t="s">
        <v>545</v>
      </c>
    </row>
    <row r="215">
      <c r="A215" s="0" t="s">
        <v>324</v>
      </c>
      <c r="B215" s="0" t="s">
        <v>545</v>
      </c>
    </row>
    <row r="216">
      <c r="A216" s="0" t="s">
        <v>325</v>
      </c>
      <c r="B216" s="0" t="s">
        <v>973</v>
      </c>
      <c r="C216" s="0" t="s">
        <v>982</v>
      </c>
    </row>
    <row r="217">
      <c r="A217" s="0" t="s">
        <v>557</v>
      </c>
      <c r="B217" s="0" t="s">
        <v>545</v>
      </c>
      <c r="C217" s="0" t="s">
        <v>545</v>
      </c>
      <c r="D217" s="0" t="s">
        <v>545</v>
      </c>
    </row>
    <row r="218">
      <c r="A218" s="0" t="s">
        <v>326</v>
      </c>
      <c r="B218" s="0" t="s">
        <v>545</v>
      </c>
      <c r="C218" s="0" t="s">
        <v>545</v>
      </c>
      <c r="D218" s="0" t="s">
        <v>545</v>
      </c>
    </row>
    <row r="219">
      <c r="A219" s="0" t="s">
        <v>327</v>
      </c>
      <c r="B219" s="0" t="s">
        <v>973</v>
      </c>
      <c r="C219" s="0" t="s">
        <v>972</v>
      </c>
      <c r="D219" s="0" t="s">
        <v>970</v>
      </c>
    </row>
    <row r="220">
      <c r="A220" s="0" t="s">
        <v>328</v>
      </c>
      <c r="B220" s="0" t="s">
        <v>973</v>
      </c>
      <c r="C220" s="0" t="s">
        <v>972</v>
      </c>
      <c r="D220" s="0" t="s">
        <v>970</v>
      </c>
      <c r="E220" s="0" t="s">
        <v>974</v>
      </c>
      <c r="F220" s="0" t="s">
        <v>975</v>
      </c>
    </row>
    <row r="221">
      <c r="A221" s="0" t="s">
        <v>329</v>
      </c>
      <c r="B221" s="0" t="s">
        <v>973</v>
      </c>
      <c r="C221" s="0" t="s">
        <v>972</v>
      </c>
      <c r="D221" s="0" t="s">
        <v>970</v>
      </c>
      <c r="E221" s="0" t="s">
        <v>974</v>
      </c>
      <c r="F221" s="0" t="s">
        <v>975</v>
      </c>
    </row>
    <row r="222">
      <c r="A222" s="0" t="s">
        <v>559</v>
      </c>
      <c r="B222" s="0" t="s">
        <v>545</v>
      </c>
      <c r="C222" s="0" t="s">
        <v>545</v>
      </c>
      <c r="D222" s="0" t="s">
        <v>545</v>
      </c>
    </row>
    <row r="223">
      <c r="A223" s="0" t="s">
        <v>330</v>
      </c>
      <c r="B223" s="0" t="s">
        <v>545</v>
      </c>
      <c r="C223" s="0" t="s">
        <v>545</v>
      </c>
      <c r="D223" s="0" t="s">
        <v>545</v>
      </c>
    </row>
    <row r="224">
      <c r="A224" s="0" t="s">
        <v>331</v>
      </c>
      <c r="B224" s="0" t="s">
        <v>973</v>
      </c>
      <c r="C224" s="0" t="s">
        <v>972</v>
      </c>
      <c r="D224" s="0" t="s">
        <v>970</v>
      </c>
    </row>
    <row r="225">
      <c r="A225" s="0" t="s">
        <v>332</v>
      </c>
      <c r="B225" s="0" t="s">
        <v>982</v>
      </c>
      <c r="C225" s="0" t="s">
        <v>972</v>
      </c>
    </row>
    <row r="226">
      <c r="A226" s="0" t="s">
        <v>560</v>
      </c>
      <c r="B226" s="0" t="s">
        <v>545</v>
      </c>
    </row>
    <row r="227">
      <c r="A227" s="0" t="s">
        <v>333</v>
      </c>
      <c r="B227" s="0" t="s">
        <v>545</v>
      </c>
    </row>
    <row r="228">
      <c r="A228" s="0" t="s">
        <v>561</v>
      </c>
      <c r="B228" s="0" t="s">
        <v>545</v>
      </c>
      <c r="C228" s="0" t="s">
        <v>545</v>
      </c>
    </row>
    <row r="229">
      <c r="A229" s="0" t="s">
        <v>334</v>
      </c>
      <c r="B229" s="0" t="s">
        <v>545</v>
      </c>
      <c r="C229" s="0" t="s">
        <v>545</v>
      </c>
    </row>
    <row r="230">
      <c r="A230" s="0" t="s">
        <v>335</v>
      </c>
      <c r="B230" s="0" t="s">
        <v>545</v>
      </c>
      <c r="C230" s="0" t="s">
        <v>545</v>
      </c>
      <c r="D230" s="0" t="s">
        <v>545</v>
      </c>
    </row>
    <row r="231">
      <c r="A231" s="0" t="s">
        <v>562</v>
      </c>
      <c r="B231" s="0" t="s">
        <v>545</v>
      </c>
      <c r="C231" s="0" t="s">
        <v>545</v>
      </c>
      <c r="D231" s="0" t="s">
        <v>545</v>
      </c>
    </row>
    <row r="232">
      <c r="A232" s="0" t="s">
        <v>336</v>
      </c>
      <c r="B232" s="0" t="s">
        <v>545</v>
      </c>
      <c r="C232" s="0" t="s">
        <v>545</v>
      </c>
      <c r="D232" s="0" t="s">
        <v>545</v>
      </c>
    </row>
    <row r="233">
      <c r="A233" s="0" t="s">
        <v>337</v>
      </c>
      <c r="B233" s="0" t="s">
        <v>1028</v>
      </c>
      <c r="C233" s="0" t="s">
        <v>1029</v>
      </c>
      <c r="D233" s="0" t="s">
        <v>545</v>
      </c>
    </row>
    <row r="234">
      <c r="A234" s="0" t="s">
        <v>563</v>
      </c>
      <c r="B234" s="0" t="s">
        <v>545</v>
      </c>
      <c r="C234" s="0" t="s">
        <v>545</v>
      </c>
    </row>
    <row r="235">
      <c r="A235" s="0" t="s">
        <v>564</v>
      </c>
      <c r="B235" s="0" t="s">
        <v>545</v>
      </c>
      <c r="C235" s="0" t="s">
        <v>545</v>
      </c>
    </row>
    <row r="236">
      <c r="A236" s="0" t="s">
        <v>565</v>
      </c>
      <c r="B236" s="0" t="s">
        <v>545</v>
      </c>
      <c r="C236" s="0" t="s">
        <v>545</v>
      </c>
    </row>
    <row r="237">
      <c r="A237" s="0" t="s">
        <v>566</v>
      </c>
      <c r="B237" s="0" t="s">
        <v>545</v>
      </c>
    </row>
    <row r="238">
      <c r="A238" s="0" t="s">
        <v>568</v>
      </c>
      <c r="B238" s="0" t="s">
        <v>973</v>
      </c>
      <c r="C238" s="0" t="s">
        <v>971</v>
      </c>
      <c r="D238" s="0" t="s">
        <v>972</v>
      </c>
      <c r="E238" s="0" t="s">
        <v>970</v>
      </c>
    </row>
    <row r="239">
      <c r="A239" s="0" t="s">
        <v>338</v>
      </c>
      <c r="B239" s="0" t="s">
        <v>545</v>
      </c>
    </row>
    <row r="240">
      <c r="A240" s="0" t="s">
        <v>339</v>
      </c>
      <c r="B240" s="0" t="s">
        <v>545</v>
      </c>
    </row>
    <row r="241">
      <c r="A241" s="0" t="s">
        <v>340</v>
      </c>
      <c r="B241" s="0" t="s">
        <v>545</v>
      </c>
    </row>
    <row r="242">
      <c r="A242" s="0" t="s">
        <v>341</v>
      </c>
      <c r="B242" s="0" t="s">
        <v>545</v>
      </c>
    </row>
    <row r="243">
      <c r="A243" s="0" t="s">
        <v>569</v>
      </c>
      <c r="B243" s="0" t="s">
        <v>545</v>
      </c>
    </row>
    <row r="244">
      <c r="A244" s="0" t="s">
        <v>342</v>
      </c>
      <c r="B244" s="0" t="s">
        <v>545</v>
      </c>
      <c r="C244" s="0" t="s">
        <v>545</v>
      </c>
      <c r="D244" s="0" t="s">
        <v>545</v>
      </c>
      <c r="E244" s="0" t="s">
        <v>545</v>
      </c>
    </row>
    <row r="245">
      <c r="A245" s="0" t="s">
        <v>343</v>
      </c>
      <c r="B245" s="0" t="s">
        <v>545</v>
      </c>
      <c r="C245" s="0" t="s">
        <v>545</v>
      </c>
    </row>
    <row r="246">
      <c r="A246" s="0" t="s">
        <v>570</v>
      </c>
      <c r="B246" s="0" t="s">
        <v>545</v>
      </c>
      <c r="C246" s="0" t="s">
        <v>545</v>
      </c>
    </row>
    <row r="247">
      <c r="A247" s="0" t="s">
        <v>344</v>
      </c>
      <c r="B247" s="0" t="s">
        <v>545</v>
      </c>
      <c r="C247" s="0" t="s">
        <v>545</v>
      </c>
      <c r="D247" s="0" t="s">
        <v>545</v>
      </c>
    </row>
    <row r="248">
      <c r="A248" s="0" t="s">
        <v>345</v>
      </c>
      <c r="B248" s="0" t="s">
        <v>545</v>
      </c>
      <c r="C248" s="0" t="s">
        <v>545</v>
      </c>
      <c r="D248" s="0" t="s">
        <v>545</v>
      </c>
    </row>
    <row r="249">
      <c r="A249" s="0" t="s">
        <v>571</v>
      </c>
      <c r="B249" s="0" t="s">
        <v>973</v>
      </c>
      <c r="C249" s="0" t="s">
        <v>971</v>
      </c>
      <c r="D249" s="0" t="s">
        <v>1030</v>
      </c>
      <c r="E249" s="0" t="s">
        <v>972</v>
      </c>
      <c r="F249" s="0" t="s">
        <v>970</v>
      </c>
      <c r="G249" s="0" t="s">
        <v>974</v>
      </c>
      <c r="H249" s="0" t="s">
        <v>975</v>
      </c>
      <c r="I249" s="0" t="s">
        <v>1031</v>
      </c>
      <c r="J249" s="0" t="s">
        <v>1032</v>
      </c>
    </row>
    <row r="250">
      <c r="A250" s="0" t="s">
        <v>346</v>
      </c>
      <c r="B250" s="0" t="s">
        <v>973</v>
      </c>
      <c r="C250" s="0" t="s">
        <v>971</v>
      </c>
      <c r="D250" s="0" t="s">
        <v>972</v>
      </c>
      <c r="E250" s="0" t="s">
        <v>970</v>
      </c>
      <c r="F250" s="0" t="s">
        <v>974</v>
      </c>
      <c r="G250" s="0" t="s">
        <v>975</v>
      </c>
    </row>
    <row r="251">
      <c r="A251" s="0" t="s">
        <v>348</v>
      </c>
      <c r="B251" s="0" t="s">
        <v>973</v>
      </c>
      <c r="C251" s="0" t="s">
        <v>971</v>
      </c>
      <c r="D251" s="0" t="s">
        <v>982</v>
      </c>
      <c r="E251" s="0" t="s">
        <v>981</v>
      </c>
      <c r="F251" s="0" t="s">
        <v>972</v>
      </c>
      <c r="G251" s="0" t="s">
        <v>970</v>
      </c>
      <c r="H251" s="0" t="s">
        <v>974</v>
      </c>
      <c r="I251" s="0" t="s">
        <v>975</v>
      </c>
    </row>
    <row r="252">
      <c r="A252" s="0" t="s">
        <v>349</v>
      </c>
      <c r="B252" s="0" t="s">
        <v>973</v>
      </c>
      <c r="C252" s="0" t="s">
        <v>971</v>
      </c>
      <c r="D252" s="0" t="s">
        <v>982</v>
      </c>
      <c r="E252" s="0" t="s">
        <v>981</v>
      </c>
      <c r="F252" s="0" t="s">
        <v>972</v>
      </c>
      <c r="G252" s="0" t="s">
        <v>970</v>
      </c>
      <c r="H252" s="0" t="s">
        <v>974</v>
      </c>
      <c r="I252" s="0" t="s">
        <v>975</v>
      </c>
    </row>
    <row r="253">
      <c r="A253" s="0" t="s">
        <v>350</v>
      </c>
      <c r="B253" s="0" t="s">
        <v>973</v>
      </c>
      <c r="C253" s="0" t="s">
        <v>1026</v>
      </c>
      <c r="D253" s="0" t="s">
        <v>1027</v>
      </c>
      <c r="E253" s="0" t="s">
        <v>972</v>
      </c>
      <c r="F253" s="0" t="s">
        <v>970</v>
      </c>
    </row>
    <row r="254">
      <c r="A254" s="0" t="s">
        <v>351</v>
      </c>
      <c r="B254" s="0" t="s">
        <v>973</v>
      </c>
      <c r="C254" s="0" t="s">
        <v>1033</v>
      </c>
      <c r="D254" s="0" t="s">
        <v>1034</v>
      </c>
      <c r="E254" s="0" t="s">
        <v>1035</v>
      </c>
      <c r="F254" s="0" t="s">
        <v>1036</v>
      </c>
    </row>
    <row r="255">
      <c r="A255" s="0" t="s">
        <v>352</v>
      </c>
      <c r="B255" s="0" t="s">
        <v>973</v>
      </c>
      <c r="C255" s="0" t="s">
        <v>1033</v>
      </c>
      <c r="D255" s="0" t="s">
        <v>1034</v>
      </c>
      <c r="E255" s="0" t="s">
        <v>1035</v>
      </c>
      <c r="F255" s="0" t="s">
        <v>1036</v>
      </c>
    </row>
    <row r="256">
      <c r="A256" s="0" t="s">
        <v>572</v>
      </c>
      <c r="B256" s="0" t="s">
        <v>973</v>
      </c>
      <c r="C256" s="0" t="s">
        <v>971</v>
      </c>
      <c r="D256" s="0" t="s">
        <v>972</v>
      </c>
      <c r="E256" s="0" t="s">
        <v>970</v>
      </c>
      <c r="F256" s="0" t="s">
        <v>974</v>
      </c>
      <c r="G256" s="0" t="s">
        <v>975</v>
      </c>
    </row>
    <row r="257">
      <c r="A257" s="0" t="s">
        <v>353</v>
      </c>
      <c r="B257" s="0" t="s">
        <v>545</v>
      </c>
      <c r="C257" s="0" t="s">
        <v>545</v>
      </c>
      <c r="D257" s="0" t="s">
        <v>545</v>
      </c>
    </row>
    <row r="258">
      <c r="A258" s="0" t="s">
        <v>354</v>
      </c>
      <c r="B258" s="0" t="s">
        <v>545</v>
      </c>
      <c r="C258" s="0" t="s">
        <v>545</v>
      </c>
      <c r="D258" s="0" t="s">
        <v>545</v>
      </c>
      <c r="E258" s="0" t="s">
        <v>545</v>
      </c>
    </row>
    <row r="259">
      <c r="A259" s="0" t="s">
        <v>355</v>
      </c>
      <c r="B259" s="0" t="s">
        <v>973</v>
      </c>
      <c r="C259" s="0" t="s">
        <v>982</v>
      </c>
      <c r="D259" s="0" t="s">
        <v>981</v>
      </c>
    </row>
    <row r="260">
      <c r="A260" s="0" t="s">
        <v>356</v>
      </c>
      <c r="B260" s="0" t="s">
        <v>973</v>
      </c>
      <c r="C260" s="0" t="s">
        <v>982</v>
      </c>
      <c r="D260" s="0" t="s">
        <v>981</v>
      </c>
    </row>
    <row r="261">
      <c r="A261" s="0" t="s">
        <v>573</v>
      </c>
      <c r="B261" s="0" t="s">
        <v>973</v>
      </c>
      <c r="C261" s="0" t="s">
        <v>972</v>
      </c>
      <c r="D261" s="0" t="s">
        <v>970</v>
      </c>
    </row>
    <row r="262">
      <c r="A262" s="0" t="s">
        <v>357</v>
      </c>
      <c r="B262" s="0" t="s">
        <v>973</v>
      </c>
      <c r="C262" s="0" t="s">
        <v>971</v>
      </c>
      <c r="D262" s="0" t="s">
        <v>972</v>
      </c>
      <c r="E262" s="0" t="s">
        <v>970</v>
      </c>
      <c r="F262" s="0" t="s">
        <v>974</v>
      </c>
      <c r="G262" s="0" t="s">
        <v>975</v>
      </c>
    </row>
    <row r="263">
      <c r="A263" s="0" t="s">
        <v>574</v>
      </c>
      <c r="B263" s="0" t="s">
        <v>545</v>
      </c>
      <c r="C263" s="0" t="s">
        <v>545</v>
      </c>
      <c r="D263" s="0" t="s">
        <v>545</v>
      </c>
      <c r="E263" s="0" t="s">
        <v>545</v>
      </c>
    </row>
    <row r="264">
      <c r="A264" s="0" t="s">
        <v>358</v>
      </c>
      <c r="B264" s="0" t="s">
        <v>545</v>
      </c>
      <c r="C264" s="0" t="s">
        <v>545</v>
      </c>
      <c r="D264" s="0" t="s">
        <v>545</v>
      </c>
      <c r="E264" s="0" t="s">
        <v>545</v>
      </c>
      <c r="F264" s="0" t="s">
        <v>545</v>
      </c>
    </row>
    <row r="265">
      <c r="A265" s="0" t="s">
        <v>359</v>
      </c>
      <c r="B265" s="0" t="s">
        <v>545</v>
      </c>
    </row>
    <row r="266">
      <c r="A266" s="0" t="s">
        <v>360</v>
      </c>
      <c r="B266" s="0" t="s">
        <v>545</v>
      </c>
    </row>
    <row r="267">
      <c r="A267" s="0" t="s">
        <v>575</v>
      </c>
      <c r="B267" s="0" t="s">
        <v>972</v>
      </c>
      <c r="C267" s="0" t="s">
        <v>970</v>
      </c>
    </row>
    <row r="268">
      <c r="A268" s="0" t="s">
        <v>361</v>
      </c>
      <c r="B268" s="0" t="s">
        <v>545</v>
      </c>
    </row>
    <row r="269">
      <c r="A269" s="0" t="s">
        <v>576</v>
      </c>
      <c r="B269" s="0" t="s">
        <v>545</v>
      </c>
    </row>
  </sheetData>
  <headerFooter/>
</worksheet>
</file>

<file path=xl/worksheets/sheet33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RRUs"/>
  <dimension ref="A1:A29"/>
  <sheetViews>
    <sheetView workbookViewId="0"/>
  </sheetViews>
  <sheetFormatPr defaultRowHeight="15"/>
  <sheetData>
    <row r="1">
      <c r="A1" s="0" t="s">
        <v>1037</v>
      </c>
    </row>
    <row r="2">
      <c r="A2" s="0" t="s">
        <v>1038</v>
      </c>
    </row>
    <row r="3">
      <c r="A3" s="0" t="s">
        <v>1039</v>
      </c>
    </row>
    <row r="4">
      <c r="A4" s="0" t="s">
        <v>1040</v>
      </c>
    </row>
    <row r="5">
      <c r="A5" s="0" t="s">
        <v>1041</v>
      </c>
    </row>
    <row r="6">
      <c r="A6" s="0" t="s">
        <v>1042</v>
      </c>
    </row>
    <row r="7">
      <c r="A7" s="0" t="s">
        <v>1043</v>
      </c>
    </row>
    <row r="8">
      <c r="A8" s="0" t="s">
        <v>1044</v>
      </c>
    </row>
    <row r="9">
      <c r="A9" s="0" t="s">
        <v>1045</v>
      </c>
    </row>
    <row r="10">
      <c r="A10" s="0" t="s">
        <v>1046</v>
      </c>
    </row>
    <row r="11">
      <c r="A11" s="0" t="s">
        <v>1047</v>
      </c>
    </row>
    <row r="12">
      <c r="A12" s="0" t="s">
        <v>1048</v>
      </c>
    </row>
    <row r="13">
      <c r="A13" s="0" t="s">
        <v>1049</v>
      </c>
    </row>
    <row r="14">
      <c r="A14" s="0" t="s">
        <v>1050</v>
      </c>
    </row>
    <row r="15">
      <c r="A15" s="0" t="s">
        <v>1051</v>
      </c>
    </row>
    <row r="16">
      <c r="A16" s="0" t="s">
        <v>1052</v>
      </c>
    </row>
    <row r="17">
      <c r="A17" s="0" t="s">
        <v>615</v>
      </c>
    </row>
    <row r="18">
      <c r="A18" s="0" t="s">
        <v>1053</v>
      </c>
    </row>
    <row r="19">
      <c r="A19" s="0" t="s">
        <v>1054</v>
      </c>
    </row>
    <row r="20">
      <c r="A20" s="0" t="s">
        <v>56</v>
      </c>
    </row>
    <row r="21">
      <c r="A21" s="0" t="s">
        <v>57</v>
      </c>
    </row>
    <row r="22">
      <c r="A22" s="0" t="s">
        <v>1055</v>
      </c>
    </row>
    <row r="23">
      <c r="A23" s="0" t="s">
        <v>1056</v>
      </c>
    </row>
    <row r="24">
      <c r="A24" s="0" t="s">
        <v>1057</v>
      </c>
    </row>
    <row r="25">
      <c r="A25" s="0" t="s">
        <v>1058</v>
      </c>
    </row>
    <row r="26">
      <c r="A26" s="0" t="s">
        <v>1059</v>
      </c>
    </row>
    <row r="27">
      <c r="A27" s="0" t="s">
        <v>1060</v>
      </c>
    </row>
    <row r="28">
      <c r="A28" s="0" t="s">
        <v>1061</v>
      </c>
    </row>
    <row r="29">
      <c r="A29" s="0" t="s">
        <v>63</v>
      </c>
    </row>
  </sheetData>
  <headerFooter/>
</worksheet>
</file>

<file path=xl/worksheets/sheet34.xml><?xml version="1.0" encoding="utf-8"?>
<worksheet xmlns:r="http://schemas.openxmlformats.org/officeDocument/2006/relationships" xmlns="http://schemas.openxmlformats.org/spreadsheetml/2006/main" xmlns:xr="http://schemas.microsoft.com/office/spreadsheetml/2014/revision" xmlns:mc="http://schemas.openxmlformats.org/markup-compatibility/2006" mc:Ignorable="xr">
  <sheetPr codeName="Combiners"/>
  <dimension ref="A1:A44"/>
  <sheetViews>
    <sheetView workbookViewId="0"/>
  </sheetViews>
  <sheetFormatPr defaultRowHeight="15"/>
  <sheetData>
    <row r="1">
      <c r="A1" s="0" t="s">
        <v>1062</v>
      </c>
    </row>
    <row r="2">
      <c r="A2" s="0" t="s">
        <v>1063</v>
      </c>
    </row>
    <row r="3">
      <c r="A3" s="0" t="s">
        <v>1064</v>
      </c>
    </row>
    <row r="4">
      <c r="A4" s="0" t="s">
        <v>1065</v>
      </c>
    </row>
    <row r="5">
      <c r="A5" s="0" t="s">
        <v>1066</v>
      </c>
    </row>
    <row r="6">
      <c r="A6" s="0" t="s">
        <v>1067</v>
      </c>
    </row>
    <row r="7">
      <c r="A7" s="0" t="s">
        <v>1068</v>
      </c>
    </row>
    <row r="8">
      <c r="A8" s="0" t="s">
        <v>1069</v>
      </c>
    </row>
    <row r="9">
      <c r="A9" s="0" t="s">
        <v>1070</v>
      </c>
    </row>
    <row r="10">
      <c r="A10" s="0" t="s">
        <v>1071</v>
      </c>
    </row>
    <row r="11">
      <c r="A11" s="0" t="s">
        <v>1072</v>
      </c>
    </row>
    <row r="12">
      <c r="A12" s="0" t="s">
        <v>1073</v>
      </c>
    </row>
    <row r="13">
      <c r="A13" s="0" t="s">
        <v>1074</v>
      </c>
    </row>
    <row r="14">
      <c r="A14" s="0" t="s">
        <v>1075</v>
      </c>
    </row>
    <row r="15">
      <c r="A15" s="0" t="s">
        <v>1076</v>
      </c>
    </row>
    <row r="16">
      <c r="A16" s="0" t="s">
        <v>1077</v>
      </c>
    </row>
    <row r="17">
      <c r="A17" s="0" t="s">
        <v>1078</v>
      </c>
    </row>
    <row r="18">
      <c r="A18" s="0" t="s">
        <v>1079</v>
      </c>
    </row>
    <row r="19">
      <c r="A19" s="0" t="s">
        <v>1080</v>
      </c>
    </row>
    <row r="20">
      <c r="A20" s="0" t="s">
        <v>1081</v>
      </c>
    </row>
    <row r="21">
      <c r="A21" s="0" t="s">
        <v>1082</v>
      </c>
    </row>
    <row r="22">
      <c r="A22" s="0" t="s">
        <v>1083</v>
      </c>
    </row>
    <row r="23">
      <c r="A23" s="0" t="s">
        <v>1084</v>
      </c>
    </row>
    <row r="24">
      <c r="A24" s="0" t="s">
        <v>1085</v>
      </c>
    </row>
    <row r="25">
      <c r="A25" s="0" t="s">
        <v>1086</v>
      </c>
    </row>
    <row r="26">
      <c r="A26" s="0" t="s">
        <v>1087</v>
      </c>
    </row>
    <row r="27">
      <c r="A27" s="0" t="s">
        <v>1088</v>
      </c>
    </row>
    <row r="28">
      <c r="A28" s="0" t="s">
        <v>1089</v>
      </c>
    </row>
    <row r="29">
      <c r="A29" s="0" t="s">
        <v>1090</v>
      </c>
    </row>
    <row r="30">
      <c r="A30" s="0" t="s">
        <v>1091</v>
      </c>
    </row>
    <row r="31">
      <c r="A31" s="0" t="s">
        <v>1092</v>
      </c>
    </row>
    <row r="32">
      <c r="A32" s="0" t="s">
        <v>1093</v>
      </c>
    </row>
    <row r="33">
      <c r="A33" s="0" t="s">
        <v>1094</v>
      </c>
    </row>
    <row r="34">
      <c r="A34" s="0" t="s">
        <v>1095</v>
      </c>
    </row>
    <row r="35">
      <c r="A35" s="0" t="s">
        <v>1096</v>
      </c>
    </row>
    <row r="36">
      <c r="A36" s="0" t="s">
        <v>1097</v>
      </c>
    </row>
    <row r="37">
      <c r="A37" s="0" t="s">
        <v>1098</v>
      </c>
    </row>
    <row r="38">
      <c r="A38" s="0" t="s">
        <v>1099</v>
      </c>
    </row>
    <row r="39">
      <c r="A39" s="0" t="s">
        <v>1100</v>
      </c>
    </row>
    <row r="40">
      <c r="A40" s="0" t="s">
        <v>730</v>
      </c>
    </row>
    <row r="41">
      <c r="A41" s="0" t="s">
        <v>746</v>
      </c>
    </row>
    <row r="42">
      <c r="A42" s="0" t="s">
        <v>1101</v>
      </c>
    </row>
    <row r="43">
      <c r="A43" s="0" t="s">
        <v>63</v>
      </c>
    </row>
    <row r="44">
      <c r="A44" s="0" t="s">
        <v>1102</v>
      </c>
    </row>
  </sheetData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Common</vt:lpstr>
      <vt:lpstr>Sector 1</vt:lpstr>
      <vt:lpstr>Sector 2</vt:lpstr>
      <vt:lpstr>Sector 3</vt:lpstr>
      <vt:lpstr>Sector 4</vt:lpstr>
      <vt:lpstr>Sector 5</vt:lpstr>
      <vt:lpstr>Sector 6</vt:lpstr>
      <vt:lpstr>Sector 7</vt:lpstr>
      <vt:lpstr>Sector 8</vt:lpstr>
      <vt:lpstr>Sector 9</vt:lpstr>
      <vt:lpstr>Equipment BOM</vt:lpstr>
      <vt:lpstr>Site List</vt:lpstr>
      <vt:lpstr>Antennas Scrap Info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Stefan Velinov</cp:lastModifiedBy>
  <cp:lastPrinted>2016-12-02T09:09:24Z</cp:lastPrinted>
  <dcterms:created xsi:type="dcterms:W3CDTF">2016-04-08T09:50:24Z</dcterms:created>
  <dcterms:modified xsi:type="dcterms:W3CDTF">2023-10-09T06:56:14Z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768f796-9400-4b68-a5dd-e1fad25f2364_Enabled">
    <vt:lpwstr>true</vt:lpwstr>
  </property>
  <property fmtid="{D5CDD505-2E9C-101B-9397-08002B2CF9AE}" pid="3" name="MSIP_Label_2768f796-9400-4b68-a5dd-e1fad25f2364_SetDate">
    <vt:lpwstr>2022-05-11T07:48:08Z</vt:lpwstr>
  </property>
  <property fmtid="{D5CDD505-2E9C-101B-9397-08002B2CF9AE}" pid="4" name="MSIP_Label_2768f796-9400-4b68-a5dd-e1fad25f2364_Method">
    <vt:lpwstr>Standard</vt:lpwstr>
  </property>
  <property fmtid="{D5CDD505-2E9C-101B-9397-08002B2CF9AE}" pid="5" name="MSIP_Label_2768f796-9400-4b68-a5dd-e1fad25f2364_Name">
    <vt:lpwstr>2768f796-9400-4b68-a5dd-e1fad25f2364</vt:lpwstr>
  </property>
  <property fmtid="{D5CDD505-2E9C-101B-9397-08002B2CF9AE}" pid="6" name="MSIP_Label_2768f796-9400-4b68-a5dd-e1fad25f2364_SiteId">
    <vt:lpwstr>2e318a00-b44f-4acd-ade2-4c9e434f9644</vt:lpwstr>
  </property>
  <property fmtid="{D5CDD505-2E9C-101B-9397-08002B2CF9AE}" pid="7" name="MSIP_Label_2768f796-9400-4b68-a5dd-e1fad25f2364_ActionId">
    <vt:lpwstr>6ad2551a-e110-4caa-a895-adbfdf2fb66b</vt:lpwstr>
  </property>
  <property fmtid="{D5CDD505-2E9C-101B-9397-08002B2CF9AE}" pid="8" name="MSIP_Label_2768f796-9400-4b68-a5dd-e1fad25f2364_ContentBits">
    <vt:lpwstr>0</vt:lpwstr>
  </property>
</Properties>
</file>