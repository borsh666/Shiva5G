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/>
  </bookViews>
  <sheets>
    <sheet name="Common" sheetId="13" r:id="rId1"/>
    <sheet name="Sector 1" sheetId="8" state="hidden" r:id="rId2"/>
    <sheet name="Sector 2" sheetId="11" state="hidden" r:id="rId3"/>
    <sheet name="Sector 3" sheetId="12" state="hidden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</sheets>
  <functionGroups builtInGroupCount="18"/>
  <definedNames>
    <definedName name="_xlnm._FilterDatabase" localSheetId="10" hidden="1">'Equipment BOM'!$A$1:$D$234</definedName>
    <definedName name="_xlnm._FilterDatabase" localSheetId="1" hidden="1">'Sector 1'!#REF!</definedName>
    <definedName name="_xlnm._FilterDatabase" localSheetId="2" hidden="1">'Sector 2'!#REF!</definedName>
    <definedName name="_xlnm._FilterDatabase" localSheetId="3" hidden="1">'Sector 3'!#REF!</definedName>
    <definedName name="_xlnm._FilterDatabase" localSheetId="4" hidden="1">'Sector 4'!#REF!</definedName>
    <definedName name="BSC" localSheetId="1">#REF!</definedName>
    <definedName name="BSC" localSheetId="2">#REF!</definedName>
    <definedName name="BSC" localSheetId="3">#REF!</definedName>
    <definedName name="BSC" localSheetId="4">#REF!</definedName>
    <definedName name="BSC">#REF!</definedName>
    <definedName name="Candidate" localSheetId="1">#REF!</definedName>
    <definedName name="Candidate" localSheetId="2">#REF!</definedName>
    <definedName name="Candidate" localSheetId="3">#REF!</definedName>
    <definedName name="Candidate" localSheetId="4">#REF!</definedName>
    <definedName name="Candidate">#REF!</definedName>
    <definedName name="GSM_equip_type" localSheetId="1">#REF!</definedName>
    <definedName name="GSM_equip_type" localSheetId="2">#REF!</definedName>
    <definedName name="GSM_equip_type" localSheetId="3">#REF!</definedName>
    <definedName name="GSM_equip_type" localSheetId="4">#REF!</definedName>
    <definedName name="GSM_equip_type">#REF!</definedName>
    <definedName name="Install_type" localSheetId="1">#REF!</definedName>
    <definedName name="Install_type" localSheetId="2">#REF!</definedName>
    <definedName name="Install_type" localSheetId="3">#REF!</definedName>
    <definedName name="Install_type" localSheetId="4">#REF!</definedName>
    <definedName name="Install_type">#REF!</definedName>
    <definedName name="revision" localSheetId="1">#REF!</definedName>
    <definedName name="revision" localSheetId="2">#REF!</definedName>
    <definedName name="revision" localSheetId="3">#REF!</definedName>
    <definedName name="revision" localSheetId="4">#REF!</definedName>
    <definedName name="revision">#REF!</definedName>
    <definedName name="RNC" localSheetId="1">#REF!</definedName>
    <definedName name="RNC" localSheetId="2">#REF!</definedName>
    <definedName name="RNC" localSheetId="3">#REF!</definedName>
    <definedName name="RNC" localSheetId="4">#REF!</definedName>
    <definedName name="RNC">#REF!</definedName>
    <definedName name="Structure_type" localSheetId="1">#REF!</definedName>
    <definedName name="Structure_type" localSheetId="2">#REF!</definedName>
    <definedName name="Structure_type" localSheetId="3">#REF!</definedName>
    <definedName name="Structure_type" localSheetId="4">#REF!</definedName>
    <definedName name="Structure_type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4" l="1"/>
  <c r="A1" i="12"/>
  <c r="A1" i="11"/>
  <c r="A1" i="8"/>
</calcChain>
</file>

<file path=xl/sharedStrings.xml><?xml version="1.0" encoding="utf-8"?>
<sst xmlns="http://schemas.openxmlformats.org/spreadsheetml/2006/main" count="1596" uniqueCount="719">
  <si>
    <t>Sector 3</t>
  </si>
  <si>
    <t>Antenna #</t>
  </si>
  <si>
    <t>AntennaMount Current</t>
  </si>
  <si>
    <t>AntennaMount New</t>
  </si>
  <si>
    <t>ARTL Current</t>
  </si>
  <si>
    <t>Antenna port #</t>
  </si>
  <si>
    <t>1-2</t>
  </si>
  <si>
    <t>3-4</t>
  </si>
  <si>
    <t>5-6</t>
  </si>
  <si>
    <t>7-8</t>
  </si>
  <si>
    <t>9-10</t>
  </si>
  <si>
    <t>Technology Current</t>
  </si>
  <si>
    <t>Technology New</t>
  </si>
  <si>
    <t>Etilt Current</t>
  </si>
  <si>
    <t>Etilt New</t>
  </si>
  <si>
    <t>RET Current</t>
  </si>
  <si>
    <t>RET New</t>
  </si>
  <si>
    <t>TMA Type Current</t>
  </si>
  <si>
    <t>TMA Type New</t>
  </si>
  <si>
    <t>Sector 1</t>
  </si>
  <si>
    <t>Sector 2</t>
  </si>
  <si>
    <t>SiteID</t>
  </si>
  <si>
    <t>Candidate</t>
  </si>
  <si>
    <r>
      <t>Document</t>
    </r>
    <r>
      <rPr>
        <sz val="16"/>
        <color theme="0"/>
        <rFont val="Arial"/>
        <family val="2"/>
        <charset val="204"/>
      </rPr>
      <t>_</t>
    </r>
    <r>
      <rPr>
        <sz val="16"/>
        <rFont val="Arial"/>
        <family val="2"/>
      </rPr>
      <t>Type</t>
    </r>
  </si>
  <si>
    <t>DateTime</t>
  </si>
  <si>
    <t>Revision</t>
  </si>
  <si>
    <t>SiteName</t>
  </si>
  <si>
    <t>SiteAddress</t>
  </si>
  <si>
    <t>Latitude</t>
  </si>
  <si>
    <t>Longitude</t>
  </si>
  <si>
    <t>StructureType</t>
  </si>
  <si>
    <t>StructureHeight</t>
  </si>
  <si>
    <t>BSC</t>
  </si>
  <si>
    <t>RNC</t>
  </si>
  <si>
    <t>Project</t>
  </si>
  <si>
    <t>Process</t>
  </si>
  <si>
    <t>RF_Engineer</t>
  </si>
  <si>
    <t>Mobile</t>
  </si>
  <si>
    <t>Email</t>
  </si>
  <si>
    <t>Sector 4</t>
  </si>
  <si>
    <t>New</t>
  </si>
  <si>
    <t>Current</t>
  </si>
  <si>
    <t>SRF №</t>
  </si>
  <si>
    <t>RRU</t>
  </si>
  <si>
    <t>Cell#</t>
  </si>
  <si>
    <t>TRX#</t>
  </si>
  <si>
    <r>
      <t>GSM</t>
    </r>
    <r>
      <rPr>
        <sz val="10"/>
        <color theme="0"/>
        <rFont val="Arial"/>
        <family val="2"/>
        <charset val="204"/>
      </rPr>
      <t>_</t>
    </r>
    <r>
      <rPr>
        <sz val="10"/>
        <rFont val="Arial"/>
        <family val="2"/>
      </rPr>
      <t>900</t>
    </r>
  </si>
  <si>
    <r>
      <t>UMTS</t>
    </r>
    <r>
      <rPr>
        <sz val="10"/>
        <color theme="0"/>
        <rFont val="Arial"/>
        <family val="2"/>
        <charset val="204"/>
      </rPr>
      <t>_</t>
    </r>
    <r>
      <rPr>
        <sz val="10"/>
        <rFont val="Arial"/>
        <family val="2"/>
      </rPr>
      <t>900</t>
    </r>
  </si>
  <si>
    <r>
      <t>GSM</t>
    </r>
    <r>
      <rPr>
        <sz val="10"/>
        <color theme="0"/>
        <rFont val="Arial"/>
        <family val="2"/>
        <charset val="204"/>
      </rPr>
      <t>_</t>
    </r>
    <r>
      <rPr>
        <sz val="10"/>
        <rFont val="Arial"/>
        <family val="2"/>
      </rPr>
      <t>1800</t>
    </r>
  </si>
  <si>
    <r>
      <t>LTE</t>
    </r>
    <r>
      <rPr>
        <sz val="10"/>
        <color theme="0"/>
        <rFont val="Arial"/>
        <family val="2"/>
        <charset val="204"/>
      </rPr>
      <t>_</t>
    </r>
    <r>
      <rPr>
        <sz val="10"/>
        <rFont val="Arial"/>
        <family val="2"/>
      </rPr>
      <t>1800</t>
    </r>
  </si>
  <si>
    <r>
      <t>UMTS</t>
    </r>
    <r>
      <rPr>
        <sz val="10"/>
        <color theme="0"/>
        <rFont val="Arial"/>
        <family val="2"/>
        <charset val="204"/>
      </rPr>
      <t>_</t>
    </r>
    <r>
      <rPr>
        <sz val="10"/>
        <rFont val="Arial"/>
        <family val="2"/>
      </rPr>
      <t>2100</t>
    </r>
  </si>
  <si>
    <r>
      <t>LTE</t>
    </r>
    <r>
      <rPr>
        <sz val="10"/>
        <color theme="0"/>
        <rFont val="Arial"/>
        <family val="2"/>
        <charset val="204"/>
      </rPr>
      <t>_</t>
    </r>
    <r>
      <rPr>
        <sz val="10"/>
        <color theme="1"/>
        <rFont val="Arial"/>
        <family val="2"/>
        <charset val="204"/>
      </rPr>
      <t>90</t>
    </r>
    <r>
      <rPr>
        <sz val="10"/>
        <rFont val="Arial"/>
        <family val="2"/>
      </rPr>
      <t>0</t>
    </r>
  </si>
  <si>
    <r>
      <t>LTE</t>
    </r>
    <r>
      <rPr>
        <sz val="10"/>
        <color theme="0"/>
        <rFont val="Arial"/>
        <family val="2"/>
        <charset val="204"/>
      </rPr>
      <t>_</t>
    </r>
    <r>
      <rPr>
        <sz val="10"/>
        <color rgb="FFFF0000"/>
        <rFont val="Arial"/>
        <family val="2"/>
        <charset val="204"/>
      </rPr>
      <t>9</t>
    </r>
    <r>
      <rPr>
        <sz val="10"/>
        <color rgb="FFFF0000"/>
        <rFont val="Arial"/>
        <family val="2"/>
      </rPr>
      <t>00</t>
    </r>
    <r>
      <rPr>
        <sz val="10"/>
        <color theme="0"/>
        <rFont val="Arial"/>
        <family val="2"/>
        <charset val="204"/>
      </rPr>
      <t>N</t>
    </r>
  </si>
  <si>
    <r>
      <t>GSM</t>
    </r>
    <r>
      <rPr>
        <sz val="10"/>
        <color theme="0"/>
        <rFont val="Arial"/>
        <family val="2"/>
        <charset val="204"/>
      </rPr>
      <t>_</t>
    </r>
    <r>
      <rPr>
        <sz val="10"/>
        <color rgb="FFFF0000"/>
        <rFont val="Arial"/>
        <family val="2"/>
      </rPr>
      <t>900</t>
    </r>
    <r>
      <rPr>
        <sz val="10"/>
        <color theme="0"/>
        <rFont val="Arial"/>
        <family val="2"/>
        <charset val="204"/>
      </rPr>
      <t>N</t>
    </r>
  </si>
  <si>
    <r>
      <t>UMTS</t>
    </r>
    <r>
      <rPr>
        <sz val="10"/>
        <color theme="0"/>
        <rFont val="Arial"/>
        <family val="2"/>
        <charset val="204"/>
      </rPr>
      <t>_</t>
    </r>
    <r>
      <rPr>
        <sz val="10"/>
        <color rgb="FFFF0000"/>
        <rFont val="Arial"/>
        <family val="2"/>
      </rPr>
      <t>900</t>
    </r>
    <r>
      <rPr>
        <sz val="10"/>
        <color theme="0"/>
        <rFont val="Arial"/>
        <family val="2"/>
        <charset val="204"/>
      </rPr>
      <t>N</t>
    </r>
  </si>
  <si>
    <r>
      <t>GSM</t>
    </r>
    <r>
      <rPr>
        <sz val="10"/>
        <color theme="0"/>
        <rFont val="Arial"/>
        <family val="2"/>
        <charset val="204"/>
      </rPr>
      <t>_</t>
    </r>
    <r>
      <rPr>
        <sz val="10"/>
        <color rgb="FFFF0000"/>
        <rFont val="Arial"/>
        <family val="2"/>
      </rPr>
      <t>1800</t>
    </r>
    <r>
      <rPr>
        <sz val="10"/>
        <color theme="0"/>
        <rFont val="Arial"/>
        <family val="2"/>
        <charset val="204"/>
      </rPr>
      <t>N</t>
    </r>
  </si>
  <si>
    <r>
      <t>LTE</t>
    </r>
    <r>
      <rPr>
        <sz val="10"/>
        <color theme="0"/>
        <rFont val="Arial"/>
        <family val="2"/>
        <charset val="204"/>
      </rPr>
      <t>_</t>
    </r>
    <r>
      <rPr>
        <sz val="10"/>
        <color rgb="FFFF0000"/>
        <rFont val="Arial"/>
        <family val="2"/>
      </rPr>
      <t>1800</t>
    </r>
    <r>
      <rPr>
        <sz val="10"/>
        <color theme="0"/>
        <rFont val="Arial"/>
        <family val="2"/>
        <charset val="204"/>
      </rPr>
      <t>N</t>
    </r>
  </si>
  <si>
    <r>
      <t>UMTS</t>
    </r>
    <r>
      <rPr>
        <sz val="10"/>
        <color theme="0"/>
        <rFont val="Arial"/>
        <family val="2"/>
        <charset val="204"/>
      </rPr>
      <t>_</t>
    </r>
    <r>
      <rPr>
        <sz val="10"/>
        <color rgb="FFFF0000"/>
        <rFont val="Arial"/>
        <family val="2"/>
      </rPr>
      <t>2100</t>
    </r>
    <r>
      <rPr>
        <sz val="10"/>
        <color theme="0"/>
        <rFont val="Arial"/>
        <family val="2"/>
        <charset val="204"/>
      </rPr>
      <t>N</t>
    </r>
  </si>
  <si>
    <t>BandRange Current</t>
  </si>
  <si>
    <t>BandRange New</t>
  </si>
  <si>
    <t>SiteOwner</t>
  </si>
  <si>
    <t>ColocationType</t>
  </si>
  <si>
    <t>TRF</t>
  </si>
  <si>
    <r>
      <t>Request</t>
    </r>
    <r>
      <rPr>
        <b/>
        <sz val="12"/>
        <color theme="0"/>
        <rFont val="Calibri"/>
        <family val="2"/>
        <charset val="204"/>
        <scheme val="minor"/>
      </rPr>
      <t>_</t>
    </r>
    <r>
      <rPr>
        <b/>
        <sz val="12"/>
        <color rgb="FFFF0000"/>
        <rFont val="Calibri"/>
        <family val="2"/>
        <scheme val="minor"/>
      </rPr>
      <t>Remarks</t>
    </r>
  </si>
  <si>
    <t>CabinetType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</si>
  <si>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</si>
  <si>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</si>
  <si>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</si>
  <si>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</si>
  <si>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</si>
  <si>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</si>
  <si>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</si>
  <si>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</si>
  <si>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</si>
  <si>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</si>
  <si>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</si>
  <si>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</si>
  <si>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</si>
  <si>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</si>
  <si>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</si>
  <si>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</si>
  <si>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</si>
  <si>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</si>
  <si>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</si>
  <si>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</si>
  <si>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BBU3910</t>
  </si>
  <si>
    <t>BBU (w/o UPEU)</t>
  </si>
  <si>
    <t>BBU3900</t>
  </si>
  <si>
    <t>BBU</t>
  </si>
  <si>
    <t>Installation set for DBS3900</t>
  </si>
  <si>
    <t>TRUNK CABLE 75OHM,4E1,10M</t>
  </si>
  <si>
    <t>ETHERNET CABLE</t>
  </si>
  <si>
    <t>GROUNDING UNIT</t>
  </si>
  <si>
    <t>UPEUc</t>
  </si>
  <si>
    <t>UPEUd</t>
  </si>
  <si>
    <t>BBU Control board</t>
  </si>
  <si>
    <t>UMPTB1</t>
  </si>
  <si>
    <t>BBU Control board (TxN over Satelite)</t>
  </si>
  <si>
    <t>UMPTb2</t>
  </si>
  <si>
    <t>BBU BB Board</t>
  </si>
  <si>
    <t xml:space="preserve">UBRIb </t>
  </si>
  <si>
    <t>WBBPb3</t>
  </si>
  <si>
    <t>WBBPf4</t>
  </si>
  <si>
    <t>UBBPd3</t>
  </si>
  <si>
    <t>UBBPd5</t>
  </si>
  <si>
    <t>UBBPd6</t>
  </si>
  <si>
    <t>GPS Antenna</t>
  </si>
  <si>
    <t>GPS ANTENNA/FEEDER PACKAGE</t>
  </si>
  <si>
    <t>AAU</t>
  </si>
  <si>
    <t>AAU3940 1800/2100MHz 2x40W WD7MAAU39400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</si>
  <si>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</si>
  <si>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</si>
  <si>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</si>
  <si>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</si>
  <si>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</si>
  <si>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RRU3926 (1*80W) 900MHz</t>
  </si>
  <si>
    <t>RRU3936 (1*80W) 900MHz</t>
  </si>
  <si>
    <t>RRU3953 (2*80W) 900MHz</t>
  </si>
  <si>
    <t>RRU3936 (1*80W) 1800MHz</t>
  </si>
  <si>
    <t>RRU3953 (2*80W) 1800MHz</t>
  </si>
  <si>
    <t>RRU3804</t>
  </si>
  <si>
    <t>RRU3826 for WCDMA 2100MHz (80W)</t>
  </si>
  <si>
    <t>RRU3953 (2*80W) 2100MHz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</si>
  <si>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</si>
  <si>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</si>
  <si>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</si>
  <si>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</si>
  <si>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</si>
  <si>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</si>
  <si>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RRU FO 2m</t>
  </si>
  <si>
    <t>OPT.CABLE RRU MM DLC/PC,DLC/PC 2M,7.0MM</t>
  </si>
  <si>
    <t>RRU TOP JUMPER FIXED (2pcs set)</t>
  </si>
  <si>
    <t>RRU Cable Package DC GND</t>
  </si>
  <si>
    <t>RRU Cable Package 160W RRU DC GND</t>
  </si>
  <si>
    <t>CPRI OP TR.MAT 4.9G MM 2m OP 2SFP CLMP</t>
  </si>
  <si>
    <t>CPRI OP TR.MAT 4.9G MM OP 2SFP CLMP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</si>
  <si>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</si>
  <si>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</si>
  <si>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</si>
  <si>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</si>
  <si>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</si>
  <si>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</si>
  <si>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</si>
  <si>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</si>
  <si>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</si>
  <si>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</si>
  <si>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</si>
  <si>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</si>
  <si>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</si>
  <si>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</si>
  <si>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</si>
  <si>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</si>
  <si>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TMA 900 78210440</t>
  </si>
  <si>
    <t>Double Unit TMA, 880-915/925-960MHz, 12dB, 7-16 female</t>
  </si>
  <si>
    <t>TMA 900 NSN</t>
  </si>
  <si>
    <t xml:space="preserve">AMP MDGB MHA 900MHz 12dB AISG </t>
  </si>
  <si>
    <t>TMA 1800/2100 78211106</t>
  </si>
  <si>
    <t>DTMA 1800 UMTS 12-AISG DUPLEX 78211106</t>
  </si>
  <si>
    <t>TMA 1800 78210312</t>
  </si>
  <si>
    <t>Double Unit TMA, 1710-1785/1805-1880MHz, 12dB, 7-16 female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</si>
  <si>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</si>
  <si>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</si>
  <si>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</si>
  <si>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</si>
  <si>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</si>
  <si>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</si>
  <si>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</si>
  <si>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</si>
  <si>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</si>
  <si>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</si>
  <si>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</si>
  <si>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</si>
  <si>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4B combiner 78210640</t>
  </si>
  <si>
    <t>COMBINER 4 900/1800/2100/2600 S 78210640</t>
  </si>
  <si>
    <t>4B combiner 78210641</t>
  </si>
  <si>
    <t>COMBINER 4 900/1800/2100/2600 D 78210641</t>
  </si>
  <si>
    <t xml:space="preserve">LOAD 50 Ohm RF 80W 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</si>
  <si>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</si>
  <si>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</si>
  <si>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</si>
  <si>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</si>
  <si>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</si>
  <si>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</si>
  <si>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</si>
  <si>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Extension Cable</t>
  </si>
  <si>
    <t>if needed, according to convention</t>
  </si>
  <si>
    <t>Antenna SB 80010303V02</t>
  </si>
  <si>
    <t>ANT XPOL PANEL 790–960 80010303v02 CLMP</t>
  </si>
  <si>
    <t>Antenna SB 80010306V02</t>
  </si>
  <si>
    <t>ANT XPOL PANEL 790-960 80010306v2 CLMP</t>
  </si>
  <si>
    <t>Antenna SB 80010456V2</t>
  </si>
  <si>
    <t xml:space="preserve">XPol Panel, 790-960MHz, 2,25M, 30°, 0°-10°T, 20,5 dBi      </t>
  </si>
  <si>
    <t>Antenna SB 80010761</t>
  </si>
  <si>
    <t>ANT XPOL PANEL 1710–2690 80010761 CLMP</t>
  </si>
  <si>
    <t>Antenna SB 80010681</t>
  </si>
  <si>
    <t>ANT XPOL PANEL 1710–2690 80010681 CLMP</t>
  </si>
  <si>
    <t>Antenna SB 80010634V01</t>
  </si>
  <si>
    <t>ANT XPOL PANEL 790–960 80010634v01 CLMP</t>
  </si>
  <si>
    <t>Antenna SB 742215V01</t>
  </si>
  <si>
    <t>XPol F-Panel, 1710-2200MHz, 1,3M, 65° , 0°-10°T, 18 dBi (clamps)</t>
  </si>
  <si>
    <t>Antenna SB CMA-B3324</t>
  </si>
  <si>
    <t>ANT CMA-B/3324/E0 24DBI 1710-2170 W/TILT</t>
  </si>
  <si>
    <t>Antenna SB CMA-B6521</t>
  </si>
  <si>
    <t>ANT CMA-B/6521/E0-6 21DBI 1710-2170MHZ</t>
  </si>
  <si>
    <t>Antenna SB CMA-BDHH/6521/E0-6</t>
  </si>
  <si>
    <t>ANT CMA-BDHH/6521/E0-6 XXPOL 2x1710-2180</t>
  </si>
  <si>
    <t>Antenna SB 80010302</t>
  </si>
  <si>
    <t xml:space="preserve">XPol C-Panel, 806-960MHz, 2,25M, 33°, 0°T, 21 dBi      </t>
  </si>
  <si>
    <t>Antenna SB 80010307V01</t>
  </si>
  <si>
    <t xml:space="preserve">XPol Panel, 790-960MHz, 2,57M, 65°, 0°-10°T, 18 dBi (clamps)   </t>
  </si>
  <si>
    <t xml:space="preserve">VPol Omni, 1710-1880MHz, 1,56M, 360°, 6°T, 11 dBi  </t>
  </si>
  <si>
    <t xml:space="preserve">VPol Omni, 1710-1880MHz, 1,56M, 360°, 0°T, 11 dBi  </t>
  </si>
  <si>
    <t>ANTENNA OMNI VPOL 870-960MHz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</si>
  <si>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</si>
  <si>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</si>
  <si>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</si>
  <si>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</si>
  <si>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</si>
  <si>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</si>
  <si>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</si>
  <si>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</si>
  <si>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</si>
  <si>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</si>
  <si>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DB 80010123V03</t>
  </si>
  <si>
    <t>ANT XXPOL 790-2180 80010123v03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</si>
  <si>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</si>
  <si>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</si>
  <si>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</si>
  <si>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</si>
  <si>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 xml:space="preserve">VPol Omni, 870-960/1710-1880MHz, 0,22M, 360°, 0°T, 2 dBi  </t>
  </si>
  <si>
    <t>Antenna MB 742270V03</t>
  </si>
  <si>
    <t>ANT XXXPOL 790/1880/2170 742270V03 CLMP</t>
  </si>
  <si>
    <t>Antenna MB 80010292V03</t>
  </si>
  <si>
    <t>XXXpol A-Panel, 790-960/2x1710-2180MHz, 2,6M, 65°, 2°-10°T, 17,5 dBi (clamps)</t>
  </si>
  <si>
    <t>Antenna MB 80010826</t>
  </si>
  <si>
    <t>XXXX POL 790-960/1710-2180</t>
  </si>
  <si>
    <t>TUBUS Xpol A-Panel, 806-960/2x1710-2180MHz, 2,52/0,53M, 65°, 2°-14°T, 16,5 dBi</t>
  </si>
  <si>
    <t>Antenna MB CMA-BTLBHH/6517/21/21</t>
  </si>
  <si>
    <t>ANT CMA-BTLBHH/6517/21/21 XXPOL HEX-PORT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</si>
  <si>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</si>
  <si>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</si>
  <si>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</si>
  <si>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</si>
  <si>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</si>
  <si>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ANT XPOL TRI-SECTOR PIPE 80010360</t>
  </si>
  <si>
    <t>Antenna IN 80010465</t>
  </si>
  <si>
    <t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</si>
  <si>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</si>
  <si>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</si>
  <si>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</si>
  <si>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</si>
  <si>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</si>
  <si>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</si>
  <si>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</si>
  <si>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</si>
  <si>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XXpol Panel, 824-960MHz, 2,63M, 65°, 0°-8°T, 17 dBi (clamps)</t>
  </si>
  <si>
    <t>Antenna IN 738447</t>
  </si>
  <si>
    <t>ANT VPOL BIDIR 694–960/1710–2690 738447</t>
  </si>
  <si>
    <t>Antenna IN 738448</t>
  </si>
  <si>
    <t>ANT VPol BiDir 694–960/1710–2690 738448</t>
  </si>
  <si>
    <t>Antenna Cam 80010776</t>
  </si>
  <si>
    <t>ANT XPOL 12PORT TRiSEC 698/2690</t>
  </si>
  <si>
    <t>Antenna Cam 80010125</t>
  </si>
  <si>
    <t>ANT XPOL TRI-SECTOR SLIMPOLE 80010125</t>
  </si>
  <si>
    <t>Antenna Cam CMA-TRI6515</t>
  </si>
  <si>
    <t>ANT CMA-TRI/6515/E2 TUBUS 1710-2180MHZ</t>
  </si>
  <si>
    <t>Antenna Cam ECOMS291V02</t>
  </si>
  <si>
    <t>MONOSECTOR ANTENNA ECOMS291V02</t>
  </si>
  <si>
    <t>Antenna Cam ECOTB292V03</t>
  </si>
  <si>
    <t>TRI-SECTOR PIPE ANTENNA ECOTB292V03</t>
  </si>
  <si>
    <t>Collocation party</t>
  </si>
  <si>
    <r>
      <t>LTE</t>
    </r>
    <r>
      <rPr>
        <sz val="10"/>
        <color theme="0"/>
        <rFont val="Arial"/>
        <family val="2"/>
        <charset val="204"/>
      </rPr>
      <t>_</t>
    </r>
    <r>
      <rPr>
        <sz val="10"/>
        <rFont val="Arial"/>
        <family val="2"/>
      </rPr>
      <t>2100</t>
    </r>
  </si>
  <si>
    <r>
      <t>LTE</t>
    </r>
    <r>
      <rPr>
        <sz val="10"/>
        <color theme="0"/>
        <rFont val="Arial"/>
        <family val="2"/>
        <charset val="204"/>
      </rPr>
      <t>_</t>
    </r>
    <r>
      <rPr>
        <sz val="10"/>
        <color rgb="FFFF0000"/>
        <rFont val="Arial"/>
        <family val="2"/>
      </rPr>
      <t>2100</t>
    </r>
    <r>
      <rPr>
        <sz val="10"/>
        <color theme="0"/>
        <rFont val="Arial"/>
        <family val="2"/>
        <charset val="204"/>
      </rPr>
      <t>N</t>
    </r>
  </si>
  <si>
    <t>Sector 5</t>
  </si>
  <si>
    <t>Sector 6</t>
  </si>
  <si>
    <t>Sector 7</t>
  </si>
  <si>
    <t>Sector 8</t>
  </si>
  <si>
    <t>Sector 9</t>
  </si>
  <si>
    <t>11-12</t>
  </si>
  <si>
    <t>JUMPER 7-16M/4.3-10М CMA</t>
  </si>
  <si>
    <t>Coupler 793554</t>
  </si>
  <si>
    <t>3dB Coupler, 800-2200MHz, 7-16 DIN female</t>
  </si>
  <si>
    <t>Coupler 78210525</t>
  </si>
  <si>
    <t xml:space="preserve">3dB COUPLER 698-2690MHz </t>
  </si>
  <si>
    <t>TMA 900 78210510</t>
  </si>
  <si>
    <t>DTMA-800/900-12-AISG-CWA-78210510</t>
  </si>
  <si>
    <t>TMA 1800/2100 78211106v02</t>
  </si>
  <si>
    <t xml:space="preserve">DTMA-1800-UMTS-12-AISG 78211106V02 </t>
  </si>
  <si>
    <t>DB combiner DCB-2-DU-64F-01</t>
  </si>
  <si>
    <t>DUAL COMBINER 1710-1880 1920-2170MHz CMA</t>
  </si>
  <si>
    <t>Site Sharing Adaprter (KA)</t>
  </si>
  <si>
    <t>3WAY SITESHARING ADAPTER FLXRET 86010154</t>
  </si>
  <si>
    <t>AISG Cable RRU, 5m</t>
  </si>
  <si>
    <t>AISG chain cable, 0,5m</t>
  </si>
  <si>
    <t>Antenna SB 80010517V01</t>
  </si>
  <si>
    <t>Antenna SB CMA-B6519</t>
  </si>
  <si>
    <t>ANT CMA-B/6519 CELLMAX</t>
  </si>
  <si>
    <t>Antenna SB CMA-B6520</t>
  </si>
  <si>
    <t>ANT CMA-B/6520 CELLMAX</t>
  </si>
  <si>
    <t>Antenna MB CMA-UBTLBHH/6517/21/21</t>
  </si>
  <si>
    <t>ANT CMA-UBTLBHH/6517/21/21/RET 6-PORT</t>
  </si>
  <si>
    <t>Antenna MB 80010864</t>
  </si>
  <si>
    <t>ANT XPOL 698–906 1710-2690 RET 80010864</t>
  </si>
  <si>
    <t>Antenna MB 80010865</t>
  </si>
  <si>
    <t>ANT 6PORT XPOL HPBW RET 80010865</t>
  </si>
  <si>
    <t>Antenna MB 80010992</t>
  </si>
  <si>
    <t>ANT XPOL 12PORT XPOL HPBW RET 80010992</t>
  </si>
  <si>
    <t>Antenna MB 80020872</t>
  </si>
  <si>
    <t>ANT XPOL 8PORT XPOL HPBW RET 80020872</t>
  </si>
  <si>
    <t>Antenna IN 738449</t>
  </si>
  <si>
    <t>Antenna Cam ECOMS291</t>
  </si>
  <si>
    <t>Antenna Omni 737190</t>
  </si>
  <si>
    <t>Antenna Omni 738187</t>
  </si>
  <si>
    <t>Antenna Omni 736349</t>
  </si>
  <si>
    <t>Antenna Omni 80010274</t>
  </si>
  <si>
    <t>ANT OMNI VPOL 870-960/1920-2170 80010274</t>
  </si>
  <si>
    <t>Sectorization Antenna MB</t>
  </si>
  <si>
    <t>ANT HB SECTORIZED 10-P RVV2NPX310.211R</t>
  </si>
  <si>
    <t>ANT HB SECTORIZED 10-P CVV2NPX308.208R</t>
  </si>
  <si>
    <t>Sectorization Antenna LB</t>
  </si>
  <si>
    <t>ANT LB SECTORED 4-P W/ x2RET 2CPX208R-V3</t>
  </si>
  <si>
    <t>Sectorization Antenna HB</t>
  </si>
  <si>
    <t>ANT HB SECTORIZED 4-P 2H-33A-R2</t>
  </si>
  <si>
    <t>Antenna MB 80010692v01</t>
  </si>
  <si>
    <t>ANT 80010692v01 XXXPOL 698–960/1710–2690 CLAMPS</t>
  </si>
  <si>
    <t>RRU5304 (4*60W) 2600MHz</t>
  </si>
  <si>
    <r>
      <t xml:space="preserve">CPRI OP TR.MAT 4.9G </t>
    </r>
    <r>
      <rPr>
        <b/>
        <sz val="9"/>
        <color rgb="FFFF0000"/>
        <rFont val="Calibri"/>
        <family val="2"/>
        <charset val="204"/>
        <scheme val="minor"/>
      </rPr>
      <t>SM</t>
    </r>
    <r>
      <rPr>
        <sz val="9"/>
        <rFont val="Calibri"/>
        <family val="2"/>
        <charset val="204"/>
        <scheme val="minor"/>
      </rPr>
      <t xml:space="preserve"> OP 2SFP CLMP</t>
    </r>
  </si>
  <si>
    <t>JUMPER 4.3-10М/4.3-10М CMA</t>
  </si>
  <si>
    <t>Mounting 78210526</t>
  </si>
  <si>
    <t>MOUNTING KIT 78210526 for 3DB COUPLER</t>
  </si>
  <si>
    <t>TMA 1800/2100 78211106v44</t>
  </si>
  <si>
    <t>DTMA-1800-UMTS-12-AISG 78211106V44</t>
  </si>
  <si>
    <t>DB combiner DCB-2BM-64F-02</t>
  </si>
  <si>
    <t>DUAL COMBINER 1710-2180 2300-2700MHz CMA</t>
  </si>
  <si>
    <t>Load 78210474 (7/16F)</t>
  </si>
  <si>
    <t>Load 78210473 (4.3-10F)</t>
  </si>
  <si>
    <t>LOAD 50 OHM RF 80W 78210473</t>
  </si>
  <si>
    <t>Antenna SB 80010902</t>
  </si>
  <si>
    <t>ANT XPOL 4PORT 698–960 RET 80010902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</si>
  <si>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</si>
  <si>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</si>
  <si>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</si>
  <si>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</si>
  <si>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</si>
  <si>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</si>
  <si>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ADU4521R0v06</t>
  </si>
  <si>
    <t>Antenna MB CMA-UBTLBHH/6516/21/21</t>
  </si>
  <si>
    <t>ANT CMA-UBTLBHH/6516/21/21/RET XXXPOL 6P</t>
  </si>
  <si>
    <t>Antenna MB 80010691v01</t>
  </si>
  <si>
    <t>ANT 80010691v01 XXXPOL 698–960/1710–2690 CLAMPS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</si>
  <si>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</si>
  <si>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</si>
  <si>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</si>
  <si>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</si>
  <si>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</si>
  <si>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</si>
  <si>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AQU4518R9v06</t>
  </si>
  <si>
    <t>ANT27011264-001 AQU4518R9v06 8P 1L3H4.3 HUAWEI</t>
  </si>
  <si>
    <t>Antenna MB RRV4-65D-R6</t>
  </si>
  <si>
    <t>ANT 12-P x6RET RRV4-65D-R6</t>
  </si>
  <si>
    <t>Antenna IN MIMO</t>
  </si>
  <si>
    <t>MIMO LOW PIM CEILING ANT CMMG-7-60-NJ</t>
  </si>
  <si>
    <t>Antenna Cam 80010360</t>
  </si>
  <si>
    <t>Antenna Cam ECOMS892</t>
  </si>
  <si>
    <t>ANT ECOMS892 4.3-10 FLEXRET 1xULB 4xUHB</t>
  </si>
  <si>
    <t>Antenna Cam ECOMS692v01</t>
  </si>
  <si>
    <t>ANT ECOMS692v01 1xULB 2xHB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</si>
  <si>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</si>
  <si>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</si>
  <si>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</si>
  <si>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</si>
  <si>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</si>
  <si>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</si>
  <si>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</si>
  <si>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</si>
  <si>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738192</t>
  </si>
  <si>
    <t>ANT OMNI VPOL 806–894 738192</t>
  </si>
  <si>
    <t>Antenna Omni 80010745</t>
  </si>
  <si>
    <t>ANT OMNI 698–960/1695–2690 80010745</t>
  </si>
  <si>
    <t>ANT XPOL HB BTHH/3324/E0-6/RET 1710-2180</t>
  </si>
  <si>
    <t>ANT 80010656 4-PORT DUAL-BEAM 2HB 1.3M</t>
  </si>
  <si>
    <r>
      <t>LTE</t>
    </r>
    <r>
      <rPr>
        <sz val="10"/>
        <color theme="0"/>
        <rFont val="Arial"/>
        <family val="2"/>
        <charset val="204"/>
      </rPr>
      <t>_</t>
    </r>
    <r>
      <rPr>
        <sz val="10"/>
        <color theme="1"/>
        <rFont val="Arial"/>
        <family val="2"/>
        <charset val="204"/>
      </rPr>
      <t>260</t>
    </r>
    <r>
      <rPr>
        <sz val="10"/>
        <rFont val="Arial"/>
        <family val="2"/>
      </rPr>
      <t>0</t>
    </r>
  </si>
  <si>
    <r>
      <t>LTE</t>
    </r>
    <r>
      <rPr>
        <sz val="10"/>
        <color theme="0"/>
        <rFont val="Arial"/>
        <family val="2"/>
        <charset val="204"/>
      </rPr>
      <t>_</t>
    </r>
    <r>
      <rPr>
        <sz val="10"/>
        <color rgb="FFFF0000"/>
        <rFont val="Arial"/>
        <family val="2"/>
        <charset val="204"/>
      </rPr>
      <t>26</t>
    </r>
    <r>
      <rPr>
        <sz val="10"/>
        <color rgb="FFFF0000"/>
        <rFont val="Arial"/>
        <family val="2"/>
      </rPr>
      <t>00</t>
    </r>
    <r>
      <rPr>
        <sz val="10"/>
        <color theme="0"/>
        <rFont val="Arial"/>
        <family val="2"/>
        <charset val="204"/>
      </rPr>
      <t>N</t>
    </r>
  </si>
  <si>
    <t>RRU (RRU3826_UPA)</t>
  </si>
  <si>
    <t>RRU3826 for WCDMA 2100 MHz</t>
  </si>
  <si>
    <t>ESFP,850NM,4.25G MR,-9~0DBM,LC,MM 0.3KM</t>
  </si>
  <si>
    <t>RRU (7-16/7-16)</t>
  </si>
  <si>
    <t>Jumper CMA (7-16/4.3-10)</t>
  </si>
  <si>
    <t>Jumper CMA (4.3-10/4.3-10)</t>
  </si>
  <si>
    <t>Jumper JMA (7-16/4.3-10)</t>
  </si>
  <si>
    <t>JUMPER 7-16/4.3-10 1/2"FLEXIBLE JMA</t>
  </si>
  <si>
    <t>Jumper JMA (4.3-10/4.3-10)</t>
  </si>
  <si>
    <t>JUMPER 4.3-10/4.3-10 1/2"FLEXIBLE JMA</t>
  </si>
  <si>
    <t>ANT 27012476 ADU4521R0v06 2H 4.3</t>
  </si>
  <si>
    <t>Load 78410367 (7/16F)</t>
  </si>
  <si>
    <t>LOAD 50Ohm, 1,5W, 7-16 female</t>
  </si>
  <si>
    <t>RRU (RRU3826_KKQ)</t>
  </si>
  <si>
    <t>DB combiner MI20242</t>
  </si>
  <si>
    <t>1710-2180MHz &amp; 2300-2700MHz Diplexer, 4:3-10</t>
  </si>
  <si>
    <t>BBU5900</t>
  </si>
  <si>
    <t>UMPTg2</t>
  </si>
  <si>
    <t>AAU5613 3400/3600MHz</t>
  </si>
  <si>
    <t>DIPLEXER 1800-2100MHz 4:3-10 MI54642</t>
  </si>
  <si>
    <t>TRIPLEXER1800/2100/2600 4:3-106P MI21795</t>
  </si>
  <si>
    <t>TMA 880-960MHZ 4.3-10 MI-16331</t>
  </si>
  <si>
    <t>MI-16331</t>
  </si>
  <si>
    <t>TMA 1800-2100MHZ 4.3-10 2ANT MI-12731</t>
  </si>
  <si>
    <t>MI-12731</t>
  </si>
  <si>
    <t>TMA 2600MHZ 4.3-10 MI-12031</t>
  </si>
  <si>
    <t>MI-12031</t>
  </si>
  <si>
    <t>PortName Current</t>
  </si>
  <si>
    <t>PortName New</t>
  </si>
  <si>
    <t>DBS5900 INSTALLATION KIT</t>
  </si>
  <si>
    <t>DBS5900 INST KIT EXPANSION&amp;MOD</t>
  </si>
  <si>
    <t>BBU Control board (C-band)</t>
  </si>
  <si>
    <t>UMPTga2</t>
  </si>
  <si>
    <t>UBBPg2</t>
  </si>
  <si>
    <t>UBBPg2a</t>
  </si>
  <si>
    <t>AAU5639</t>
  </si>
  <si>
    <t>RRU5519et</t>
  </si>
  <si>
    <t>RRU5515t</t>
  </si>
  <si>
    <t>RRU5905 (2*80W) 900MHz</t>
  </si>
  <si>
    <t>RRU5905 (2*80W) 1800MHz</t>
  </si>
  <si>
    <t>RRU5505 (2*120W) MM 1800~2100MHz</t>
  </si>
  <si>
    <t>RRU5513</t>
  </si>
  <si>
    <t>RRU5905 (2*80W) 2100MHz</t>
  </si>
  <si>
    <t>RRU5909</t>
  </si>
  <si>
    <t xml:space="preserve">Coupler HAT073843500S-03 </t>
  </si>
  <si>
    <t xml:space="preserve">HAT073843500S-03 </t>
  </si>
  <si>
    <t>MI54642</t>
  </si>
  <si>
    <t>DB combiner ACOMD2L13v06</t>
  </si>
  <si>
    <t>ACOMD2L13v06 DC-1427-2200/2300-2690-10</t>
  </si>
  <si>
    <t>MI21795</t>
  </si>
  <si>
    <t>Load HWL005043100S-SW</t>
  </si>
  <si>
    <t>HWL005043100S-SW</t>
  </si>
  <si>
    <t>Antenna SB ADU4517R6v06</t>
  </si>
  <si>
    <t>2L</t>
  </si>
  <si>
    <t>Antenna MB ASI4518R10v18</t>
  </si>
  <si>
    <t>2L4H</t>
  </si>
  <si>
    <t>Antenna MB AQU4518R25v18</t>
  </si>
  <si>
    <t>2L2H</t>
  </si>
  <si>
    <t>27012496-003 ANT ASI4517R3v18 2L4H 2m</t>
  </si>
  <si>
    <t>Antenna MB ASI4517R3v18</t>
  </si>
  <si>
    <t>UBBPg1a</t>
  </si>
  <si>
    <t>AAU5639W</t>
  </si>
  <si>
    <t>Antenna MB 80010666v01</t>
  </si>
  <si>
    <t>ANT XXPOL 698-960/1710-2690 80010666V01</t>
  </si>
  <si>
    <t>Dismantled equipment to be returned to warehouse</t>
  </si>
  <si>
    <t>RRU5258 (8*30W) 3500MHz</t>
  </si>
  <si>
    <t>CPRI OP TR.MAT 9.8G SM OP 2SFP</t>
  </si>
  <si>
    <t>Pole New</t>
  </si>
  <si>
    <t>Azimuth New</t>
  </si>
  <si>
    <t xml:space="preserve">AntennaType New </t>
  </si>
  <si>
    <t>ARTL New</t>
  </si>
  <si>
    <t>MechanicalTilt New</t>
  </si>
  <si>
    <t>Feeder_Type New</t>
  </si>
  <si>
    <t>Feeder_Length New</t>
  </si>
  <si>
    <t>RRU_Type New</t>
  </si>
  <si>
    <t>Combiner_Splitter New</t>
  </si>
  <si>
    <t>Sec_Combiner_Splitter New</t>
  </si>
  <si>
    <t>Pole Current</t>
  </si>
  <si>
    <t>Azimuth Current</t>
  </si>
  <si>
    <t xml:space="preserve">AntennaType Current </t>
  </si>
  <si>
    <t>MechanicalTilt Current</t>
  </si>
  <si>
    <t>Feeder_Type Current</t>
  </si>
  <si>
    <t>Feeder_Length Current</t>
  </si>
  <si>
    <t>RRU_Type Current</t>
  </si>
  <si>
    <t>Combiner_Splitter Current</t>
  </si>
  <si>
    <t>Sec_Combiner_Splitter Current</t>
  </si>
  <si>
    <t>Port occupancy</t>
  </si>
  <si>
    <t>AGL Current</t>
  </si>
  <si>
    <t>AGL New</t>
  </si>
  <si>
    <r>
      <t>DSS</t>
    </r>
    <r>
      <rPr>
        <sz val="10"/>
        <color theme="0"/>
        <rFont val="Arial"/>
        <family val="2"/>
        <charset val="204"/>
      </rPr>
      <t>_</t>
    </r>
    <r>
      <rPr>
        <sz val="10"/>
        <rFont val="Arial"/>
        <family val="2"/>
      </rPr>
      <t>1800</t>
    </r>
  </si>
  <si>
    <r>
      <t>DSS</t>
    </r>
    <r>
      <rPr>
        <sz val="10"/>
        <color theme="0"/>
        <rFont val="Arial"/>
        <family val="2"/>
        <charset val="204"/>
      </rPr>
      <t>_</t>
    </r>
    <r>
      <rPr>
        <sz val="10"/>
        <color rgb="FFFF0000"/>
        <rFont val="Arial"/>
        <family val="2"/>
      </rPr>
      <t>1800</t>
    </r>
    <r>
      <rPr>
        <sz val="10"/>
        <color theme="0"/>
        <rFont val="Arial"/>
        <family val="2"/>
        <charset val="204"/>
      </rPr>
      <t>N</t>
    </r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</si>
  <si>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</si>
  <si>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</si>
  <si>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</si>
  <si>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</si>
  <si>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</si>
  <si>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</si>
  <si>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</si>
  <si>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</si>
  <si>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</si>
  <si>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</si>
  <si>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</si>
  <si>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</si>
  <si>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</si>
  <si>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</si>
  <si>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</si>
  <si>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</si>
  <si>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</si>
  <si>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</si>
  <si>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</si>
  <si>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</si>
  <si>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</si>
  <si>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</si>
  <si>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</si>
  <si>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</si>
  <si>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</si>
  <si>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</si>
  <si>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</si>
  <si>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</si>
  <si>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</si>
  <si>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</si>
  <si>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</si>
  <si>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</si>
  <si>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</si>
  <si>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</si>
  <si>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</si>
  <si>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</si>
  <si>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</si>
  <si>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</si>
  <si>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</si>
  <si>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</si>
  <si>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</si>
  <si>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</si>
  <si>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</si>
  <si>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</si>
  <si>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</si>
  <si>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</si>
  <si>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</si>
  <si>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(2) Standard M10 nut</t>
  </si>
  <si>
    <t>03022HEJ</t>
  </si>
  <si>
    <t>(3) Spring washer</t>
  </si>
  <si>
    <t>03022HEL</t>
  </si>
  <si>
    <t>(4) Thick flat washer</t>
  </si>
  <si>
    <t>03022HEM</t>
  </si>
  <si>
    <t>(5) Square-neck bolt</t>
  </si>
  <si>
    <t>03058707</t>
  </si>
  <si>
    <t>(6) Hoist clamp on the main bracket</t>
  </si>
  <si>
    <t>02310WYG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</si>
  <si>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</si>
  <si>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</si>
  <si>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</si>
  <si>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</si>
  <si>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</si>
  <si>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</si>
  <si>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</si>
  <si>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</si>
  <si>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</si>
  <si>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</si>
  <si>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</si>
  <si>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</si>
  <si>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return of  second UPEUd and 1pcs power cable</t>
  </si>
  <si>
    <t>02310MNR</t>
  </si>
  <si>
    <t>02310UPA</t>
  </si>
  <si>
    <t>RRU3826</t>
  </si>
  <si>
    <t>02319897</t>
  </si>
  <si>
    <t>02310KKQ</t>
  </si>
  <si>
    <t>02316791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</si>
  <si>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</si>
  <si>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</si>
  <si>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</si>
  <si>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</si>
  <si>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</si>
  <si>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</si>
  <si>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</si>
  <si>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</si>
  <si>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03022ACJ</t>
  </si>
  <si>
    <t>BBP</t>
  </si>
  <si>
    <t>UBRIb</t>
  </si>
  <si>
    <t>03020KWP</t>
  </si>
  <si>
    <t>03020PSS</t>
  </si>
  <si>
    <t>03021HPR</t>
  </si>
  <si>
    <t>02112722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</si>
  <si>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</si>
  <si>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</si>
  <si>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</si>
  <si>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</si>
  <si>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</si>
  <si>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</si>
  <si>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</si>
  <si>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</si>
  <si>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</si>
  <si>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</si>
  <si>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</si>
  <si>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</si>
  <si>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</si>
  <si>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</si>
  <si>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</si>
  <si>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</si>
  <si>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</si>
  <si>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</si>
  <si>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</si>
  <si>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</si>
  <si>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</si>
  <si>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</si>
  <si>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</si>
  <si>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</si>
  <si>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</si>
  <si>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</si>
  <si>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</si>
  <si>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</si>
  <si>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</si>
  <si>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</si>
  <si>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</si>
  <si>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</si>
  <si>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</si>
  <si>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</si>
  <si>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</si>
  <si>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</si>
  <si>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</si>
  <si>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</si>
  <si>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</si>
  <si>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</si>
  <si>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</si>
  <si>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</si>
  <si>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</si>
  <si>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</si>
  <si>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</si>
  <si>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</si>
  <si>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</si>
  <si>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</si>
  <si>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</si>
  <si>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</si>
  <si>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</si>
  <si>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</si>
  <si>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</si>
  <si>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</si>
  <si>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</si>
  <si>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</si>
  <si>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</si>
  <si>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</si>
  <si>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</si>
  <si>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</si>
  <si>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</si>
  <si>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</si>
  <si>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</si>
  <si>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</si>
  <si>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</si>
  <si>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</si>
  <si>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</si>
  <si>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</si>
  <si>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</si>
  <si>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</si>
  <si>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</si>
  <si>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</si>
  <si>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</si>
  <si>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</si>
  <si>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</si>
  <si>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</si>
  <si>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</si>
  <si>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</si>
  <si>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</si>
  <si>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</si>
  <si>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</si>
  <si>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</si>
  <si>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</si>
  <si>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</si>
  <si>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</si>
  <si>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</si>
  <si>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</si>
  <si>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</si>
  <si>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</si>
  <si>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</si>
  <si>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</si>
  <si>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</si>
  <si>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</si>
  <si>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</si>
  <si>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</si>
  <si>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</si>
  <si>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</si>
  <si>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</si>
  <si>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</si>
  <si>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</si>
  <si>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</si>
  <si>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</si>
  <si>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</si>
  <si>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</si>
  <si>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</si>
  <si>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</si>
  <si>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</si>
  <si>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</si>
  <si>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</si>
  <si>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</si>
  <si>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</si>
  <si>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</si>
  <si>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</si>
  <si>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</si>
  <si>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</si>
  <si>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</si>
  <si>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</si>
  <si>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</si>
  <si>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</si>
  <si>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NR-TDD 3600</t>
  </si>
  <si>
    <t>NR-TDD 3600N</t>
  </si>
  <si>
    <t>TMA 700/800/900 4.3-10 ATADU2016v06</t>
  </si>
  <si>
    <t>27100137 ATADU2016v06 700-800&amp;900M TMA</t>
  </si>
  <si>
    <t>TMA 1800/2100/2600 ATATR2002v06</t>
  </si>
  <si>
    <t>27100134 ATATR2002v06 1800&amp;2100&amp;2600 TMA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</si>
  <si>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</si>
  <si>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</si>
  <si>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</si>
  <si>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</si>
  <si>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</si>
  <si>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</si>
  <si>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DC Stop 7/16</t>
  </si>
  <si>
    <t>DC STOP</t>
  </si>
  <si>
    <t>DC Stop ADCSTOP00v06 4.3-10</t>
  </si>
  <si>
    <t>27151012 DC-STOP FOR COMB. ADCSTOP00v06</t>
  </si>
  <si>
    <t xml:space="preserve">Antenna MB ADU4518R8v06 </t>
  </si>
  <si>
    <t>1L1H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</si>
  <si>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</si>
  <si>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</si>
  <si>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</si>
  <si>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</si>
  <si>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</si>
  <si>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</si>
  <si>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</si>
  <si>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</si>
  <si>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</si>
  <si>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Load 75112004V01</t>
  </si>
  <si>
    <t>LOW PIM LOAD 50OHM 200W 75112004V01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</si>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</sst>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8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6"/>
      <color theme="0"/>
      <name val="Arial"/>
      <family val="2"/>
      <charset val="204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  <charset val="204"/>
    </font>
    <font>
      <sz val="10"/>
      <color theme="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12"/>
      <color theme="0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9"/>
      <color rgb="FFFF0000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6" fillId="0" borderId="0"/>
    <xf numFmtId="0" fontId="6" fillId="0" borderId="0"/>
    <xf numFmtId="0" fontId="4" fillId="0" borderId="0"/>
    <xf numFmtId="0" fontId="5" fillId="0" borderId="0"/>
    <xf numFmtId="0" fontId="4" fillId="0" borderId="0"/>
    <xf numFmtId="0" fontId="8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1" fillId="0" borderId="0"/>
    <xf numFmtId="0" fontId="2" fillId="0" borderId="0"/>
    <xf numFmtId="0" fontId="31" fillId="0" borderId="0"/>
    <xf numFmtId="0" fontId="33" fillId="0" borderId="0"/>
    <xf numFmtId="0" fontId="33" fillId="0" borderId="0"/>
    <xf numFmtId="0" fontId="33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44" fillId="0" borderId="0"/>
  </cellStyleXfs>
  <cellXfs count="277">
    <xf numFmtId="0" fontId="0" fillId="0" borderId="0" xfId="0" applyNumberFormat="1" applyFont="1" applyFill="1" applyBorder="1"/>
    <xf numFmtId="0" fontId="0" fillId="0" borderId="1" xfId="0" applyNumberFormat="1" applyFont="1" applyFill="1" applyBorder="1"/>
    <xf numFmtId="0" fontId="0" fillId="0" borderId="0" xfId="0" applyNumberFormat="1" applyFont="1" applyFill="1" applyBorder="1"/>
    <xf numFmtId="0" fontId="10" fillId="0" borderId="1" xfId="0" applyNumberFormat="1" applyFont="1" applyFill="1" applyBorder="1"/>
    <xf numFmtId="0" fontId="0" fillId="0" borderId="1" xfId="0" applyNumberFormat="1" applyFont="1" applyFill="1" applyBorder="1" applyAlignment="1">
      <alignment horizontal="center" vertical="center" wrapText="1"/>
    </xf>
    <xf numFmtId="0" fontId="10" fillId="0" borderId="1" xfId="0" applyNumberFormat="1" applyFont="1" applyFill="1" applyBorder="1" applyAlignment="1">
      <alignment horizontal="center" vertical="center"/>
    </xf>
    <xf numFmtId="0" fontId="7" fillId="0" borderId="0" xfId="0" applyNumberFormat="1" applyFont="1" applyFill="1" applyBorder="1"/>
    <xf numFmtId="14" fontId="13" fillId="0" borderId="1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horizontal="right"/>
    </xf>
    <xf numFmtId="0" fontId="19" fillId="2" borderId="22" xfId="6" applyNumberFormat="1" applyFont="1" applyFill="1" applyBorder="1" applyAlignment="1">
      <alignment horizontal="right" vertical="center"/>
    </xf>
    <xf numFmtId="0" fontId="23" fillId="2" borderId="6" xfId="6" applyNumberFormat="1" applyFont="1" applyFill="1" applyBorder="1" applyAlignment="1">
      <alignment horizontal="right" vertical="center"/>
    </xf>
    <xf numFmtId="0" fontId="23" fillId="2" borderId="5" xfId="6" applyNumberFormat="1" applyFont="1" applyFill="1" applyBorder="1" applyAlignment="1">
      <alignment horizontal="right" vertical="center"/>
    </xf>
    <xf numFmtId="0" fontId="19" fillId="2" borderId="30" xfId="6" applyNumberFormat="1" applyFont="1" applyFill="1" applyBorder="1" applyAlignment="1">
      <alignment horizontal="right" vertical="center"/>
    </xf>
    <xf numFmtId="0" fontId="19" fillId="2" borderId="20" xfId="6" applyNumberFormat="1" applyFont="1" applyFill="1" applyBorder="1" applyAlignment="1">
      <alignment horizontal="right" vertical="center"/>
    </xf>
    <xf numFmtId="0" fontId="19" fillId="2" borderId="15" xfId="6" applyNumberFormat="1" applyFont="1" applyFill="1" applyBorder="1" applyAlignment="1">
      <alignment horizontal="right" vertical="center"/>
    </xf>
    <xf numFmtId="0" fontId="19" fillId="2" borderId="25" xfId="6" applyNumberFormat="1" applyFont="1" applyFill="1" applyBorder="1" applyAlignment="1">
      <alignment horizontal="right"/>
    </xf>
    <xf numFmtId="0" fontId="0" fillId="0" borderId="31" xfId="0" applyNumberFormat="1" applyFont="1" applyFill="1" applyBorder="1"/>
    <xf numFmtId="0" fontId="15" fillId="0" borderId="32" xfId="0" applyNumberFormat="1" applyFont="1" applyFill="1" applyBorder="1"/>
    <xf numFmtId="0" fontId="26" fillId="0" borderId="0" xfId="0" applyNumberFormat="1" applyFont="1" applyFill="1" applyBorder="1"/>
    <xf numFmtId="0" fontId="23" fillId="2" borderId="36" xfId="6" applyNumberFormat="1" applyFont="1" applyFill="1" applyBorder="1" applyAlignment="1">
      <alignment horizontal="right" vertical="center" wrapText="1"/>
    </xf>
    <xf numFmtId="0" fontId="7" fillId="0" borderId="0" xfId="0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NumberFormat="1" applyFont="1" applyFill="1" applyBorder="1"/>
    <xf numFmtId="0" fontId="7" fillId="0" borderId="0" xfId="0" applyNumberFormat="1" applyFont="1" applyFill="1" applyBorder="1"/>
    <xf numFmtId="49" fontId="0" fillId="0" borderId="1" xfId="0" applyNumberFormat="1" applyFont="1" applyFill="1" applyBorder="1" applyAlignment="1">
      <alignment horizontal="center" vertical="center" wrapText="1"/>
    </xf>
    <xf numFmtId="0" fontId="17" fillId="0" borderId="30" xfId="6" applyNumberFormat="1" applyFont="1" applyFill="1" applyBorder="1" applyAlignment="1">
      <alignment horizontal="center" vertical="center" wrapText="1"/>
    </xf>
    <xf numFmtId="0" fontId="17" fillId="0" borderId="39" xfId="6" applyNumberFormat="1" applyFont="1" applyFill="1" applyBorder="1" applyAlignment="1">
      <alignment horizontal="center" vertical="center" wrapText="1"/>
    </xf>
    <xf numFmtId="0" fontId="17" fillId="0" borderId="18" xfId="6" applyNumberFormat="1" applyFont="1" applyFill="1" applyBorder="1" applyAlignment="1">
      <alignment horizontal="center" vertical="center" wrapText="1"/>
    </xf>
    <xf numFmtId="0" fontId="19" fillId="2" borderId="21" xfId="6" applyNumberFormat="1" applyFont="1" applyFill="1" applyBorder="1" applyAlignment="1">
      <alignment horizontal="right" vertical="center"/>
    </xf>
    <xf numFmtId="0" fontId="23" fillId="2" borderId="12" xfId="6" applyNumberFormat="1" applyFont="1" applyFill="1" applyBorder="1" applyAlignment="1">
      <alignment horizontal="right" vertical="center"/>
    </xf>
    <xf numFmtId="0" fontId="23" fillId="2" borderId="11" xfId="6" applyNumberFormat="1" applyFont="1" applyFill="1" applyBorder="1" applyAlignment="1">
      <alignment horizontal="right" vertical="center"/>
    </xf>
    <xf numFmtId="0" fontId="23" fillId="2" borderId="13" xfId="6" applyNumberFormat="1" applyFont="1" applyFill="1" applyBorder="1" applyAlignment="1">
      <alignment horizontal="right" vertical="center"/>
    </xf>
    <xf numFmtId="0" fontId="23" fillId="2" borderId="9" xfId="6" applyNumberFormat="1" applyFont="1" applyFill="1" applyBorder="1" applyAlignment="1">
      <alignment horizontal="right" vertical="center"/>
    </xf>
    <xf numFmtId="0" fontId="23" fillId="2" borderId="24" xfId="6" applyNumberFormat="1" applyFont="1" applyFill="1" applyBorder="1" applyAlignment="1">
      <alignment horizontal="right" vertical="center"/>
    </xf>
    <xf numFmtId="0" fontId="19" fillId="0" borderId="18" xfId="0" applyNumberFormat="1" applyFont="1" applyFill="1" applyBorder="1" applyAlignment="1">
      <alignment horizontal="center" vertical="center"/>
    </xf>
    <xf numFmtId="0" fontId="0" fillId="0" borderId="0" xfId="0" applyBorder="1"/>
    <xf numFmtId="0" fontId="7" fillId="0" borderId="41" xfId="0" applyFont="1" applyBorder="1" applyAlignment="1">
      <alignment horizontal="center" vertical="center"/>
    </xf>
    <xf numFmtId="0" fontId="0" fillId="0" borderId="41" xfId="0" applyBorder="1"/>
    <xf numFmtId="0" fontId="0" fillId="0" borderId="41" xfId="0" applyBorder="1" applyAlignment="1">
      <alignment horizontal="center" vertical="center"/>
    </xf>
    <xf numFmtId="0" fontId="0" fillId="0" borderId="41" xfId="0" applyBorder="1" applyAlignment="1">
      <alignment horizontal="left" vertical="center"/>
    </xf>
    <xf numFmtId="0" fontId="7" fillId="0" borderId="41" xfId="0" applyFont="1" applyBorder="1" applyAlignment="1">
      <alignment horizontal="left" vertical="center"/>
    </xf>
    <xf numFmtId="0" fontId="26" fillId="0" borderId="41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 vertical="center"/>
    </xf>
    <xf numFmtId="0" fontId="17" fillId="0" borderId="38" xfId="6" quotePrefix="1" applyNumberFormat="1" applyFont="1" applyFill="1" applyBorder="1" applyAlignment="1">
      <alignment horizontal="center" vertical="center" wrapText="1"/>
    </xf>
    <xf numFmtId="0" fontId="17" fillId="0" borderId="37" xfId="6" quotePrefix="1" applyNumberFormat="1" applyFont="1" applyFill="1" applyBorder="1" applyAlignment="1">
      <alignment horizontal="center" vertical="center" wrapText="1"/>
    </xf>
    <xf numFmtId="0" fontId="17" fillId="0" borderId="33" xfId="6" quotePrefix="1" applyNumberFormat="1" applyFont="1" applyFill="1" applyBorder="1" applyAlignment="1">
      <alignment horizontal="center" vertical="center" wrapText="1"/>
    </xf>
    <xf numFmtId="0" fontId="17" fillId="0" borderId="10" xfId="6" quotePrefix="1" applyNumberFormat="1" applyFont="1" applyFill="1" applyBorder="1" applyAlignment="1">
      <alignment horizontal="center" vertical="center" wrapText="1"/>
    </xf>
    <xf numFmtId="1" fontId="17" fillId="0" borderId="36" xfId="6" quotePrefix="1" applyNumberFormat="1" applyFont="1" applyFill="1" applyBorder="1" applyAlignment="1">
      <alignment horizontal="center" vertical="center" wrapText="1" shrinkToFit="1"/>
    </xf>
    <xf numFmtId="1" fontId="17" fillId="0" borderId="36" xfId="6" applyNumberFormat="1" applyFont="1" applyFill="1" applyBorder="1" applyAlignment="1">
      <alignment horizontal="center" vertical="center" wrapText="1" shrinkToFit="1"/>
    </xf>
    <xf numFmtId="1" fontId="17" fillId="0" borderId="14" xfId="6" applyNumberFormat="1" applyFont="1" applyFill="1" applyBorder="1" applyAlignment="1">
      <alignment horizontal="center" vertical="center" wrapText="1" shrinkToFit="1"/>
    </xf>
    <xf numFmtId="1" fontId="17" fillId="0" borderId="11" xfId="6" applyNumberFormat="1" applyFont="1" applyFill="1" applyBorder="1" applyAlignment="1">
      <alignment horizontal="center" vertical="center" wrapText="1" shrinkToFit="1"/>
    </xf>
    <xf numFmtId="1" fontId="17" fillId="0" borderId="8" xfId="6" applyNumberFormat="1" applyFont="1" applyFill="1" applyBorder="1" applyAlignment="1">
      <alignment horizontal="center" vertical="center" wrapText="1" shrinkToFit="1"/>
    </xf>
    <xf numFmtId="0" fontId="17" fillId="0" borderId="4" xfId="6" applyNumberFormat="1" applyFont="1" applyFill="1" applyBorder="1" applyAlignment="1">
      <alignment horizontal="center" vertical="center" wrapText="1"/>
    </xf>
    <xf numFmtId="0" fontId="17" fillId="0" borderId="40" xfId="6" applyNumberFormat="1" applyFont="1" applyFill="1" applyBorder="1" applyAlignment="1">
      <alignment horizontal="center" vertical="center" wrapText="1"/>
    </xf>
    <xf numFmtId="49" fontId="17" fillId="0" borderId="4" xfId="6" applyNumberFormat="1" applyFont="1" applyFill="1" applyBorder="1" applyAlignment="1">
      <alignment horizontal="center" vertical="center" wrapText="1"/>
    </xf>
    <xf numFmtId="0" fontId="0" fillId="0" borderId="41" xfId="0" applyBorder="1" applyAlignment="1">
      <alignment horizontal="center" vertical="center"/>
    </xf>
    <xf numFmtId="0" fontId="33" fillId="0" borderId="41" xfId="0" applyFont="1" applyBorder="1" applyAlignment="1">
      <alignment horizontal="left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left" vertical="center"/>
    </xf>
    <xf numFmtId="0" fontId="7" fillId="0" borderId="70" xfId="0" applyFont="1" applyBorder="1" applyAlignment="1">
      <alignment horizontal="center" vertical="center"/>
    </xf>
    <xf numFmtId="164" fontId="26" fillId="0" borderId="71" xfId="0" applyNumberFormat="1" applyFont="1" applyBorder="1" applyAlignment="1">
      <alignment horizontal="center" vertical="center"/>
    </xf>
    <xf numFmtId="0" fontId="7" fillId="0" borderId="53" xfId="0" applyFont="1" applyBorder="1" applyAlignment="1">
      <alignment horizontal="left" vertical="center"/>
    </xf>
    <xf numFmtId="16" fontId="17" fillId="0" borderId="39" xfId="6" quotePrefix="1" applyNumberFormat="1" applyFont="1" applyFill="1" applyBorder="1" applyAlignment="1">
      <alignment horizontal="center" vertical="center" wrapText="1"/>
    </xf>
    <xf numFmtId="16" fontId="17" fillId="0" borderId="39" xfId="6" applyNumberFormat="1" applyFont="1" applyFill="1" applyBorder="1" applyAlignment="1">
      <alignment horizontal="center" vertical="center" wrapText="1"/>
    </xf>
    <xf numFmtId="16" fontId="24" fillId="2" borderId="53" xfId="6" quotePrefix="1" applyNumberFormat="1" applyFont="1" applyFill="1" applyBorder="1" applyAlignment="1">
      <alignment horizontal="center" vertical="center"/>
    </xf>
    <xf numFmtId="0" fontId="24" fillId="2" borderId="53" xfId="6" quotePrefix="1" applyNumberFormat="1" applyFont="1" applyFill="1" applyBorder="1" applyAlignment="1">
      <alignment horizontal="center" vertical="center"/>
    </xf>
    <xf numFmtId="49" fontId="24" fillId="2" borderId="53" xfId="6" quotePrefix="1" applyNumberFormat="1" applyFont="1" applyFill="1" applyBorder="1" applyAlignment="1">
      <alignment horizontal="center" vertical="center"/>
    </xf>
    <xf numFmtId="16" fontId="17" fillId="0" borderId="74" xfId="6" applyNumberFormat="1" applyFont="1" applyFill="1" applyBorder="1" applyAlignment="1">
      <alignment horizontal="center" vertical="center" wrapText="1"/>
    </xf>
    <xf numFmtId="16" fontId="17" fillId="0" borderId="75" xfId="6" applyNumberFormat="1" applyFont="1" applyFill="1" applyBorder="1" applyAlignment="1">
      <alignment horizontal="center" vertical="center" wrapText="1"/>
    </xf>
    <xf numFmtId="0" fontId="23" fillId="2" borderId="76" xfId="6" applyNumberFormat="1" applyFont="1" applyFill="1" applyBorder="1" applyAlignment="1">
      <alignment horizontal="right" vertical="center"/>
    </xf>
    <xf numFmtId="0" fontId="19" fillId="2" borderId="77" xfId="6" applyNumberFormat="1" applyFont="1" applyFill="1" applyBorder="1" applyAlignment="1">
      <alignment horizontal="right" vertical="center"/>
    </xf>
    <xf numFmtId="0" fontId="19" fillId="2" borderId="53" xfId="6" applyNumberFormat="1" applyFont="1" applyFill="1" applyBorder="1" applyAlignment="1">
      <alignment horizontal="right" vertical="center"/>
    </xf>
    <xf numFmtId="0" fontId="23" fillId="2" borderId="53" xfId="6" applyNumberFormat="1" applyFont="1" applyFill="1" applyBorder="1" applyAlignment="1">
      <alignment horizontal="right" vertical="center"/>
    </xf>
    <xf numFmtId="0" fontId="40" fillId="2" borderId="25" xfId="6" applyNumberFormat="1" applyFont="1" applyFill="1" applyBorder="1" applyAlignment="1">
      <alignment horizontal="center" vertical="top" wrapText="1"/>
    </xf>
    <xf numFmtId="0" fontId="11" fillId="0" borderId="51" xfId="6" applyNumberFormat="1" applyFont="1" applyFill="1" applyBorder="1" applyAlignment="1">
      <alignment vertical="top" wrapText="1"/>
    </xf>
    <xf numFmtId="0" fontId="25" fillId="0" borderId="63" xfId="6" applyNumberFormat="1" applyFont="1" applyFill="1" applyBorder="1" applyAlignment="1">
      <alignment vertical="top" wrapText="1"/>
    </xf>
    <xf numFmtId="0" fontId="25" fillId="0" borderId="54" xfId="6" applyNumberFormat="1" applyFont="1" applyFill="1" applyBorder="1" applyAlignment="1">
      <alignment vertical="top" wrapText="1"/>
    </xf>
    <xf numFmtId="49" fontId="24" fillId="2" borderId="66" xfId="6" quotePrefix="1" applyNumberFormat="1" applyFont="1" applyFill="1" applyBorder="1" applyAlignment="1">
      <alignment horizontal="center" vertical="center"/>
    </xf>
    <xf numFmtId="49" fontId="24" fillId="2" borderId="54" xfId="6" quotePrefix="1" applyNumberFormat="1" applyFont="1" applyFill="1" applyBorder="1" applyAlignment="1">
      <alignment horizontal="center" vertical="center"/>
    </xf>
    <xf numFmtId="0" fontId="17" fillId="0" borderId="36" xfId="6" applyNumberFormat="1" applyFont="1" applyFill="1" applyBorder="1" applyAlignment="1">
      <alignment horizontal="center" vertical="center" wrapText="1"/>
    </xf>
    <xf numFmtId="49" fontId="17" fillId="0" borderId="36" xfId="6" applyNumberFormat="1" applyFont="1" applyFill="1" applyBorder="1" applyAlignment="1">
      <alignment horizontal="center" vertical="center" wrapText="1"/>
    </xf>
    <xf numFmtId="0" fontId="12" fillId="0" borderId="66" xfId="6" applyNumberFormat="1" applyFont="1" applyFill="1" applyBorder="1" applyAlignment="1">
      <alignment vertical="top" wrapText="1"/>
    </xf>
    <xf numFmtId="0" fontId="25" fillId="0" borderId="57" xfId="6" applyNumberFormat="1" applyFont="1" applyFill="1" applyBorder="1" applyAlignment="1">
      <alignment vertical="top" wrapText="1"/>
    </xf>
    <xf numFmtId="0" fontId="19" fillId="2" borderId="17" xfId="6" applyNumberFormat="1" applyFont="1" applyFill="1" applyBorder="1" applyAlignment="1">
      <alignment horizontal="right" vertical="center"/>
    </xf>
    <xf numFmtId="0" fontId="23" fillId="2" borderId="7" xfId="6" applyNumberFormat="1" applyFont="1" applyFill="1" applyBorder="1" applyAlignment="1">
      <alignment horizontal="right" vertical="center"/>
    </xf>
    <xf numFmtId="0" fontId="19" fillId="2" borderId="81" xfId="6" applyNumberFormat="1" applyFont="1" applyFill="1" applyBorder="1" applyAlignment="1">
      <alignment horizontal="right" vertical="center"/>
    </xf>
    <xf numFmtId="0" fontId="23" fillId="2" borderId="81" xfId="6" applyNumberFormat="1" applyFont="1" applyFill="1" applyBorder="1" applyAlignment="1">
      <alignment horizontal="right" vertical="center"/>
    </xf>
    <xf numFmtId="0" fontId="19" fillId="2" borderId="75" xfId="6" applyNumberFormat="1" applyFont="1" applyFill="1" applyBorder="1" applyAlignment="1">
      <alignment horizontal="right" vertical="center"/>
    </xf>
    <xf numFmtId="0" fontId="23" fillId="2" borderId="8" xfId="6" applyNumberFormat="1" applyFont="1" applyFill="1" applyBorder="1" applyAlignment="1">
      <alignment horizontal="right" vertical="center" wrapText="1"/>
    </xf>
    <xf numFmtId="0" fontId="19" fillId="2" borderId="23" xfId="6" applyNumberFormat="1" applyFont="1" applyFill="1" applyBorder="1" applyAlignment="1">
      <alignment horizontal="right" vertical="center"/>
    </xf>
    <xf numFmtId="0" fontId="23" fillId="2" borderId="0" xfId="6" applyNumberFormat="1" applyFont="1" applyFill="1" applyBorder="1" applyAlignment="1">
      <alignment horizontal="right" vertical="center"/>
    </xf>
    <xf numFmtId="0" fontId="11" fillId="0" borderId="30" xfId="6" applyNumberFormat="1" applyFont="1" applyFill="1" applyBorder="1" applyAlignment="1">
      <alignment vertical="top" wrapText="1"/>
    </xf>
    <xf numFmtId="0" fontId="25" fillId="0" borderId="40" xfId="6" applyNumberFormat="1" applyFont="1" applyFill="1" applyBorder="1" applyAlignment="1">
      <alignment vertical="top" wrapText="1"/>
    </xf>
    <xf numFmtId="0" fontId="25" fillId="0" borderId="36" xfId="6" applyNumberFormat="1" applyFont="1" applyFill="1" applyBorder="1" applyAlignment="1">
      <alignment vertical="top" wrapText="1"/>
    </xf>
    <xf numFmtId="0" fontId="12" fillId="0" borderId="39" xfId="6" applyNumberFormat="1" applyFont="1" applyFill="1" applyBorder="1" applyAlignment="1">
      <alignment vertical="top" wrapText="1"/>
    </xf>
    <xf numFmtId="0" fontId="11" fillId="0" borderId="23" xfId="6" applyNumberFormat="1" applyFont="1" applyFill="1" applyBorder="1" applyAlignment="1">
      <alignment vertical="top" wrapText="1"/>
    </xf>
    <xf numFmtId="0" fontId="25" fillId="0" borderId="78" xfId="6" applyNumberFormat="1" applyFont="1" applyFill="1" applyBorder="1" applyAlignment="1">
      <alignment vertical="top" wrapText="1"/>
    </xf>
    <xf numFmtId="0" fontId="25" fillId="0" borderId="8" xfId="6" applyNumberFormat="1" applyFont="1" applyFill="1" applyBorder="1" applyAlignment="1">
      <alignment vertical="top" wrapText="1"/>
    </xf>
    <xf numFmtId="0" fontId="12" fillId="0" borderId="74" xfId="6" applyNumberFormat="1" applyFont="1" applyFill="1" applyBorder="1" applyAlignment="1">
      <alignment vertical="top" wrapText="1"/>
    </xf>
    <xf numFmtId="0" fontId="25" fillId="0" borderId="38" xfId="6" applyNumberFormat="1" applyFont="1" applyFill="1" applyBorder="1" applyAlignment="1">
      <alignment vertical="top" wrapText="1"/>
    </xf>
    <xf numFmtId="0" fontId="24" fillId="3" borderId="53" xfId="6" quotePrefix="1" applyNumberFormat="1" applyFont="1" applyFill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1" xfId="0" applyFont="1" applyBorder="1" applyAlignment="1">
      <alignment horizontal="center" vertical="center"/>
    </xf>
    <xf numFmtId="0" fontId="29" fillId="0" borderId="41" xfId="0" applyFont="1" applyBorder="1" applyAlignment="1">
      <alignment horizontal="center" vertical="center"/>
    </xf>
    <xf numFmtId="0" fontId="7" fillId="0" borderId="53" xfId="0" applyFont="1" applyBorder="1" applyAlignment="1">
      <alignment horizontal="center" vertical="center"/>
    </xf>
    <xf numFmtId="16" fontId="24" fillId="3" borderId="53" xfId="6" quotePrefix="1" applyNumberFormat="1" applyFont="1" applyFill="1" applyBorder="1" applyAlignment="1">
      <alignment horizontal="center" vertical="center"/>
    </xf>
    <xf numFmtId="0" fontId="0" fillId="0" borderId="13" xfId="0" applyNumberFormat="1" applyFont="1" applyFill="1" applyBorder="1"/>
    <xf numFmtId="0" fontId="1" fillId="0" borderId="85" xfId="21" applyBorder="1" applyAlignment="1">
      <alignment horizontal="center" vertical="center"/>
    </xf>
    <xf numFmtId="0" fontId="1" fillId="0" borderId="81" xfId="21" quotePrefix="1" applyBorder="1" applyAlignment="1">
      <alignment horizontal="center" vertical="center"/>
    </xf>
    <xf numFmtId="0" fontId="46" fillId="0" borderId="81" xfId="21" applyFont="1" applyBorder="1" applyAlignment="1">
      <alignment horizontal="center" vertical="center"/>
    </xf>
    <xf numFmtId="0" fontId="45" fillId="0" borderId="81" xfId="27" applyFont="1" applyBorder="1" applyAlignment="1">
      <alignment horizontal="center" vertical="center"/>
    </xf>
    <xf numFmtId="0" fontId="44" fillId="0" borderId="81" xfId="27" applyBorder="1" applyAlignment="1">
      <alignment horizontal="center" vertical="center"/>
    </xf>
    <xf numFmtId="0" fontId="1" fillId="0" borderId="81" xfId="21" applyBorder="1" applyAlignment="1">
      <alignment horizontal="center" vertical="center"/>
    </xf>
    <xf numFmtId="0" fontId="42" fillId="5" borderId="83" xfId="21" applyFont="1" applyFill="1" applyBorder="1" applyAlignment="1">
      <alignment horizontal="center" vertical="center"/>
    </xf>
    <xf numFmtId="0" fontId="0" fillId="0" borderId="0" xfId="0"/>
    <xf numFmtId="0" fontId="1" fillId="0" borderId="0" xfId="21"/>
    <xf numFmtId="0" fontId="1" fillId="0" borderId="0" xfId="21" applyAlignment="1">
      <alignment wrapText="1"/>
    </xf>
    <xf numFmtId="0" fontId="42" fillId="5" borderId="65" xfId="21" applyFont="1" applyFill="1" applyBorder="1" applyAlignment="1">
      <alignment horizontal="center" vertical="center"/>
    </xf>
    <xf numFmtId="0" fontId="42" fillId="6" borderId="65" xfId="21" applyFont="1" applyFill="1" applyBorder="1" applyAlignment="1">
      <alignment horizontal="center" vertical="center"/>
    </xf>
    <xf numFmtId="0" fontId="1" fillId="0" borderId="53" xfId="21" applyBorder="1" applyAlignment="1">
      <alignment horizontal="center" vertical="center"/>
    </xf>
    <xf numFmtId="0" fontId="43" fillId="0" borderId="82" xfId="21" applyFont="1" applyBorder="1" applyAlignment="1">
      <alignment horizontal="center" vertical="center" readingOrder="1"/>
    </xf>
    <xf numFmtId="0" fontId="44" fillId="0" borderId="53" xfId="27" applyBorder="1" applyAlignment="1">
      <alignment horizontal="center" vertical="center"/>
    </xf>
    <xf numFmtId="0" fontId="45" fillId="0" borderId="53" xfId="27" applyFont="1" applyBorder="1" applyAlignment="1">
      <alignment horizontal="center" vertical="center"/>
    </xf>
    <xf numFmtId="0" fontId="46" fillId="0" borderId="53" xfId="21" applyFont="1" applyBorder="1" applyAlignment="1">
      <alignment horizontal="center" vertical="center"/>
    </xf>
    <xf numFmtId="0" fontId="47" fillId="0" borderId="82" xfId="21" applyFont="1" applyBorder="1" applyAlignment="1">
      <alignment horizontal="center" vertical="center" readingOrder="1"/>
    </xf>
    <xf numFmtId="0" fontId="1" fillId="0" borderId="53" xfId="21" quotePrefix="1" applyBorder="1" applyAlignment="1">
      <alignment horizontal="center" vertical="center"/>
    </xf>
    <xf numFmtId="0" fontId="1" fillId="0" borderId="62" xfId="21" applyBorder="1" applyAlignment="1">
      <alignment horizontal="center" vertical="center"/>
    </xf>
    <xf numFmtId="0" fontId="46" fillId="0" borderId="62" xfId="21" applyFont="1" applyBorder="1" applyAlignment="1">
      <alignment horizontal="center" vertical="center"/>
    </xf>
    <xf numFmtId="0" fontId="47" fillId="0" borderId="87" xfId="21" applyFont="1" applyBorder="1" applyAlignment="1">
      <alignment horizontal="center" vertical="center" readingOrder="1"/>
    </xf>
    <xf numFmtId="0" fontId="47" fillId="0" borderId="53" xfId="21" applyFont="1" applyBorder="1" applyAlignment="1">
      <alignment horizontal="center" vertical="center" readingOrder="1"/>
    </xf>
    <xf numFmtId="0" fontId="42" fillId="6" borderId="84" xfId="21" applyFont="1" applyFill="1" applyBorder="1" applyAlignment="1">
      <alignment horizontal="center" vertical="center"/>
    </xf>
    <xf numFmtId="0" fontId="1" fillId="0" borderId="32" xfId="21" applyBorder="1" applyAlignment="1">
      <alignment horizontal="center" vertical="center"/>
    </xf>
    <xf numFmtId="0" fontId="1" fillId="0" borderId="86" xfId="21" applyBorder="1" applyAlignment="1">
      <alignment horizontal="center" vertical="center"/>
    </xf>
    <xf numFmtId="0" fontId="31" fillId="0" borderId="81" xfId="26" applyBorder="1" applyAlignment="1">
      <alignment horizontal="center" vertical="center"/>
    </xf>
    <xf numFmtId="0" fontId="31" fillId="0" borderId="32" xfId="26" applyBorder="1" applyAlignment="1">
      <alignment horizontal="center" vertical="center"/>
    </xf>
    <xf numFmtId="0" fontId="31" fillId="4" borderId="83" xfId="26" applyFill="1" applyBorder="1" applyAlignment="1">
      <alignment horizontal="center" vertical="center"/>
    </xf>
    <xf numFmtId="0" fontId="31" fillId="4" borderId="84" xfId="26" applyFill="1" applyBorder="1" applyAlignment="1">
      <alignment horizontal="center" vertical="center"/>
    </xf>
    <xf numFmtId="0" fontId="31" fillId="0" borderId="85" xfId="26" applyBorder="1" applyAlignment="1">
      <alignment horizontal="center" vertical="center"/>
    </xf>
    <xf numFmtId="0" fontId="31" fillId="0" borderId="86" xfId="26" applyBorder="1" applyAlignment="1">
      <alignment horizontal="center" vertical="center"/>
    </xf>
    <xf numFmtId="0" fontId="31" fillId="0" borderId="81" xfId="26" applyFill="1" applyBorder="1" applyAlignment="1">
      <alignment horizontal="center" vertical="center"/>
    </xf>
    <xf numFmtId="0" fontId="31" fillId="0" borderId="32" xfId="26" applyFont="1" applyFill="1" applyBorder="1" applyAlignment="1">
      <alignment horizontal="center" vertical="center"/>
    </xf>
    <xf numFmtId="0" fontId="31" fillId="0" borderId="0" xfId="16"/>
    <xf numFmtId="0" fontId="41" fillId="0" borderId="0" xfId="20" applyFont="1"/>
    <xf numFmtId="0" fontId="31" fillId="0" borderId="0" xfId="16"/>
    <xf numFmtId="0" fontId="34" fillId="0" borderId="46" xfId="16" applyFont="1" applyBorder="1"/>
    <xf numFmtId="49" fontId="35" fillId="0" borderId="47" xfId="16" applyNumberFormat="1" applyFont="1" applyBorder="1" applyAlignment="1">
      <alignment vertical="center"/>
    </xf>
    <xf numFmtId="0" fontId="36" fillId="0" borderId="47" xfId="16" applyFont="1" applyBorder="1" applyAlignment="1">
      <alignment horizontal="left" vertical="center"/>
    </xf>
    <xf numFmtId="0" fontId="35" fillId="0" borderId="48" xfId="16" applyFont="1" applyBorder="1" applyAlignment="1">
      <alignment horizontal="center"/>
    </xf>
    <xf numFmtId="0" fontId="31" fillId="0" borderId="49" xfId="16" applyFont="1" applyBorder="1"/>
    <xf numFmtId="49" fontId="37" fillId="0" borderId="50" xfId="16" applyNumberFormat="1" applyFont="1" applyBorder="1" applyAlignment="1">
      <alignment vertical="center"/>
    </xf>
    <xf numFmtId="0" fontId="38" fillId="0" borderId="50" xfId="16" applyFont="1" applyBorder="1" applyAlignment="1">
      <alignment horizontal="left" vertical="center"/>
    </xf>
    <xf numFmtId="0" fontId="37" fillId="0" borderId="51" xfId="16" applyFont="1" applyBorder="1" applyAlignment="1">
      <alignment horizontal="center"/>
    </xf>
    <xf numFmtId="0" fontId="31" fillId="0" borderId="52" xfId="16" applyFont="1" applyBorder="1"/>
    <xf numFmtId="49" fontId="37" fillId="0" borderId="53" xfId="16" applyNumberFormat="1" applyFont="1" applyBorder="1" applyAlignment="1">
      <alignment vertical="center"/>
    </xf>
    <xf numFmtId="0" fontId="38" fillId="0" borderId="53" xfId="16" applyFont="1" applyBorder="1" applyAlignment="1">
      <alignment horizontal="left" vertical="center"/>
    </xf>
    <xf numFmtId="0" fontId="37" fillId="0" borderId="54" xfId="16" applyFont="1" applyBorder="1" applyAlignment="1">
      <alignment horizontal="center"/>
    </xf>
    <xf numFmtId="0" fontId="31" fillId="0" borderId="55" xfId="16" applyFont="1" applyBorder="1"/>
    <xf numFmtId="49" fontId="37" fillId="0" borderId="56" xfId="16" applyNumberFormat="1" applyFont="1" applyBorder="1" applyAlignment="1">
      <alignment vertical="center"/>
    </xf>
    <xf numFmtId="0" fontId="38" fillId="0" borderId="56" xfId="16" applyFont="1" applyBorder="1" applyAlignment="1">
      <alignment horizontal="left" vertical="center"/>
    </xf>
    <xf numFmtId="0" fontId="37" fillId="0" borderId="57" xfId="16" applyFont="1" applyBorder="1" applyAlignment="1">
      <alignment horizontal="center"/>
    </xf>
    <xf numFmtId="0" fontId="31" fillId="0" borderId="53" xfId="16" applyFont="1" applyBorder="1"/>
    <xf numFmtId="0" fontId="31" fillId="0" borderId="62" xfId="16" applyFont="1" applyBorder="1"/>
    <xf numFmtId="49" fontId="37" fillId="0" borderId="62" xfId="16" applyNumberFormat="1" applyFont="1" applyBorder="1" applyAlignment="1">
      <alignment vertical="center"/>
    </xf>
    <xf numFmtId="0" fontId="38" fillId="0" borderId="62" xfId="16" applyFont="1" applyBorder="1" applyAlignment="1">
      <alignment horizontal="left" vertical="center"/>
    </xf>
    <xf numFmtId="0" fontId="37" fillId="0" borderId="63" xfId="16" applyFont="1" applyBorder="1" applyAlignment="1">
      <alignment horizontal="center"/>
    </xf>
    <xf numFmtId="0" fontId="31" fillId="0" borderId="46" xfId="16" applyFont="1" applyBorder="1"/>
    <xf numFmtId="49" fontId="37" fillId="0" borderId="47" xfId="16" applyNumberFormat="1" applyFont="1" applyBorder="1" applyAlignment="1">
      <alignment vertical="center"/>
    </xf>
    <xf numFmtId="0" fontId="38" fillId="0" borderId="47" xfId="16" applyFont="1" applyBorder="1" applyAlignment="1">
      <alignment horizontal="left" vertical="center"/>
    </xf>
    <xf numFmtId="0" fontId="37" fillId="0" borderId="48" xfId="16" applyFont="1" applyBorder="1" applyAlignment="1">
      <alignment horizontal="center"/>
    </xf>
    <xf numFmtId="0" fontId="31" fillId="0" borderId="64" xfId="16" applyFont="1" applyBorder="1"/>
    <xf numFmtId="49" fontId="37" fillId="0" borderId="65" xfId="16" applyNumberFormat="1" applyFont="1" applyBorder="1" applyAlignment="1">
      <alignment vertical="center"/>
    </xf>
    <xf numFmtId="0" fontId="38" fillId="0" borderId="65" xfId="16" applyFont="1" applyBorder="1" applyAlignment="1">
      <alignment horizontal="left" vertical="center"/>
    </xf>
    <xf numFmtId="0" fontId="37" fillId="0" borderId="66" xfId="16" applyFont="1" applyBorder="1" applyAlignment="1">
      <alignment horizontal="center"/>
    </xf>
    <xf numFmtId="0" fontId="38" fillId="0" borderId="0" xfId="16" applyFont="1" applyAlignment="1">
      <alignment horizontal="left" vertical="center"/>
    </xf>
    <xf numFmtId="0" fontId="31" fillId="0" borderId="58" xfId="16" applyFont="1" applyBorder="1"/>
    <xf numFmtId="49" fontId="37" fillId="0" borderId="59" xfId="16" applyNumberFormat="1" applyFont="1" applyBorder="1" applyAlignment="1">
      <alignment vertical="center"/>
    </xf>
    <xf numFmtId="0" fontId="38" fillId="0" borderId="59" xfId="16" applyFont="1" applyBorder="1" applyAlignment="1">
      <alignment horizontal="left" vertical="center"/>
    </xf>
    <xf numFmtId="0" fontId="37" fillId="0" borderId="60" xfId="16" applyFont="1" applyBorder="1" applyAlignment="1">
      <alignment horizontal="center"/>
    </xf>
    <xf numFmtId="0" fontId="31" fillId="0" borderId="61" xfId="16" applyFont="1" applyBorder="1"/>
    <xf numFmtId="0" fontId="31" fillId="0" borderId="67" xfId="16" applyFont="1" applyBorder="1"/>
    <xf numFmtId="49" fontId="37" fillId="0" borderId="68" xfId="16" applyNumberFormat="1" applyFont="1" applyBorder="1" applyAlignment="1">
      <alignment vertical="center"/>
    </xf>
    <xf numFmtId="0" fontId="38" fillId="0" borderId="68" xfId="16" applyFont="1" applyBorder="1" applyAlignment="1">
      <alignment horizontal="left" vertical="center"/>
    </xf>
    <xf numFmtId="0" fontId="37" fillId="0" borderId="69" xfId="16" applyFont="1" applyBorder="1" applyAlignment="1">
      <alignment horizontal="center"/>
    </xf>
    <xf numFmtId="0" fontId="31" fillId="0" borderId="72" xfId="16" applyFont="1" applyBorder="1"/>
    <xf numFmtId="0" fontId="38" fillId="0" borderId="73" xfId="16" applyFont="1" applyBorder="1" applyAlignment="1">
      <alignment horizontal="left" vertical="center"/>
    </xf>
    <xf numFmtId="0" fontId="31" fillId="0" borderId="55" xfId="16" applyFont="1" applyBorder="1" applyAlignment="1">
      <alignment vertical="center"/>
    </xf>
    <xf numFmtId="0" fontId="37" fillId="0" borderId="57" xfId="16" applyFont="1" applyBorder="1" applyAlignment="1">
      <alignment horizontal="center" wrapText="1"/>
    </xf>
    <xf numFmtId="0" fontId="41" fillId="0" borderId="0" xfId="20" applyFont="1"/>
    <xf numFmtId="0" fontId="37" fillId="0" borderId="53" xfId="16" applyNumberFormat="1" applyFont="1" applyBorder="1" applyAlignment="1">
      <alignment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16" fillId="0" borderId="16" xfId="0" applyNumberFormat="1" applyFont="1" applyFill="1" applyBorder="1" applyAlignment="1">
      <alignment horizontal="center" vertical="center" wrapText="1"/>
    </xf>
    <xf numFmtId="0" fontId="16" fillId="0" borderId="20" xfId="0" applyNumberFormat="1" applyFont="1" applyFill="1" applyBorder="1" applyAlignment="1">
      <alignment horizontal="center" vertical="center" wrapText="1"/>
    </xf>
    <xf numFmtId="0" fontId="16" fillId="0" borderId="17" xfId="0" applyNumberFormat="1" applyFont="1" applyFill="1" applyBorder="1" applyAlignment="1">
      <alignment horizontal="center" vertical="center" wrapText="1"/>
    </xf>
    <xf numFmtId="0" fontId="16" fillId="0" borderId="13" xfId="0" applyNumberFormat="1" applyFont="1" applyFill="1" applyBorder="1" applyAlignment="1">
      <alignment horizontal="center" vertical="center" wrapText="1"/>
    </xf>
    <xf numFmtId="0" fontId="16" fillId="0" borderId="0" xfId="0" applyNumberFormat="1" applyFont="1" applyFill="1" applyBorder="1" applyAlignment="1">
      <alignment horizontal="center" vertical="center" wrapText="1"/>
    </xf>
    <xf numFmtId="0" fontId="16" fillId="0" borderId="19" xfId="0" applyNumberFormat="1" applyFont="1" applyFill="1" applyBorder="1" applyAlignment="1">
      <alignment horizontal="center" vertical="center" wrapText="1"/>
    </xf>
    <xf numFmtId="0" fontId="16" fillId="0" borderId="9" xfId="0" applyNumberFormat="1" applyFont="1" applyFill="1" applyBorder="1" applyAlignment="1">
      <alignment horizontal="center" vertical="center" wrapText="1"/>
    </xf>
    <xf numFmtId="0" fontId="16" fillId="0" borderId="6" xfId="0" applyNumberFormat="1" applyFont="1" applyFill="1" applyBorder="1" applyAlignment="1">
      <alignment horizontal="center" vertical="center" wrapText="1"/>
    </xf>
    <xf numFmtId="0" fontId="16" fillId="0" borderId="7" xfId="0" applyNumberFormat="1" applyFont="1" applyFill="1" applyBorder="1" applyAlignment="1">
      <alignment horizontal="center" vertical="center" wrapText="1"/>
    </xf>
    <xf numFmtId="0" fontId="19" fillId="0" borderId="18" xfId="0" applyNumberFormat="1" applyFont="1" applyFill="1" applyBorder="1" applyAlignment="1">
      <alignment horizontal="center" vertical="center" wrapText="1"/>
    </xf>
    <xf numFmtId="0" fontId="24" fillId="0" borderId="22" xfId="6" applyNumberFormat="1" applyFont="1" applyFill="1" applyBorder="1" applyAlignment="1">
      <alignment horizontal="center" vertical="center"/>
    </xf>
    <xf numFmtId="0" fontId="24" fillId="0" borderId="23" xfId="6" applyNumberFormat="1" applyFont="1" applyFill="1" applyBorder="1" applyAlignment="1">
      <alignment horizontal="center" vertical="center"/>
    </xf>
    <xf numFmtId="0" fontId="24" fillId="0" borderId="21" xfId="6" applyNumberFormat="1" applyFont="1" applyFill="1" applyBorder="1" applyAlignment="1">
      <alignment horizontal="center" vertical="center"/>
    </xf>
    <xf numFmtId="0" fontId="32" fillId="0" borderId="12" xfId="6" applyNumberFormat="1" applyFont="1" applyFill="1" applyBorder="1" applyAlignment="1">
      <alignment horizontal="center" vertical="center"/>
    </xf>
    <xf numFmtId="0" fontId="32" fillId="0" borderId="76" xfId="6" applyNumberFormat="1" applyFont="1" applyFill="1" applyBorder="1" applyAlignment="1">
      <alignment horizontal="center" vertical="center"/>
    </xf>
    <xf numFmtId="0" fontId="32" fillId="0" borderId="78" xfId="6" applyNumberFormat="1" applyFont="1" applyFill="1" applyBorder="1" applyAlignment="1">
      <alignment horizontal="center" vertical="center"/>
    </xf>
    <xf numFmtId="0" fontId="32" fillId="0" borderId="21" xfId="6" applyNumberFormat="1" applyFont="1" applyFill="1" applyBorder="1" applyAlignment="1">
      <alignment horizontal="center" vertical="center"/>
    </xf>
    <xf numFmtId="0" fontId="32" fillId="0" borderId="22" xfId="6" applyNumberFormat="1" applyFont="1" applyFill="1" applyBorder="1" applyAlignment="1">
      <alignment horizontal="center" vertical="center"/>
    </xf>
    <xf numFmtId="0" fontId="32" fillId="0" borderId="23" xfId="6" applyNumberFormat="1" applyFont="1" applyFill="1" applyBorder="1" applyAlignment="1">
      <alignment horizontal="center" vertical="center"/>
    </xf>
    <xf numFmtId="0" fontId="32" fillId="0" borderId="11" xfId="6" applyNumberFormat="1" applyFont="1" applyFill="1" applyBorder="1" applyAlignment="1">
      <alignment horizontal="center" vertical="center"/>
    </xf>
    <xf numFmtId="0" fontId="32" fillId="0" borderId="5" xfId="6" applyNumberFormat="1" applyFont="1" applyFill="1" applyBorder="1" applyAlignment="1">
      <alignment horizontal="center" vertical="center"/>
    </xf>
    <xf numFmtId="0" fontId="32" fillId="0" borderId="8" xfId="6" applyNumberFormat="1" applyFont="1" applyFill="1" applyBorder="1" applyAlignment="1">
      <alignment horizontal="center" vertical="center"/>
    </xf>
    <xf numFmtId="49" fontId="24" fillId="0" borderId="10" xfId="6" applyNumberFormat="1" applyFont="1" applyFill="1" applyBorder="1" applyAlignment="1">
      <alignment horizontal="center" vertical="center"/>
    </xf>
    <xf numFmtId="49" fontId="24" fillId="0" borderId="33" xfId="6" applyNumberFormat="1" applyFont="1" applyFill="1" applyBorder="1" applyAlignment="1">
      <alignment horizontal="center" vertical="center"/>
    </xf>
    <xf numFmtId="49" fontId="24" fillId="0" borderId="38" xfId="6" applyNumberFormat="1" applyFont="1" applyFill="1" applyBorder="1" applyAlignment="1">
      <alignment horizontal="center" vertical="center"/>
    </xf>
    <xf numFmtId="0" fontId="22" fillId="2" borderId="3" xfId="6" applyNumberFormat="1" applyFont="1" applyFill="1" applyBorder="1" applyAlignment="1">
      <alignment horizontal="center" vertical="center"/>
    </xf>
    <xf numFmtId="0" fontId="22" fillId="2" borderId="59" xfId="6" applyNumberFormat="1" applyFont="1" applyFill="1" applyBorder="1" applyAlignment="1">
      <alignment horizontal="center" vertical="center"/>
    </xf>
    <xf numFmtId="0" fontId="22" fillId="2" borderId="31" xfId="6" applyNumberFormat="1" applyFont="1" applyFill="1" applyBorder="1" applyAlignment="1">
      <alignment horizontal="center" vertical="center"/>
    </xf>
    <xf numFmtId="0" fontId="22" fillId="2" borderId="72" xfId="6" applyNumberFormat="1" applyFont="1" applyFill="1" applyBorder="1" applyAlignment="1">
      <alignment horizontal="center" vertical="center"/>
    </xf>
    <xf numFmtId="0" fontId="22" fillId="2" borderId="73" xfId="6" applyNumberFormat="1" applyFont="1" applyFill="1" applyBorder="1" applyAlignment="1">
      <alignment horizontal="center" vertical="center"/>
    </xf>
    <xf numFmtId="0" fontId="22" fillId="2" borderId="79" xfId="6" applyNumberFormat="1" applyFont="1" applyFill="1" applyBorder="1" applyAlignment="1">
      <alignment horizontal="center" vertical="center"/>
    </xf>
    <xf numFmtId="0" fontId="14" fillId="0" borderId="15" xfId="6" applyNumberFormat="1" applyFont="1" applyFill="1" applyBorder="1" applyAlignment="1">
      <alignment horizontal="center" vertical="center" wrapText="1"/>
    </xf>
    <xf numFmtId="0" fontId="14" fillId="0" borderId="18" xfId="6" applyNumberFormat="1" applyFont="1" applyFill="1" applyBorder="1" applyAlignment="1">
      <alignment horizontal="center" vertical="center" wrapText="1"/>
    </xf>
    <xf numFmtId="0" fontId="14" fillId="0" borderId="24" xfId="6" applyNumberFormat="1" applyFont="1" applyFill="1" applyBorder="1" applyAlignment="1">
      <alignment horizontal="center" vertical="center" wrapText="1"/>
    </xf>
    <xf numFmtId="0" fontId="24" fillId="0" borderId="16" xfId="6" applyNumberFormat="1" applyFont="1" applyFill="1" applyBorder="1" applyAlignment="1">
      <alignment horizontal="center" vertical="center"/>
    </xf>
    <xf numFmtId="0" fontId="24" fillId="0" borderId="20" xfId="6" applyNumberFormat="1" applyFont="1" applyFill="1" applyBorder="1" applyAlignment="1">
      <alignment horizontal="center" vertical="center"/>
    </xf>
    <xf numFmtId="0" fontId="24" fillId="0" borderId="17" xfId="6" applyNumberFormat="1" applyFont="1" applyFill="1" applyBorder="1" applyAlignment="1">
      <alignment horizontal="center" vertical="center"/>
    </xf>
    <xf numFmtId="0" fontId="21" fillId="0" borderId="80" xfId="0" applyNumberFormat="1" applyFont="1" applyFill="1" applyBorder="1" applyAlignment="1">
      <alignment horizontal="center" vertical="center" wrapText="1"/>
    </xf>
    <xf numFmtId="0" fontId="21" fillId="0" borderId="26" xfId="0" applyNumberFormat="1" applyFont="1" applyFill="1" applyBorder="1" applyAlignment="1">
      <alignment horizontal="center" vertical="center" wrapText="1"/>
    </xf>
    <xf numFmtId="0" fontId="21" fillId="0" borderId="17" xfId="0" applyNumberFormat="1" applyFont="1" applyFill="1" applyBorder="1" applyAlignment="1">
      <alignment horizontal="center" vertical="center" wrapText="1"/>
    </xf>
    <xf numFmtId="0" fontId="20" fillId="0" borderId="16" xfId="0" applyNumberFormat="1" applyFont="1" applyFill="1" applyBorder="1" applyAlignment="1">
      <alignment horizontal="center" vertical="center" wrapText="1"/>
    </xf>
    <xf numFmtId="0" fontId="20" fillId="0" borderId="26" xfId="0" applyNumberFormat="1" applyFont="1" applyFill="1" applyBorder="1" applyAlignment="1">
      <alignment horizontal="center" vertical="center" wrapText="1"/>
    </xf>
    <xf numFmtId="2" fontId="24" fillId="0" borderId="12" xfId="6" applyNumberFormat="1" applyFont="1" applyFill="1" applyBorder="1" applyAlignment="1">
      <alignment horizontal="center" vertical="center"/>
    </xf>
    <xf numFmtId="2" fontId="24" fillId="0" borderId="76" xfId="6" applyNumberFormat="1" applyFont="1" applyFill="1" applyBorder="1" applyAlignment="1">
      <alignment horizontal="center" vertical="center"/>
    </xf>
    <xf numFmtId="2" fontId="24" fillId="0" borderId="78" xfId="6" applyNumberFormat="1" applyFont="1" applyFill="1" applyBorder="1" applyAlignment="1">
      <alignment horizontal="center" vertical="center"/>
    </xf>
    <xf numFmtId="1" fontId="24" fillId="0" borderId="12" xfId="6" applyNumberFormat="1" applyFont="1" applyFill="1" applyBorder="1" applyAlignment="1">
      <alignment horizontal="center" vertical="center"/>
    </xf>
    <xf numFmtId="1" fontId="24" fillId="0" borderId="76" xfId="6" applyNumberFormat="1" applyFont="1" applyFill="1" applyBorder="1" applyAlignment="1">
      <alignment horizontal="center" vertical="center"/>
    </xf>
    <xf numFmtId="1" fontId="24" fillId="0" borderId="78" xfId="6" applyNumberFormat="1" applyFont="1" applyFill="1" applyBorder="1" applyAlignment="1">
      <alignment horizontal="center" vertical="center"/>
    </xf>
    <xf numFmtId="1" fontId="24" fillId="0" borderId="10" xfId="6" applyNumberFormat="1" applyFont="1" applyFill="1" applyBorder="1" applyAlignment="1">
      <alignment horizontal="center" vertical="center"/>
    </xf>
    <xf numFmtId="1" fontId="24" fillId="0" borderId="33" xfId="6" applyNumberFormat="1" applyFont="1" applyFill="1" applyBorder="1" applyAlignment="1">
      <alignment horizontal="center" vertical="center"/>
    </xf>
    <xf numFmtId="1" fontId="24" fillId="0" borderId="38" xfId="6" applyNumberFormat="1" applyFont="1" applyFill="1" applyBorder="1" applyAlignment="1">
      <alignment horizontal="center" vertical="center"/>
    </xf>
    <xf numFmtId="1" fontId="24" fillId="0" borderId="11" xfId="6" applyNumberFormat="1" applyFont="1" applyFill="1" applyBorder="1" applyAlignment="1">
      <alignment horizontal="center" vertical="center"/>
    </xf>
    <xf numFmtId="1" fontId="24" fillId="0" borderId="5" xfId="6" applyNumberFormat="1" applyFont="1" applyFill="1" applyBorder="1" applyAlignment="1">
      <alignment horizontal="center" vertical="center"/>
    </xf>
    <xf numFmtId="1" fontId="24" fillId="0" borderId="8" xfId="6" applyNumberFormat="1" applyFont="1" applyFill="1" applyBorder="1" applyAlignment="1">
      <alignment horizontal="center" vertical="center"/>
    </xf>
    <xf numFmtId="49" fontId="24" fillId="0" borderId="9" xfId="6" applyNumberFormat="1" applyFont="1" applyFill="1" applyBorder="1" applyAlignment="1">
      <alignment horizontal="center" vertical="center"/>
    </xf>
    <xf numFmtId="49" fontId="24" fillId="0" borderId="6" xfId="6" applyNumberFormat="1" applyFont="1" applyFill="1" applyBorder="1" applyAlignment="1">
      <alignment horizontal="center" vertical="center"/>
    </xf>
    <xf numFmtId="49" fontId="24" fillId="0" borderId="7" xfId="6" applyNumberFormat="1" applyFont="1" applyFill="1" applyBorder="1" applyAlignment="1">
      <alignment horizontal="center" vertical="center"/>
    </xf>
    <xf numFmtId="0" fontId="21" fillId="0" borderId="9" xfId="0" applyNumberFormat="1" applyFont="1" applyFill="1" applyBorder="1" applyAlignment="1">
      <alignment horizontal="center" vertical="center" wrapText="1"/>
    </xf>
    <xf numFmtId="0" fontId="21" fillId="0" borderId="6" xfId="0" applyNumberFormat="1" applyFont="1" applyFill="1" applyBorder="1" applyAlignment="1">
      <alignment horizontal="center" vertical="center" wrapText="1"/>
    </xf>
    <xf numFmtId="0" fontId="21" fillId="0" borderId="7" xfId="0" applyNumberFormat="1" applyFont="1" applyFill="1" applyBorder="1" applyAlignment="1">
      <alignment horizontal="center" vertical="center" wrapText="1"/>
    </xf>
    <xf numFmtId="0" fontId="32" fillId="0" borderId="9" xfId="6" applyNumberFormat="1" applyFont="1" applyFill="1" applyBorder="1" applyAlignment="1">
      <alignment horizontal="center" vertical="center"/>
    </xf>
    <xf numFmtId="0" fontId="32" fillId="0" borderId="6" xfId="6" applyNumberFormat="1" applyFont="1" applyFill="1" applyBorder="1" applyAlignment="1">
      <alignment horizontal="center" vertical="center"/>
    </xf>
    <xf numFmtId="0" fontId="32" fillId="0" borderId="7" xfId="6" applyNumberFormat="1" applyFont="1" applyFill="1" applyBorder="1" applyAlignment="1">
      <alignment horizontal="center" vertical="center"/>
    </xf>
    <xf numFmtId="0" fontId="19" fillId="0" borderId="13" xfId="0" applyNumberFormat="1" applyFont="1" applyFill="1" applyBorder="1" applyAlignment="1">
      <alignment horizontal="center" vertical="center" wrapText="1"/>
    </xf>
    <xf numFmtId="0" fontId="22" fillId="2" borderId="2" xfId="6" applyNumberFormat="1" applyFont="1" applyFill="1" applyBorder="1" applyAlignment="1">
      <alignment horizontal="center" vertical="center"/>
    </xf>
    <xf numFmtId="0" fontId="22" fillId="2" borderId="35" xfId="6" applyNumberFormat="1" applyFont="1" applyFill="1" applyBorder="1" applyAlignment="1">
      <alignment horizontal="center" vertical="center"/>
    </xf>
    <xf numFmtId="0" fontId="22" fillId="2" borderId="29" xfId="6" applyNumberFormat="1" applyFont="1" applyFill="1" applyBorder="1" applyAlignment="1">
      <alignment horizontal="center" vertical="center"/>
    </xf>
    <xf numFmtId="0" fontId="22" fillId="2" borderId="34" xfId="6" applyNumberFormat="1" applyFont="1" applyFill="1" applyBorder="1" applyAlignment="1">
      <alignment horizontal="center" vertical="center"/>
    </xf>
    <xf numFmtId="0" fontId="22" fillId="2" borderId="28" xfId="6" applyNumberFormat="1" applyFont="1" applyFill="1" applyBorder="1" applyAlignment="1">
      <alignment horizontal="center" vertical="center"/>
    </xf>
    <xf numFmtId="0" fontId="20" fillId="0" borderId="27" xfId="0" applyNumberFormat="1" applyFont="1" applyFill="1" applyBorder="1" applyAlignment="1">
      <alignment horizontal="center" vertical="center" wrapText="1"/>
    </xf>
    <xf numFmtId="0" fontId="32" fillId="0" borderId="16" xfId="6" applyNumberFormat="1" applyFont="1" applyFill="1" applyBorder="1" applyAlignment="1">
      <alignment horizontal="center" vertical="center"/>
    </xf>
    <xf numFmtId="0" fontId="32" fillId="0" borderId="20" xfId="6" applyNumberFormat="1" applyFont="1" applyFill="1" applyBorder="1" applyAlignment="1">
      <alignment horizontal="center" vertical="center"/>
    </xf>
    <xf numFmtId="0" fontId="32" fillId="0" borderId="17" xfId="6" applyNumberFormat="1" applyFont="1" applyFill="1" applyBorder="1" applyAlignment="1">
      <alignment horizontal="center" vertical="center"/>
    </xf>
    <xf numFmtId="0" fontId="32" fillId="0" borderId="80" xfId="6" applyNumberFormat="1" applyFont="1" applyFill="1" applyBorder="1" applyAlignment="1">
      <alignment horizontal="center" vertical="center"/>
    </xf>
    <xf numFmtId="0" fontId="32" fillId="0" borderId="26" xfId="6" applyNumberFormat="1" applyFont="1" applyFill="1" applyBorder="1" applyAlignment="1">
      <alignment horizontal="center" vertical="center"/>
    </xf>
    <xf numFmtId="0" fontId="32" fillId="0" borderId="27" xfId="6" applyNumberFormat="1" applyFont="1" applyFill="1" applyBorder="1" applyAlignment="1">
      <alignment horizontal="center" vertical="center"/>
    </xf>
    <xf numFmtId="0" fontId="32" fillId="0" borderId="13" xfId="6" applyNumberFormat="1" applyFont="1" applyFill="1" applyBorder="1" applyAlignment="1">
      <alignment horizontal="center" vertical="center"/>
    </xf>
    <xf numFmtId="0" fontId="32" fillId="0" borderId="0" xfId="6" applyNumberFormat="1" applyFont="1" applyFill="1" applyBorder="1" applyAlignment="1">
      <alignment horizontal="center" vertical="center"/>
    </xf>
    <xf numFmtId="0" fontId="32" fillId="0" borderId="19" xfId="6" applyNumberFormat="1" applyFont="1" applyFill="1" applyBorder="1" applyAlignment="1">
      <alignment horizontal="center" vertical="center"/>
    </xf>
    <xf numFmtId="2" fontId="24" fillId="0" borderId="33" xfId="6" applyNumberFormat="1" applyFont="1" applyFill="1" applyBorder="1" applyAlignment="1">
      <alignment horizontal="center" vertical="center"/>
    </xf>
    <xf numFmtId="2" fontId="24" fillId="0" borderId="38" xfId="6" applyNumberFormat="1" applyFont="1" applyFill="1" applyBorder="1" applyAlignment="1">
      <alignment horizontal="center" vertical="center"/>
    </xf>
  </cellXfs>
  <cellStyles count="28">
    <cellStyle name="0,0_x000d__x000a_NA_x000d__x000a_" xfId="1"/>
    <cellStyle name="Normal" xfId="0" builtinId="0"/>
    <cellStyle name="Normal 12" xfId="2"/>
    <cellStyle name="Normal 12 2" xfId="9"/>
    <cellStyle name="Normal 12 3" xfId="18"/>
    <cellStyle name="Normal 12 4" xfId="17"/>
    <cellStyle name="Normal 2" xfId="3"/>
    <cellStyle name="Normal 2 2" xfId="10"/>
    <cellStyle name="Normal 2 3" xfId="19"/>
    <cellStyle name="Normal 3" xfId="4"/>
    <cellStyle name="Normal 3 2" xfId="11"/>
    <cellStyle name="Normal 3 3" xfId="15"/>
    <cellStyle name="Normal 3 3 2" xfId="21"/>
    <cellStyle name="Normal 4" xfId="5"/>
    <cellStyle name="Normal 4 2" xfId="12"/>
    <cellStyle name="Normal 4 2 2" xfId="23"/>
    <cellStyle name="Normal 4 3" xfId="16"/>
    <cellStyle name="Normal 4 4" xfId="20"/>
    <cellStyle name="Normal 4 5" xfId="22"/>
    <cellStyle name="Normal 5" xfId="6"/>
    <cellStyle name="Normal 6" xfId="7"/>
    <cellStyle name="Normal 6 2" xfId="13"/>
    <cellStyle name="Normal 6 2 2" xfId="25"/>
    <cellStyle name="Normal 6 3" xfId="24"/>
    <cellStyle name="Normal 7" xfId="14"/>
    <cellStyle name="Normal 8" xfId="26"/>
    <cellStyle name="常规 2" xfId="27"/>
    <cellStyle name="常规 6" xfId="8"/>
  </cellStyles>
  <dxfs count="425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85843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54928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18" dataDxfId="16" headerRowBorderDxfId="17" tableBorderDxfId="15" headerRowCellStyle="Normal 3 3 2" dataCellStyle="Normal 3 3 2">
  <autoFilter ref="A1:J41"/>
  <tableColumns count="10">
    <tableColumn id="1" name=" BOM Code" dataDxfId="14" dataCellStyle="Normal 3 3 2"/>
    <tableColumn id="2" name="SAP Number" dataDxfId="13" dataCellStyle="Normal 3 3 2"/>
    <tableColumn id="3" name="Type" dataDxfId="12" dataCellStyle="Normal 3 3 2"/>
    <tableColumn id="4" name="Module" dataDxfId="11" dataCellStyle="Normal 3 3 2"/>
    <tableColumn id="5" name="Reuse/replace" dataDxfId="10" dataCellStyle="Normal 3 3 2"/>
    <tableColumn id="6" name="Action" dataDxfId="9" dataCellStyle="Normal 3 3 2"/>
    <tableColumn id="7" name="De-installation Week" dataDxfId="8" dataCellStyle="Normal 3 3 2"/>
    <tableColumn id="8" name="Expected Quantity" dataDxfId="7" dataCellStyle="Normal 3 3 2"/>
    <tableColumn id="9" name="Actual Quantity" dataDxfId="6" dataCellStyle="Normal 3 3 2"/>
    <tableColumn id="10" name="Remark" dataDxfId="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" headerRowBorderDxfId="3" totalsRowBorderDxfId="2" headerRowCellStyle="Normal 8">
  <autoFilter ref="A1:B188"/>
  <tableColumns count="2">
    <tableColumn id="1" name="antenna" dataDxfId="1" dataCellStyle="Normal 8"/>
    <tableColumn id="2" name="Scrap" dataDxfId="0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Y24"/>
  <sheetViews>
    <sheetView tabSelected="1" workbookViewId="0">
      <selection activeCell="H22" sqref="H22"/>
    </sheetView>
  </sheetViews>
  <sheetFormatPr defaultColWidth="9.1328125" defaultRowHeight="12.75"/>
  <cols>
    <col min="1" max="1" width="24.1328125" style="2" customWidth="1"/>
    <col min="2" max="2" width="31" style="2" customWidth="1"/>
    <col min="3" max="3" width="9.1328125" style="2"/>
    <col min="4" max="4" width="9.1328125" style="2" customWidth="1"/>
    <col min="5" max="5" width="9.265625" style="2" customWidth="1"/>
    <col min="6" max="7" width="9.1328125" style="2" customWidth="1"/>
    <col min="8" max="8" width="10.59765625" style="2" customWidth="1"/>
    <col min="9" max="9" width="9.73046875" style="2" customWidth="1"/>
    <col min="10" max="10" width="9.86328125" style="2" customWidth="1"/>
    <col min="11" max="11" width="10.3984375" style="2" customWidth="1"/>
    <col min="12" max="12" width="10.1328125" style="2" customWidth="1"/>
    <col min="13" max="13" width="11" style="2" customWidth="1"/>
    <col min="14" max="14" width="10.3984375" style="2" customWidth="1"/>
    <col min="15" max="15" width="9.59765625" style="2" customWidth="1"/>
    <col min="16" max="16" width="9.59765625" style="23" customWidth="1"/>
    <col min="17" max="17" width="11.1328125" style="23" bestFit="1" customWidth="1"/>
    <col min="18" max="18" width="10.73046875" style="2" customWidth="1"/>
    <col min="19" max="19" width="12.3984375" style="2" bestFit="1" customWidth="1"/>
    <col min="20" max="20" width="9.1328125" style="2"/>
    <col min="21" max="21" width="10.59765625" style="2" bestFit="1" customWidth="1"/>
    <col min="22" max="22" width="9.73046875" style="2" customWidth="1"/>
    <col min="23" max="23" width="9.86328125" style="2" customWidth="1"/>
    <col min="24" max="24" width="12" style="23" customWidth="1"/>
    <col min="25" max="25" width="13.3984375" style="23" customWidth="1"/>
    <col min="26" max="16384" width="9.1328125" style="2"/>
  </cols>
  <sheetData>
    <row r="2" spans="1:25" ht="21" customHeight="1">
      <c r="A2" s="3" t="s">
        <v>21</v>
      </c>
      <c r="B2" s="5"/>
      <c r="D2" s="22"/>
      <c r="E2" s="36"/>
      <c r="F2" s="191" t="s">
        <v>44</v>
      </c>
      <c r="G2" s="191"/>
      <c r="H2" s="191" t="s">
        <v>45</v>
      </c>
      <c r="I2" s="191"/>
      <c r="J2" s="191" t="s">
        <v>44</v>
      </c>
      <c r="K2" s="191"/>
      <c r="L2" s="191" t="s">
        <v>45</v>
      </c>
      <c r="M2" s="192"/>
      <c r="N2" s="193" t="s">
        <v>44</v>
      </c>
      <c r="O2" s="194"/>
      <c r="P2" s="194"/>
      <c r="Q2" s="194"/>
      <c r="R2" s="194"/>
      <c r="S2" s="194"/>
      <c r="T2" s="194"/>
      <c r="U2" s="195"/>
      <c r="V2" s="191" t="s">
        <v>44</v>
      </c>
      <c r="W2" s="191"/>
      <c r="X2" s="191" t="s">
        <v>44</v>
      </c>
      <c r="Y2" s="191"/>
    </row>
    <row r="3" spans="1:25" ht="20.25">
      <c r="A3" s="3" t="s">
        <v>22</v>
      </c>
      <c r="B3" s="5"/>
      <c r="D3" s="22"/>
      <c r="E3" s="36"/>
      <c r="F3" s="39" t="s">
        <v>41</v>
      </c>
      <c r="G3" s="37" t="s">
        <v>40</v>
      </c>
      <c r="H3" s="39" t="s">
        <v>41</v>
      </c>
      <c r="I3" s="37" t="s">
        <v>40</v>
      </c>
      <c r="J3" s="39" t="s">
        <v>41</v>
      </c>
      <c r="K3" s="37" t="s">
        <v>40</v>
      </c>
      <c r="L3" s="39" t="s">
        <v>41</v>
      </c>
      <c r="M3" s="37" t="s">
        <v>40</v>
      </c>
      <c r="N3" s="56" t="s">
        <v>41</v>
      </c>
      <c r="O3" s="37" t="s">
        <v>40</v>
      </c>
      <c r="P3" s="102" t="s">
        <v>41</v>
      </c>
      <c r="Q3" s="37" t="s">
        <v>40</v>
      </c>
      <c r="R3" s="56" t="s">
        <v>41</v>
      </c>
      <c r="S3" s="37" t="s">
        <v>40</v>
      </c>
      <c r="T3" s="56" t="s">
        <v>41</v>
      </c>
      <c r="U3" s="37" t="s">
        <v>40</v>
      </c>
      <c r="V3" s="58" t="s">
        <v>41</v>
      </c>
      <c r="W3" s="60" t="s">
        <v>40</v>
      </c>
      <c r="X3" s="102" t="s">
        <v>41</v>
      </c>
      <c r="Y3" s="60" t="s">
        <v>40</v>
      </c>
    </row>
    <row r="4" spans="1:25" ht="20.65">
      <c r="A4" s="3" t="s">
        <v>23</v>
      </c>
      <c r="B4" s="7"/>
      <c r="D4" s="21"/>
      <c r="E4" s="36"/>
      <c r="F4" s="40" t="s">
        <v>51</v>
      </c>
      <c r="G4" s="41" t="s">
        <v>52</v>
      </c>
      <c r="H4" s="40" t="s">
        <v>46</v>
      </c>
      <c r="I4" s="41" t="s">
        <v>53</v>
      </c>
      <c r="J4" s="40" t="s">
        <v>47</v>
      </c>
      <c r="K4" s="41" t="s">
        <v>54</v>
      </c>
      <c r="L4" s="40" t="s">
        <v>48</v>
      </c>
      <c r="M4" s="41" t="s">
        <v>55</v>
      </c>
      <c r="N4" s="40" t="s">
        <v>49</v>
      </c>
      <c r="O4" s="41" t="s">
        <v>56</v>
      </c>
      <c r="P4" s="104" t="s">
        <v>472</v>
      </c>
      <c r="Q4" s="37" t="s">
        <v>473</v>
      </c>
      <c r="R4" s="40" t="s">
        <v>50</v>
      </c>
      <c r="S4" s="41" t="s">
        <v>57</v>
      </c>
      <c r="T4" s="57" t="s">
        <v>271</v>
      </c>
      <c r="U4" s="105" t="s">
        <v>272</v>
      </c>
      <c r="V4" s="59" t="s">
        <v>381</v>
      </c>
      <c r="W4" s="62" t="s">
        <v>382</v>
      </c>
      <c r="X4" s="103" t="s">
        <v>684</v>
      </c>
      <c r="Y4" s="106" t="s">
        <v>685</v>
      </c>
    </row>
    <row r="5" spans="1:25" ht="15">
      <c r="A5" s="18" t="s">
        <v>42</v>
      </c>
      <c r="B5" s="1"/>
      <c r="C5" s="17"/>
      <c r="D5" s="21"/>
      <c r="E5" s="38" t="s">
        <v>19</v>
      </c>
      <c r="F5" s="42"/>
      <c r="G5" s="43"/>
      <c r="H5" s="42"/>
      <c r="I5" s="43"/>
      <c r="J5" s="42"/>
      <c r="K5" s="43"/>
      <c r="L5" s="42"/>
      <c r="M5" s="43"/>
      <c r="N5" s="42"/>
      <c r="O5" s="43"/>
      <c r="P5" s="43"/>
      <c r="Q5" s="43"/>
      <c r="R5" s="42"/>
      <c r="S5" s="43"/>
      <c r="T5" s="42"/>
      <c r="U5" s="43"/>
      <c r="V5" s="42"/>
      <c r="W5" s="61"/>
      <c r="X5" s="42"/>
      <c r="Y5" s="61"/>
    </row>
    <row r="6" spans="1:25">
      <c r="A6" s="1" t="s">
        <v>24</v>
      </c>
      <c r="B6" s="4"/>
      <c r="D6" s="21"/>
      <c r="E6" s="38" t="s">
        <v>20</v>
      </c>
      <c r="F6" s="42"/>
      <c r="G6" s="43"/>
      <c r="H6" s="42"/>
      <c r="I6" s="43"/>
      <c r="J6" s="42"/>
      <c r="K6" s="43"/>
      <c r="L6" s="42"/>
      <c r="M6" s="43"/>
      <c r="N6" s="42"/>
      <c r="O6" s="43"/>
      <c r="P6" s="43"/>
      <c r="Q6" s="43"/>
      <c r="R6" s="42"/>
      <c r="S6" s="43"/>
      <c r="T6" s="42"/>
      <c r="U6" s="43"/>
      <c r="V6" s="42"/>
      <c r="W6" s="61"/>
      <c r="X6" s="42"/>
      <c r="Y6" s="61"/>
    </row>
    <row r="7" spans="1:25">
      <c r="A7" s="1" t="s">
        <v>25</v>
      </c>
      <c r="B7" s="4"/>
      <c r="D7" s="21"/>
      <c r="E7" s="38" t="s">
        <v>0</v>
      </c>
      <c r="F7" s="42"/>
      <c r="G7" s="43"/>
      <c r="H7" s="42"/>
      <c r="I7" s="43"/>
      <c r="J7" s="42"/>
      <c r="K7" s="43"/>
      <c r="L7" s="42"/>
      <c r="M7" s="43"/>
      <c r="N7" s="42"/>
      <c r="O7" s="43"/>
      <c r="P7" s="43"/>
      <c r="Q7" s="43"/>
      <c r="R7" s="42"/>
      <c r="S7" s="43"/>
      <c r="T7" s="42"/>
      <c r="U7" s="43"/>
      <c r="V7" s="42"/>
      <c r="W7" s="61"/>
      <c r="X7" s="42"/>
      <c r="Y7" s="61"/>
    </row>
    <row r="8" spans="1:25">
      <c r="A8" s="1" t="s">
        <v>26</v>
      </c>
      <c r="B8" s="4"/>
      <c r="C8" s="17"/>
      <c r="D8" s="21"/>
      <c r="E8" s="38" t="s">
        <v>39</v>
      </c>
      <c r="F8" s="42"/>
      <c r="G8" s="43"/>
      <c r="H8" s="42"/>
      <c r="I8" s="43"/>
      <c r="J8" s="42"/>
      <c r="K8" s="43"/>
      <c r="L8" s="42"/>
      <c r="M8" s="43"/>
      <c r="N8" s="42"/>
      <c r="O8" s="43"/>
      <c r="P8" s="43"/>
      <c r="Q8" s="43"/>
      <c r="R8" s="42"/>
      <c r="S8" s="43"/>
      <c r="T8" s="42"/>
      <c r="U8" s="43"/>
      <c r="V8" s="42"/>
      <c r="W8" s="61"/>
      <c r="X8" s="42"/>
      <c r="Y8" s="61"/>
    </row>
    <row r="9" spans="1:25" ht="13.5" customHeight="1">
      <c r="A9" s="1" t="s">
        <v>27</v>
      </c>
      <c r="B9" s="4"/>
      <c r="C9" s="17"/>
      <c r="D9" s="21"/>
      <c r="E9" s="38" t="s">
        <v>273</v>
      </c>
      <c r="F9" s="42"/>
      <c r="G9" s="43"/>
      <c r="H9" s="42"/>
      <c r="I9" s="43"/>
      <c r="J9" s="42"/>
      <c r="K9" s="43"/>
      <c r="L9" s="42"/>
      <c r="M9" s="43"/>
      <c r="N9" s="42"/>
      <c r="O9" s="43"/>
      <c r="P9" s="43"/>
      <c r="Q9" s="43"/>
      <c r="R9" s="42"/>
      <c r="S9" s="43"/>
      <c r="T9" s="42"/>
      <c r="U9" s="43"/>
      <c r="V9" s="42"/>
      <c r="W9" s="61"/>
      <c r="X9" s="42"/>
      <c r="Y9" s="61"/>
    </row>
    <row r="10" spans="1:25">
      <c r="A10" s="1" t="s">
        <v>60</v>
      </c>
      <c r="B10" s="4"/>
      <c r="C10" s="17"/>
      <c r="D10" s="21"/>
      <c r="E10" s="38" t="s">
        <v>274</v>
      </c>
      <c r="F10" s="42"/>
      <c r="G10" s="43"/>
      <c r="H10" s="42"/>
      <c r="I10" s="43"/>
      <c r="J10" s="42"/>
      <c r="K10" s="43"/>
      <c r="L10" s="42"/>
      <c r="M10" s="43"/>
      <c r="N10" s="42"/>
      <c r="O10" s="43"/>
      <c r="P10" s="43"/>
      <c r="Q10" s="43"/>
      <c r="R10" s="42"/>
      <c r="S10" s="43"/>
      <c r="T10" s="42"/>
      <c r="U10" s="43"/>
      <c r="V10" s="42"/>
      <c r="W10" s="61"/>
      <c r="X10" s="42"/>
      <c r="Y10" s="61"/>
    </row>
    <row r="11" spans="1:25">
      <c r="A11" s="1" t="s">
        <v>61</v>
      </c>
      <c r="B11" s="4"/>
      <c r="E11" s="38" t="s">
        <v>275</v>
      </c>
      <c r="F11" s="42"/>
      <c r="G11" s="43"/>
      <c r="H11" s="42"/>
      <c r="I11" s="43"/>
      <c r="J11" s="42"/>
      <c r="K11" s="43"/>
      <c r="L11" s="42"/>
      <c r="M11" s="43"/>
      <c r="N11" s="42"/>
      <c r="O11" s="43"/>
      <c r="P11" s="43"/>
      <c r="Q11" s="43"/>
      <c r="R11" s="42"/>
      <c r="S11" s="43"/>
      <c r="T11" s="42"/>
      <c r="U11" s="43"/>
      <c r="V11" s="42"/>
      <c r="W11" s="61"/>
      <c r="X11" s="42"/>
      <c r="Y11" s="61"/>
    </row>
    <row r="12" spans="1:25">
      <c r="A12" s="1" t="s">
        <v>28</v>
      </c>
      <c r="B12" s="4"/>
      <c r="E12" s="38" t="s">
        <v>276</v>
      </c>
      <c r="F12" s="42"/>
      <c r="G12" s="43"/>
      <c r="H12" s="42"/>
      <c r="I12" s="43"/>
      <c r="J12" s="42"/>
      <c r="K12" s="43"/>
      <c r="L12" s="42"/>
      <c r="M12" s="43"/>
      <c r="N12" s="42"/>
      <c r="O12" s="43"/>
      <c r="P12" s="43"/>
      <c r="Q12" s="43"/>
      <c r="R12" s="42"/>
      <c r="S12" s="43"/>
      <c r="T12" s="42"/>
      <c r="U12" s="43"/>
      <c r="V12" s="42"/>
      <c r="W12" s="61"/>
      <c r="X12" s="42"/>
      <c r="Y12" s="61"/>
    </row>
    <row r="13" spans="1:25">
      <c r="A13" s="1" t="s">
        <v>29</v>
      </c>
      <c r="B13" s="4"/>
      <c r="E13" s="38" t="s">
        <v>277</v>
      </c>
      <c r="F13" s="42"/>
      <c r="G13" s="43"/>
      <c r="H13" s="42"/>
      <c r="I13" s="43"/>
      <c r="J13" s="42"/>
      <c r="K13" s="43"/>
      <c r="L13" s="42"/>
      <c r="M13" s="43"/>
      <c r="N13" s="42"/>
      <c r="O13" s="43"/>
      <c r="P13" s="43"/>
      <c r="Q13" s="43"/>
      <c r="R13" s="42"/>
      <c r="S13" s="43"/>
      <c r="T13" s="42"/>
      <c r="U13" s="43"/>
      <c r="V13" s="42"/>
      <c r="W13" s="61"/>
      <c r="X13" s="42"/>
      <c r="Y13" s="61"/>
    </row>
    <row r="14" spans="1:25">
      <c r="A14" s="1" t="s">
        <v>30</v>
      </c>
      <c r="B14" s="4"/>
    </row>
    <row r="15" spans="1:25">
      <c r="A15" s="1" t="s">
        <v>31</v>
      </c>
      <c r="B15" s="4"/>
    </row>
    <row r="16" spans="1:25">
      <c r="A16" s="1" t="s">
        <v>32</v>
      </c>
      <c r="B16" s="4"/>
    </row>
    <row r="17" spans="1:5">
      <c r="A17" s="1" t="s">
        <v>33</v>
      </c>
      <c r="B17" s="4"/>
    </row>
    <row r="18" spans="1:5">
      <c r="A18" s="1" t="s">
        <v>64</v>
      </c>
      <c r="B18" s="4"/>
    </row>
    <row r="19" spans="1:5" s="23" customFormat="1">
      <c r="A19" s="1" t="s">
        <v>62</v>
      </c>
      <c r="B19" s="25"/>
    </row>
    <row r="20" spans="1:5">
      <c r="A20" s="1" t="s">
        <v>34</v>
      </c>
      <c r="B20" s="4"/>
    </row>
    <row r="21" spans="1:5">
      <c r="A21" s="1" t="s">
        <v>35</v>
      </c>
      <c r="B21" s="4"/>
    </row>
    <row r="22" spans="1:5">
      <c r="A22" s="1" t="s">
        <v>36</v>
      </c>
      <c r="B22" s="4"/>
    </row>
    <row r="23" spans="1:5">
      <c r="A23" s="1" t="s">
        <v>37</v>
      </c>
      <c r="B23" s="4"/>
      <c r="E23" s="19"/>
    </row>
    <row r="24" spans="1:5">
      <c r="A24" s="1" t="s">
        <v>38</v>
      </c>
      <c r="B24" s="4"/>
    </row>
  </sheetData>
  <mergeCells count="7"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424" priority="22">
      <formula>$G5&lt;&gt;$F5</formula>
    </cfRule>
  </conditionalFormatting>
  <conditionalFormatting sqref="I5:I13">
    <cfRule type="expression" dxfId="423" priority="21">
      <formula>$I5&lt;&gt;$H5</formula>
    </cfRule>
  </conditionalFormatting>
  <conditionalFormatting sqref="K5:K13">
    <cfRule type="expression" dxfId="422" priority="20">
      <formula>$K5&lt;&gt;$J5</formula>
    </cfRule>
  </conditionalFormatting>
  <conditionalFormatting sqref="M5:M13">
    <cfRule type="expression" dxfId="421" priority="19">
      <formula>$M5&lt;&gt;$L5</formula>
    </cfRule>
  </conditionalFormatting>
  <conditionalFormatting sqref="O5:O13">
    <cfRule type="expression" dxfId="420" priority="18">
      <formula>$O5&lt;&gt;$N5</formula>
    </cfRule>
  </conditionalFormatting>
  <conditionalFormatting sqref="Q5:Q13">
    <cfRule type="expression" dxfId="419" priority="17">
      <formula>$Q5&lt;&gt;$P5</formula>
    </cfRule>
  </conditionalFormatting>
  <conditionalFormatting sqref="S5:S13">
    <cfRule type="expression" dxfId="418" priority="16">
      <formula>$S5&lt;&gt;$R5</formula>
    </cfRule>
  </conditionalFormatting>
  <conditionalFormatting sqref="U5:U13">
    <cfRule type="expression" dxfId="417" priority="15">
      <formula>$U5&lt;&gt;$T5</formula>
    </cfRule>
  </conditionalFormatting>
  <conditionalFormatting sqref="W5:W13">
    <cfRule type="expression" dxfId="416" priority="12">
      <formula>$W5&lt;&gt;$V5</formula>
    </cfRule>
  </conditionalFormatting>
  <conditionalFormatting sqref="Y5:Y13">
    <cfRule type="expression" dxfId="415" priority="11">
      <formula>$Y5&lt;&gt;$X5</formula>
    </cfRule>
  </conditionalFormatting>
  <conditionalFormatting sqref="G5:G13">
    <cfRule type="expression" dxfId="414" priority="10">
      <formula>ISBLANK($G5)</formula>
    </cfRule>
  </conditionalFormatting>
  <conditionalFormatting sqref="I5:I13">
    <cfRule type="expression" dxfId="413" priority="9">
      <formula>ISBLANK($I5)</formula>
    </cfRule>
  </conditionalFormatting>
  <conditionalFormatting sqref="K5:K13">
    <cfRule type="expression" dxfId="412" priority="8">
      <formula>ISBLANK($K5)</formula>
    </cfRule>
  </conditionalFormatting>
  <conditionalFormatting sqref="M5:M13">
    <cfRule type="expression" dxfId="411" priority="7">
      <formula>ISBLANK($M5)</formula>
    </cfRule>
  </conditionalFormatting>
  <conditionalFormatting sqref="O5:O13">
    <cfRule type="expression" dxfId="410" priority="6">
      <formula>ISBLANK($O5)</formula>
    </cfRule>
  </conditionalFormatting>
  <conditionalFormatting sqref="Q5:Q13">
    <cfRule type="expression" dxfId="409" priority="5">
      <formula>ISBLANK($Q5)</formula>
    </cfRule>
  </conditionalFormatting>
  <conditionalFormatting sqref="S5:S13">
    <cfRule type="expression" dxfId="408" priority="4">
      <formula>ISBLANK($S5)</formula>
    </cfRule>
  </conditionalFormatting>
  <conditionalFormatting sqref="U5:U13">
    <cfRule type="expression" dxfId="407" priority="3">
      <formula>ISBLANK($U5)</formula>
    </cfRule>
  </conditionalFormatting>
  <conditionalFormatting sqref="W5:W13">
    <cfRule type="expression" dxfId="406" priority="2">
      <formula>ISBLANK($W5)</formula>
    </cfRule>
  </conditionalFormatting>
  <conditionalFormatting sqref="Y5:Y13">
    <cfRule type="expression" dxfId="405" priority="1">
      <formula>ISBLANK($Y5)</formula>
    </cfRule>
  </conditionalFormatting>
  <pageMargins left="0.25" right="0.25" top="0.75" bottom="0.75" header="0.3" footer="0.3"/>
  <pageSetup scale="53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width="10.265625" style="8" bestFit="1" customWidth="1"/>
    <col min="2" max="2" width="40.1328125" style="9" bestFit="1" customWidth="1"/>
    <col min="3" max="5" width="9.1328125" style="2"/>
    <col min="6" max="6" width="9.1328125" style="23"/>
    <col min="7" max="7" width="9.1328125" style="2"/>
    <col min="8" max="8" width="9.3984375" style="2" bestFit="1" customWidth="1"/>
    <col min="9" max="15" width="9.1328125" style="2"/>
    <col min="16" max="16" width="9.1328125" style="23"/>
    <col min="17" max="16384" width="9.1328125" style="2"/>
  </cols>
  <sheetData>
    <row r="1" spans="1:16" ht="25.15" customHeight="1" thickBot="1">
      <c r="A1" s="236">
        <f>Common!B2</f>
        <v>0</v>
      </c>
      <c r="B1" s="237"/>
      <c r="C1" s="233" t="s">
        <v>19</v>
      </c>
      <c r="D1" s="234"/>
      <c r="E1" s="234"/>
      <c r="F1" s="234"/>
      <c r="G1" s="234"/>
      <c r="H1" s="234"/>
      <c r="I1" s="234"/>
      <c r="J1" s="234"/>
      <c r="K1" s="234"/>
      <c r="L1" s="234"/>
      <c r="M1" s="234"/>
      <c r="N1" s="234"/>
      <c r="O1" s="234"/>
      <c r="P1" s="235"/>
    </row>
    <row r="2" spans="1:16" ht="18" thickBot="1">
      <c r="A2" s="35"/>
      <c r="B2" s="16" t="s">
        <v>1</v>
      </c>
      <c r="C2" s="221">
        <v>1</v>
      </c>
      <c r="D2" s="222"/>
      <c r="E2" s="222"/>
      <c r="F2" s="222"/>
      <c r="G2" s="222"/>
      <c r="H2" s="223"/>
      <c r="I2" s="224">
        <v>2</v>
      </c>
      <c r="J2" s="225"/>
      <c r="K2" s="225"/>
      <c r="L2" s="226"/>
      <c r="M2" s="224">
        <v>3</v>
      </c>
      <c r="N2" s="225"/>
      <c r="O2" s="226"/>
      <c r="P2" s="74">
        <v>4</v>
      </c>
    </row>
    <row r="3" spans="1:16" ht="17.25">
      <c r="A3" s="205"/>
      <c r="B3" s="14" t="s">
        <v>460</v>
      </c>
      <c r="C3" s="208"/>
      <c r="D3" s="206"/>
      <c r="E3" s="206"/>
      <c r="F3" s="206"/>
      <c r="G3" s="206"/>
      <c r="H3" s="206"/>
      <c r="I3" s="206"/>
      <c r="J3" s="206"/>
      <c r="K3" s="206"/>
      <c r="L3" s="206"/>
      <c r="M3" s="206"/>
      <c r="N3" s="206"/>
      <c r="O3" s="206"/>
      <c r="P3" s="207"/>
    </row>
    <row r="4" spans="1:16" s="6" customFormat="1" ht="25.15" thickBot="1">
      <c r="A4" s="205"/>
      <c r="B4" s="11" t="s">
        <v>450</v>
      </c>
      <c r="C4" s="209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  <c r="O4" s="210"/>
      <c r="P4" s="211"/>
    </row>
    <row r="5" spans="1:16" ht="24.75">
      <c r="A5" s="205"/>
      <c r="B5" s="84" t="s">
        <v>461</v>
      </c>
      <c r="C5" s="212"/>
      <c r="D5" s="213"/>
      <c r="E5" s="213"/>
      <c r="F5" s="213"/>
      <c r="G5" s="213"/>
      <c r="H5" s="213"/>
      <c r="I5" s="213"/>
      <c r="J5" s="213"/>
      <c r="K5" s="213"/>
      <c r="L5" s="213"/>
      <c r="M5" s="213"/>
      <c r="N5" s="213"/>
      <c r="O5" s="213"/>
      <c r="P5" s="214"/>
    </row>
    <row r="6" spans="1:16" s="6" customFormat="1" ht="25.15" thickBot="1">
      <c r="A6" s="205"/>
      <c r="B6" s="85" t="s">
        <v>451</v>
      </c>
      <c r="C6" s="215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  <c r="O6" s="216"/>
      <c r="P6" s="217"/>
    </row>
    <row r="7" spans="1:16" ht="17.25">
      <c r="A7" s="205"/>
      <c r="B7" s="10" t="s">
        <v>462</v>
      </c>
      <c r="C7" s="230"/>
      <c r="D7" s="231"/>
      <c r="E7" s="231"/>
      <c r="F7" s="231"/>
      <c r="G7" s="231"/>
      <c r="H7" s="232"/>
      <c r="I7" s="231"/>
      <c r="J7" s="231"/>
      <c r="K7" s="231"/>
      <c r="L7" s="232"/>
      <c r="M7" s="230"/>
      <c r="N7" s="231"/>
      <c r="O7" s="232"/>
      <c r="P7" s="96"/>
    </row>
    <row r="8" spans="1:16" s="6" customFormat="1" ht="17.649999999999999" thickBot="1">
      <c r="A8" s="205"/>
      <c r="B8" s="11" t="s">
        <v>452</v>
      </c>
      <c r="C8" s="218"/>
      <c r="D8" s="219"/>
      <c r="E8" s="219"/>
      <c r="F8" s="219"/>
      <c r="G8" s="219"/>
      <c r="H8" s="220"/>
      <c r="I8" s="218"/>
      <c r="J8" s="219"/>
      <c r="K8" s="219"/>
      <c r="L8" s="220"/>
      <c r="M8" s="218"/>
      <c r="N8" s="219"/>
      <c r="O8" s="220"/>
      <c r="P8" s="97"/>
    </row>
    <row r="9" spans="1:16" ht="17.25">
      <c r="A9" s="205"/>
      <c r="B9" s="10" t="s">
        <v>2</v>
      </c>
      <c r="C9" s="208"/>
      <c r="D9" s="206"/>
      <c r="E9" s="206"/>
      <c r="F9" s="206"/>
      <c r="G9" s="206"/>
      <c r="H9" s="207"/>
      <c r="I9" s="206"/>
      <c r="J9" s="206"/>
      <c r="K9" s="206"/>
      <c r="L9" s="207"/>
      <c r="M9" s="208"/>
      <c r="N9" s="206"/>
      <c r="O9" s="207"/>
      <c r="P9" s="96"/>
    </row>
    <row r="10" spans="1:16" s="6" customFormat="1" ht="17.649999999999999" thickBot="1">
      <c r="A10" s="205"/>
      <c r="B10" s="12" t="s">
        <v>3</v>
      </c>
      <c r="C10" s="218"/>
      <c r="D10" s="219"/>
      <c r="E10" s="219"/>
      <c r="F10" s="219"/>
      <c r="G10" s="219"/>
      <c r="H10" s="220"/>
      <c r="I10" s="218"/>
      <c r="J10" s="219"/>
      <c r="K10" s="219"/>
      <c r="L10" s="220"/>
      <c r="M10" s="218"/>
      <c r="N10" s="219"/>
      <c r="O10" s="220"/>
      <c r="P10" s="97"/>
    </row>
    <row r="11" spans="1:16" ht="17.25">
      <c r="A11" s="205"/>
      <c r="B11" s="10" t="s">
        <v>470</v>
      </c>
      <c r="C11" s="208"/>
      <c r="D11" s="206"/>
      <c r="E11" s="206"/>
      <c r="F11" s="206"/>
      <c r="G11" s="206"/>
      <c r="H11" s="207"/>
      <c r="I11" s="206"/>
      <c r="J11" s="206"/>
      <c r="K11" s="206"/>
      <c r="L11" s="207"/>
      <c r="M11" s="208"/>
      <c r="N11" s="206"/>
      <c r="O11" s="207"/>
      <c r="P11" s="96"/>
    </row>
    <row r="12" spans="1:16" s="6" customFormat="1" ht="17.649999999999999" thickBot="1">
      <c r="A12" s="205"/>
      <c r="B12" s="12" t="s">
        <v>471</v>
      </c>
      <c r="C12" s="250"/>
      <c r="D12" s="251"/>
      <c r="E12" s="251"/>
      <c r="F12" s="251"/>
      <c r="G12" s="251"/>
      <c r="H12" s="252"/>
      <c r="I12" s="250"/>
      <c r="J12" s="251"/>
      <c r="K12" s="251"/>
      <c r="L12" s="252"/>
      <c r="M12" s="250"/>
      <c r="N12" s="251"/>
      <c r="O12" s="252"/>
      <c r="P12" s="97"/>
    </row>
    <row r="13" spans="1:16" ht="17.25">
      <c r="A13" s="205"/>
      <c r="B13" s="10" t="s">
        <v>4</v>
      </c>
      <c r="C13" s="208"/>
      <c r="D13" s="206"/>
      <c r="E13" s="206"/>
      <c r="F13" s="206"/>
      <c r="G13" s="206"/>
      <c r="H13" s="207"/>
      <c r="I13" s="206"/>
      <c r="J13" s="206"/>
      <c r="K13" s="206"/>
      <c r="L13" s="207"/>
      <c r="M13" s="208"/>
      <c r="N13" s="206"/>
      <c r="O13" s="207"/>
      <c r="P13" s="96"/>
    </row>
    <row r="14" spans="1:16" s="6" customFormat="1" ht="17.649999999999999" thickBot="1">
      <c r="A14" s="205"/>
      <c r="B14" s="12" t="s">
        <v>453</v>
      </c>
      <c r="C14" s="247"/>
      <c r="D14" s="248"/>
      <c r="E14" s="248"/>
      <c r="F14" s="248"/>
      <c r="G14" s="248"/>
      <c r="H14" s="249"/>
      <c r="I14" s="247"/>
      <c r="J14" s="248"/>
      <c r="K14" s="248"/>
      <c r="L14" s="249"/>
      <c r="M14" s="247"/>
      <c r="N14" s="248"/>
      <c r="O14" s="249"/>
      <c r="P14" s="98"/>
    </row>
    <row r="15" spans="1:16" ht="17.25">
      <c r="A15" s="205"/>
      <c r="B15" s="10" t="s">
        <v>463</v>
      </c>
      <c r="C15" s="208"/>
      <c r="D15" s="206"/>
      <c r="E15" s="206"/>
      <c r="F15" s="206"/>
      <c r="G15" s="206"/>
      <c r="H15" s="207"/>
      <c r="I15" s="206"/>
      <c r="J15" s="206"/>
      <c r="K15" s="206"/>
      <c r="L15" s="207"/>
      <c r="M15" s="208"/>
      <c r="N15" s="206"/>
      <c r="O15" s="207"/>
      <c r="P15" s="99"/>
    </row>
    <row r="16" spans="1:16" s="6" customFormat="1" ht="17.25">
      <c r="A16" s="205"/>
      <c r="B16" s="70" t="s">
        <v>454</v>
      </c>
      <c r="C16" s="238"/>
      <c r="D16" s="239"/>
      <c r="E16" s="239"/>
      <c r="F16" s="239"/>
      <c r="G16" s="239"/>
      <c r="H16" s="240"/>
      <c r="I16" s="241"/>
      <c r="J16" s="242"/>
      <c r="K16" s="242"/>
      <c r="L16" s="243"/>
      <c r="M16" s="244"/>
      <c r="N16" s="245"/>
      <c r="O16" s="246"/>
      <c r="P16" s="100"/>
    </row>
    <row r="17" spans="1:18" ht="17.25">
      <c r="A17" s="205"/>
      <c r="B17" s="86" t="s">
        <v>5</v>
      </c>
      <c r="C17" s="67" t="s">
        <v>6</v>
      </c>
      <c r="D17" s="67" t="s">
        <v>7</v>
      </c>
      <c r="E17" s="67" t="s">
        <v>8</v>
      </c>
      <c r="F17" s="67" t="s">
        <v>9</v>
      </c>
      <c r="G17" s="67" t="s">
        <v>10</v>
      </c>
      <c r="H17" s="67" t="s">
        <v>278</v>
      </c>
      <c r="I17" s="67" t="s">
        <v>6</v>
      </c>
      <c r="J17" s="67" t="s">
        <v>7</v>
      </c>
      <c r="K17" s="67" t="s">
        <v>8</v>
      </c>
      <c r="L17" s="67" t="s">
        <v>9</v>
      </c>
      <c r="M17" s="67" t="s">
        <v>6</v>
      </c>
      <c r="N17" s="67" t="s">
        <v>7</v>
      </c>
      <c r="O17" s="67" t="s">
        <v>8</v>
      </c>
      <c r="P17" s="78" t="s">
        <v>6</v>
      </c>
    </row>
    <row r="18" spans="1:18" s="23" customFormat="1" ht="17.25">
      <c r="A18" s="205"/>
      <c r="B18" s="86" t="s">
        <v>410</v>
      </c>
      <c r="C18" s="65"/>
      <c r="D18" s="66"/>
      <c r="E18" s="66"/>
      <c r="F18" s="66"/>
      <c r="G18" s="66"/>
      <c r="H18" s="67"/>
      <c r="I18" s="65"/>
      <c r="J18" s="66"/>
      <c r="K18" s="66"/>
      <c r="L18" s="67"/>
      <c r="M18" s="65"/>
      <c r="N18" s="66"/>
      <c r="O18" s="67"/>
      <c r="P18" s="79"/>
    </row>
    <row r="19" spans="1:18" s="23" customFormat="1" ht="17.25">
      <c r="A19" s="205"/>
      <c r="B19" s="87" t="s">
        <v>411</v>
      </c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</row>
    <row r="20" spans="1:18" ht="17.25">
      <c r="A20" s="205"/>
      <c r="B20" s="88" t="s">
        <v>58</v>
      </c>
      <c r="C20" s="63"/>
      <c r="D20" s="64"/>
      <c r="E20" s="64"/>
      <c r="F20" s="64"/>
      <c r="G20" s="64"/>
      <c r="H20" s="64"/>
      <c r="I20" s="63"/>
      <c r="J20" s="64"/>
      <c r="K20" s="64"/>
      <c r="L20" s="68"/>
      <c r="M20" s="69"/>
      <c r="N20" s="64"/>
      <c r="O20" s="68"/>
      <c r="P20" s="68"/>
    </row>
    <row r="21" spans="1:18" ht="17.649999999999999" thickBot="1">
      <c r="A21" s="205"/>
      <c r="B21" s="89" t="s">
        <v>59</v>
      </c>
      <c r="C21" s="44"/>
      <c r="D21" s="45"/>
      <c r="E21" s="45"/>
      <c r="F21" s="45"/>
      <c r="G21" s="45"/>
      <c r="H21" s="45"/>
      <c r="I21" s="45"/>
      <c r="J21" s="45"/>
      <c r="K21" s="45"/>
      <c r="L21" s="46"/>
      <c r="M21" s="47"/>
      <c r="N21" s="45"/>
      <c r="O21" s="44"/>
      <c r="P21" s="44"/>
      <c r="R21" s="19"/>
    </row>
    <row r="22" spans="1:18" s="6" customFormat="1" ht="17.649999999999999" thickBot="1">
      <c r="A22" s="205"/>
      <c r="B22" s="70" t="s">
        <v>469</v>
      </c>
      <c r="C22" s="48"/>
      <c r="D22" s="49"/>
      <c r="E22" s="49"/>
      <c r="F22" s="49"/>
      <c r="G22" s="49"/>
      <c r="H22" s="49"/>
      <c r="I22" s="49"/>
      <c r="J22" s="49"/>
      <c r="K22" s="49"/>
      <c r="L22" s="50"/>
      <c r="M22" s="51"/>
      <c r="N22" s="49"/>
      <c r="O22" s="52"/>
      <c r="P22" s="52"/>
    </row>
    <row r="23" spans="1:18" s="24" customFormat="1" ht="17.649999999999999" thickBot="1">
      <c r="A23" s="205"/>
      <c r="B23" s="70" t="s">
        <v>270</v>
      </c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</row>
    <row r="24" spans="1:18" ht="17.25">
      <c r="A24" s="205"/>
      <c r="B24" s="90" t="s">
        <v>11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</row>
    <row r="25" spans="1:18" s="6" customFormat="1" ht="17.649999999999999" thickBot="1">
      <c r="A25" s="205"/>
      <c r="B25" s="12" t="s">
        <v>12</v>
      </c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80"/>
    </row>
    <row r="26" spans="1:18" ht="17.25">
      <c r="A26" s="205"/>
      <c r="B26" s="10" t="s">
        <v>13</v>
      </c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</row>
    <row r="27" spans="1:18" s="6" customFormat="1" ht="17.649999999999999" thickBot="1">
      <c r="A27" s="205"/>
      <c r="B27" s="91" t="s">
        <v>14</v>
      </c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</row>
    <row r="28" spans="1:18" ht="17.25">
      <c r="A28" s="205"/>
      <c r="B28" s="90" t="s">
        <v>15</v>
      </c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</row>
    <row r="29" spans="1:18" s="6" customFormat="1" ht="17.649999999999999" thickBot="1">
      <c r="A29" s="205"/>
      <c r="B29" s="11" t="s">
        <v>16</v>
      </c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80"/>
    </row>
    <row r="30" spans="1:18" ht="17.25">
      <c r="A30" s="205"/>
      <c r="B30" s="10" t="s">
        <v>464</v>
      </c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</row>
    <row r="31" spans="1:18" s="6" customFormat="1" ht="17.649999999999999" thickBot="1">
      <c r="A31" s="205"/>
      <c r="B31" s="91" t="s">
        <v>455</v>
      </c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81"/>
    </row>
    <row r="32" spans="1:18" ht="17.25">
      <c r="A32" s="205"/>
      <c r="B32" s="90" t="s">
        <v>465</v>
      </c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</row>
    <row r="33" spans="1:21" s="6" customFormat="1" ht="17.649999999999999" thickBot="1">
      <c r="A33" s="205"/>
      <c r="B33" s="91" t="s">
        <v>456</v>
      </c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80"/>
    </row>
    <row r="34" spans="1:21" ht="17.25">
      <c r="A34" s="205"/>
      <c r="B34" s="29" t="s">
        <v>466</v>
      </c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U34" s="24"/>
    </row>
    <row r="35" spans="1:21" s="6" customFormat="1" ht="17.649999999999999" thickBot="1">
      <c r="A35" s="205"/>
      <c r="B35" s="30" t="s">
        <v>457</v>
      </c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80"/>
      <c r="U35" s="23"/>
    </row>
    <row r="36" spans="1:21" ht="17.25">
      <c r="A36" s="205"/>
      <c r="B36" s="13" t="s">
        <v>17</v>
      </c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</row>
    <row r="37" spans="1:21" s="6" customFormat="1" ht="17.649999999999999" thickBot="1">
      <c r="A37" s="205"/>
      <c r="B37" s="30" t="s">
        <v>18</v>
      </c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80"/>
    </row>
    <row r="38" spans="1:21" ht="17.25">
      <c r="A38" s="205"/>
      <c r="B38" s="13" t="s">
        <v>467</v>
      </c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</row>
    <row r="39" spans="1:21" s="6" customFormat="1" ht="17.649999999999999" thickBot="1">
      <c r="A39" s="205"/>
      <c r="B39" s="30" t="s">
        <v>458</v>
      </c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80"/>
    </row>
    <row r="40" spans="1:21" ht="17.25">
      <c r="A40" s="205"/>
      <c r="B40" s="13" t="s">
        <v>468</v>
      </c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</row>
    <row r="41" spans="1:21" s="6" customFormat="1" ht="17.649999999999999" thickBot="1">
      <c r="A41" s="205"/>
      <c r="B41" s="31" t="s">
        <v>459</v>
      </c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80"/>
    </row>
    <row r="42" spans="1:21" ht="12.75" customHeight="1">
      <c r="A42" s="227" t="s">
        <v>63</v>
      </c>
      <c r="B42" s="196"/>
      <c r="C42" s="197"/>
      <c r="D42" s="197"/>
      <c r="E42" s="197"/>
      <c r="F42" s="197"/>
      <c r="G42" s="197"/>
      <c r="H42" s="197"/>
      <c r="I42" s="197"/>
      <c r="J42" s="197"/>
      <c r="K42" s="197"/>
      <c r="L42" s="197"/>
      <c r="M42" s="197"/>
      <c r="N42" s="197"/>
      <c r="O42" s="197"/>
      <c r="P42" s="198"/>
      <c r="Q42" s="6"/>
      <c r="R42" s="6"/>
      <c r="S42" s="6"/>
    </row>
    <row r="43" spans="1:21" ht="13.15" customHeight="1">
      <c r="A43" s="228"/>
      <c r="B43" s="199"/>
      <c r="C43" s="200"/>
      <c r="D43" s="200"/>
      <c r="E43" s="200"/>
      <c r="F43" s="200"/>
      <c r="G43" s="200"/>
      <c r="H43" s="200"/>
      <c r="I43" s="200"/>
      <c r="J43" s="200"/>
      <c r="K43" s="200"/>
      <c r="L43" s="200"/>
      <c r="M43" s="200"/>
      <c r="N43" s="200"/>
      <c r="O43" s="200"/>
      <c r="P43" s="201"/>
      <c r="Q43" s="24"/>
      <c r="R43" s="6"/>
      <c r="S43" s="6"/>
    </row>
    <row r="44" spans="1:21" ht="13.15" customHeight="1">
      <c r="A44" s="228"/>
      <c r="B44" s="199"/>
      <c r="C44" s="200"/>
      <c r="D44" s="200"/>
      <c r="E44" s="200"/>
      <c r="F44" s="200"/>
      <c r="G44" s="200"/>
      <c r="H44" s="200"/>
      <c r="I44" s="200"/>
      <c r="J44" s="200"/>
      <c r="K44" s="200"/>
      <c r="L44" s="200"/>
      <c r="M44" s="200"/>
      <c r="N44" s="200"/>
      <c r="O44" s="200"/>
      <c r="P44" s="201"/>
      <c r="Q44" s="6"/>
      <c r="R44" s="6"/>
      <c r="S44" s="6"/>
    </row>
    <row r="45" spans="1:21" ht="13.9" customHeight="1" thickBot="1">
      <c r="A45" s="229"/>
      <c r="B45" s="202"/>
      <c r="C45" s="203"/>
      <c r="D45" s="203"/>
      <c r="E45" s="203"/>
      <c r="F45" s="203"/>
      <c r="G45" s="203"/>
      <c r="H45" s="203"/>
      <c r="I45" s="203"/>
      <c r="J45" s="203"/>
      <c r="K45" s="203"/>
      <c r="L45" s="203"/>
      <c r="M45" s="203"/>
      <c r="N45" s="203"/>
      <c r="O45" s="203"/>
      <c r="P45" s="204"/>
      <c r="Q45" s="6"/>
      <c r="R45" s="6"/>
      <c r="S45" s="6"/>
    </row>
    <row r="46" spans="1:21">
      <c r="G46" s="23"/>
    </row>
  </sheetData>
  <mergeCells count="44"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</mergeCells>
  <conditionalFormatting sqref="C22:E22 C4 H22:O22">
    <cfRule type="cellIs" dxfId="404" priority="143" operator="greaterThan">
      <formula>0</formula>
    </cfRule>
  </conditionalFormatting>
  <conditionalFormatting sqref="C21:E21 H21:O21">
    <cfRule type="expression" dxfId="403" priority="122">
      <formula>ISERROR(C21)</formula>
    </cfRule>
  </conditionalFormatting>
  <conditionalFormatting sqref="C21:E21 H21:O21">
    <cfRule type="cellIs" dxfId="402" priority="121" operator="equal">
      <formula>0</formula>
    </cfRule>
  </conditionalFormatting>
  <conditionalFormatting sqref="C21:E21 H21:O21">
    <cfRule type="cellIs" dxfId="401" priority="120" operator="greaterThan">
      <formula>0</formula>
    </cfRule>
  </conditionalFormatting>
  <conditionalFormatting sqref="C27:O27 D29:O29 D33:O33">
    <cfRule type="cellIs" dxfId="40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399" priority="113">
      <formula>ISBLANK(C8)</formula>
    </cfRule>
  </conditionalFormatting>
  <conditionalFormatting sqref="C29">
    <cfRule type="cellIs" dxfId="398" priority="115" operator="notEqual">
      <formula>VALUE(C28)</formula>
    </cfRule>
  </conditionalFormatting>
  <conditionalFormatting sqref="C29">
    <cfRule type="expression" dxfId="397" priority="114">
      <formula>ISBLANK(C29)</formula>
    </cfRule>
  </conditionalFormatting>
  <conditionalFormatting sqref="C8:O8 C10:O10 C12:O12 C14:O14 C16:O16 C31:O31 D35:O35 D37:O37 D25:O25 D39:O39 D41:O41">
    <cfRule type="cellIs" dxfId="396" priority="118" operator="notEqual">
      <formula>C7</formula>
    </cfRule>
  </conditionalFormatting>
  <conditionalFormatting sqref="C31">
    <cfRule type="expression" dxfId="395" priority="112">
      <formula>ISBLANK(C31)</formula>
    </cfRule>
  </conditionalFormatting>
  <conditionalFormatting sqref="C33">
    <cfRule type="cellIs" dxfId="394" priority="111" operator="notEqual">
      <formula>VALUE(C32)</formula>
    </cfRule>
  </conditionalFormatting>
  <conditionalFormatting sqref="C33">
    <cfRule type="expression" dxfId="393" priority="110">
      <formula>ISBLANK(C33)</formula>
    </cfRule>
  </conditionalFormatting>
  <conditionalFormatting sqref="C35">
    <cfRule type="cellIs" dxfId="392" priority="107" operator="notEqual">
      <formula>C34</formula>
    </cfRule>
  </conditionalFormatting>
  <conditionalFormatting sqref="C35">
    <cfRule type="expression" dxfId="391" priority="106">
      <formula>ISBLANK(C35)</formula>
    </cfRule>
  </conditionalFormatting>
  <conditionalFormatting sqref="C37">
    <cfRule type="cellIs" dxfId="390" priority="99" operator="notEqual">
      <formula>C36</formula>
    </cfRule>
  </conditionalFormatting>
  <conditionalFormatting sqref="C37">
    <cfRule type="expression" dxfId="389" priority="98">
      <formula>ISBLANK(C37)</formula>
    </cfRule>
  </conditionalFormatting>
  <conditionalFormatting sqref="C6">
    <cfRule type="expression" dxfId="388" priority="89">
      <formula>ISBLANK(C6)</formula>
    </cfRule>
    <cfRule type="cellIs" dxfId="387" priority="90" operator="notEqual">
      <formula>C5</formula>
    </cfRule>
  </conditionalFormatting>
  <conditionalFormatting sqref="C25">
    <cfRule type="cellIs" dxfId="386" priority="78" operator="notEqual">
      <formula>C24</formula>
    </cfRule>
  </conditionalFormatting>
  <conditionalFormatting sqref="C25">
    <cfRule type="expression" dxfId="385" priority="77">
      <formula>ISBLANK(C25)</formula>
    </cfRule>
  </conditionalFormatting>
  <conditionalFormatting sqref="C39">
    <cfRule type="cellIs" dxfId="384" priority="68" operator="notEqual">
      <formula>C38</formula>
    </cfRule>
  </conditionalFormatting>
  <conditionalFormatting sqref="C39">
    <cfRule type="expression" dxfId="383" priority="67">
      <formula>ISBLANK(C39)</formula>
    </cfRule>
  </conditionalFormatting>
  <conditionalFormatting sqref="C41">
    <cfRule type="cellIs" dxfId="382" priority="66" operator="notEqual">
      <formula>C40</formula>
    </cfRule>
  </conditionalFormatting>
  <conditionalFormatting sqref="C41">
    <cfRule type="expression" dxfId="381" priority="65">
      <formula>ISBLANK(C41)</formula>
    </cfRule>
  </conditionalFormatting>
  <conditionalFormatting sqref="C24:O41">
    <cfRule type="expression" dxfId="380" priority="64" stopIfTrue="1">
      <formula>OR(C$22="Free",C$22="Telenor",C$22="Mtel",C$22="Telenor&amp;Mtel")</formula>
    </cfRule>
  </conditionalFormatting>
  <conditionalFormatting sqref="F22:G22">
    <cfRule type="cellIs" dxfId="379" priority="22" operator="greaterThan">
      <formula>0</formula>
    </cfRule>
  </conditionalFormatting>
  <conditionalFormatting sqref="F21:G21">
    <cfRule type="expression" dxfId="378" priority="21">
      <formula>ISERROR(F21)</formula>
    </cfRule>
  </conditionalFormatting>
  <conditionalFormatting sqref="F21:G21">
    <cfRule type="cellIs" dxfId="377" priority="20" operator="equal">
      <formula>0</formula>
    </cfRule>
  </conditionalFormatting>
  <conditionalFormatting sqref="F21:G21">
    <cfRule type="cellIs" dxfId="376" priority="19" operator="greaterThan">
      <formula>0</formula>
    </cfRule>
  </conditionalFormatting>
  <conditionalFormatting sqref="P22">
    <cfRule type="cellIs" dxfId="375" priority="18" operator="greaterThan">
      <formula>0</formula>
    </cfRule>
  </conditionalFormatting>
  <conditionalFormatting sqref="P21">
    <cfRule type="expression" dxfId="374" priority="17">
      <formula>ISERROR(P21)</formula>
    </cfRule>
  </conditionalFormatting>
  <conditionalFormatting sqref="P21">
    <cfRule type="cellIs" dxfId="373" priority="16" operator="equal">
      <formula>0</formula>
    </cfRule>
  </conditionalFormatting>
  <conditionalFormatting sqref="P21">
    <cfRule type="cellIs" dxfId="372" priority="15" operator="greaterThan">
      <formula>0</formula>
    </cfRule>
  </conditionalFormatting>
  <conditionalFormatting sqref="P27 P29 P33">
    <cfRule type="cellIs" dxfId="371" priority="14" operator="notEqual">
      <formula>VALUE(P26)</formula>
    </cfRule>
  </conditionalFormatting>
  <conditionalFormatting sqref="P8 P10 P12 P14 P16 P27 P29 P31 P33 P35 P37 P25 P39 P41">
    <cfRule type="expression" dxfId="370" priority="12">
      <formula>ISBLANK(P8)</formula>
    </cfRule>
  </conditionalFormatting>
  <conditionalFormatting sqref="P8 P10 P12 P14 P16 P31 P35 P37 P25 P39 P41">
    <cfRule type="cellIs" dxfId="369" priority="13" operator="notEqual">
      <formula>P7</formula>
    </cfRule>
  </conditionalFormatting>
  <conditionalFormatting sqref="P24:P41">
    <cfRule type="expression" dxfId="368" priority="9" stopIfTrue="1">
      <formula>OR(P$22="Free",P$22="Telenor",P$22="Mtel",P$22="Telenor&amp;Mtel")</formula>
    </cfRule>
  </conditionalFormatting>
  <conditionalFormatting sqref="C19">
    <cfRule type="cellIs" dxfId="367" priority="6" operator="equal">
      <formula>0</formula>
    </cfRule>
    <cfRule type="expression" dxfId="366" priority="8">
      <formula>ISERROR(C19)</formula>
    </cfRule>
  </conditionalFormatting>
  <conditionalFormatting sqref="D19:P19">
    <cfRule type="cellIs" dxfId="365" priority="4" operator="equal">
      <formula>0</formula>
    </cfRule>
    <cfRule type="expression" dxfId="364" priority="5">
      <formula>ISERROR(D19)</formula>
    </cfRule>
  </conditionalFormatting>
  <conditionalFormatting sqref="C23:P23">
    <cfRule type="cellIs" dxfId="363" priority="3" operator="notEqual">
      <formula>C22</formula>
    </cfRule>
  </conditionalFormatting>
  <conditionalFormatting sqref="C23:P23">
    <cfRule type="expression" dxfId="362" priority="2">
      <formula>ISBLANK(C23)</formula>
    </cfRule>
  </conditionalFormatting>
  <conditionalFormatting sqref="C23:P23">
    <cfRule type="expression" dxfId="361" priority="1" stopIfTrue="1">
      <formula>OR(C$22="Free",C$22="Telenor",C$22="Mtel",C$22="Telenor&amp;Mtel")</formula>
    </cfRule>
  </conditionalFormatting>
  <pageMargins left="0.25" right="0.25" top="0.75" bottom="0.75" header="0.3" footer="0.3"/>
  <pageSetup paperSize="9" scale="56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width="10.265625" style="8" bestFit="1" customWidth="1"/>
    <col min="2" max="2" width="40.1328125" style="9" bestFit="1" customWidth="1"/>
    <col min="3" max="7" width="9.1328125" style="23"/>
    <col min="8" max="8" width="9.3984375" style="23" bestFit="1" customWidth="1"/>
    <col min="9" max="16384" width="9.1328125" style="23"/>
  </cols>
  <sheetData>
    <row r="1" spans="1:16" ht="25.15" customHeight="1" thickBot="1">
      <c r="A1" s="236">
        <f>Common!B2</f>
        <v>0</v>
      </c>
      <c r="B1" s="237"/>
      <c r="C1" s="253" t="s">
        <v>20</v>
      </c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5"/>
    </row>
    <row r="2" spans="1:16" ht="18" thickBot="1">
      <c r="A2" s="35"/>
      <c r="B2" s="16" t="s">
        <v>1</v>
      </c>
      <c r="C2" s="221">
        <v>1</v>
      </c>
      <c r="D2" s="260"/>
      <c r="E2" s="260"/>
      <c r="F2" s="260"/>
      <c r="G2" s="260"/>
      <c r="H2" s="223"/>
      <c r="I2" s="261">
        <v>2</v>
      </c>
      <c r="J2" s="262"/>
      <c r="K2" s="262"/>
      <c r="L2" s="263"/>
      <c r="M2" s="261">
        <v>3</v>
      </c>
      <c r="N2" s="262"/>
      <c r="O2" s="264"/>
      <c r="P2" s="74">
        <v>4</v>
      </c>
    </row>
    <row r="3" spans="1:16" ht="17.25">
      <c r="A3" s="205"/>
      <c r="B3" s="14" t="s">
        <v>460</v>
      </c>
      <c r="C3" s="230"/>
      <c r="D3" s="231"/>
      <c r="E3" s="231"/>
      <c r="F3" s="231"/>
      <c r="G3" s="231"/>
      <c r="H3" s="231"/>
      <c r="I3" s="231"/>
      <c r="J3" s="231"/>
      <c r="K3" s="231"/>
      <c r="L3" s="231"/>
      <c r="M3" s="231"/>
      <c r="N3" s="231"/>
      <c r="O3" s="231"/>
      <c r="P3" s="232"/>
    </row>
    <row r="4" spans="1:16" s="24" customFormat="1" ht="25.15" thickBot="1">
      <c r="A4" s="205"/>
      <c r="B4" s="11" t="s">
        <v>450</v>
      </c>
      <c r="C4" s="215"/>
      <c r="D4" s="216"/>
      <c r="E4" s="216"/>
      <c r="F4" s="216"/>
      <c r="G4" s="216"/>
      <c r="H4" s="216"/>
      <c r="I4" s="216"/>
      <c r="J4" s="216"/>
      <c r="K4" s="216"/>
      <c r="L4" s="216"/>
      <c r="M4" s="216"/>
      <c r="N4" s="216"/>
      <c r="O4" s="216"/>
      <c r="P4" s="217"/>
    </row>
    <row r="5" spans="1:16" ht="24.75">
      <c r="A5" s="205"/>
      <c r="B5" s="15" t="s">
        <v>461</v>
      </c>
      <c r="C5" s="212"/>
      <c r="D5" s="213"/>
      <c r="E5" s="213"/>
      <c r="F5" s="213"/>
      <c r="G5" s="213"/>
      <c r="H5" s="213"/>
      <c r="I5" s="213"/>
      <c r="J5" s="213"/>
      <c r="K5" s="213"/>
      <c r="L5" s="213"/>
      <c r="M5" s="213"/>
      <c r="N5" s="213"/>
      <c r="O5" s="213"/>
      <c r="P5" s="214"/>
    </row>
    <row r="6" spans="1:16" s="24" customFormat="1" ht="25.15" thickBot="1">
      <c r="A6" s="205"/>
      <c r="B6" s="34" t="s">
        <v>451</v>
      </c>
      <c r="C6" s="256"/>
      <c r="D6" s="257"/>
      <c r="E6" s="257"/>
      <c r="F6" s="257"/>
      <c r="G6" s="257"/>
      <c r="H6" s="257"/>
      <c r="I6" s="257"/>
      <c r="J6" s="257"/>
      <c r="K6" s="257"/>
      <c r="L6" s="257"/>
      <c r="M6" s="257"/>
      <c r="N6" s="257"/>
      <c r="O6" s="257"/>
      <c r="P6" s="258"/>
    </row>
    <row r="7" spans="1:16" ht="17.25">
      <c r="A7" s="205"/>
      <c r="B7" s="10" t="s">
        <v>462</v>
      </c>
      <c r="C7" s="230"/>
      <c r="D7" s="231"/>
      <c r="E7" s="231"/>
      <c r="F7" s="231"/>
      <c r="G7" s="231"/>
      <c r="H7" s="232"/>
      <c r="I7" s="231"/>
      <c r="J7" s="231"/>
      <c r="K7" s="231"/>
      <c r="L7" s="232"/>
      <c r="M7" s="231"/>
      <c r="N7" s="231"/>
      <c r="O7" s="232"/>
      <c r="P7" s="92"/>
    </row>
    <row r="8" spans="1:16" s="24" customFormat="1" ht="17.649999999999999" thickBot="1">
      <c r="A8" s="205"/>
      <c r="B8" s="11" t="s">
        <v>452</v>
      </c>
      <c r="C8" s="218"/>
      <c r="D8" s="219"/>
      <c r="E8" s="219"/>
      <c r="F8" s="219"/>
      <c r="G8" s="219"/>
      <c r="H8" s="220"/>
      <c r="I8" s="218"/>
      <c r="J8" s="219"/>
      <c r="K8" s="219"/>
      <c r="L8" s="220"/>
      <c r="M8" s="218"/>
      <c r="N8" s="219"/>
      <c r="O8" s="220"/>
      <c r="P8" s="93"/>
    </row>
    <row r="9" spans="1:16" ht="17.25">
      <c r="A9" s="205"/>
      <c r="B9" s="10" t="s">
        <v>2</v>
      </c>
      <c r="C9" s="208"/>
      <c r="D9" s="206"/>
      <c r="E9" s="206"/>
      <c r="F9" s="206"/>
      <c r="G9" s="206"/>
      <c r="H9" s="207"/>
      <c r="I9" s="206"/>
      <c r="J9" s="206"/>
      <c r="K9" s="206"/>
      <c r="L9" s="207"/>
      <c r="M9" s="206"/>
      <c r="N9" s="206"/>
      <c r="O9" s="207"/>
      <c r="P9" s="92"/>
    </row>
    <row r="10" spans="1:16" s="24" customFormat="1" ht="17.649999999999999" thickBot="1">
      <c r="A10" s="205"/>
      <c r="B10" s="12" t="s">
        <v>3</v>
      </c>
      <c r="C10" s="218"/>
      <c r="D10" s="219"/>
      <c r="E10" s="219"/>
      <c r="F10" s="219"/>
      <c r="G10" s="219"/>
      <c r="H10" s="220"/>
      <c r="I10" s="218"/>
      <c r="J10" s="219"/>
      <c r="K10" s="219"/>
      <c r="L10" s="220"/>
      <c r="M10" s="218"/>
      <c r="N10" s="219"/>
      <c r="O10" s="220"/>
      <c r="P10" s="93"/>
    </row>
    <row r="11" spans="1:16" ht="17.25">
      <c r="A11" s="205"/>
      <c r="B11" s="10" t="s">
        <v>470</v>
      </c>
      <c r="C11" s="208"/>
      <c r="D11" s="206"/>
      <c r="E11" s="206"/>
      <c r="F11" s="206"/>
      <c r="G11" s="206"/>
      <c r="H11" s="207"/>
      <c r="I11" s="206"/>
      <c r="J11" s="206"/>
      <c r="K11" s="206"/>
      <c r="L11" s="207"/>
      <c r="M11" s="206"/>
      <c r="N11" s="206"/>
      <c r="O11" s="207"/>
      <c r="P11" s="92"/>
    </row>
    <row r="12" spans="1:16" s="24" customFormat="1" ht="17.649999999999999" thickBot="1">
      <c r="A12" s="205"/>
      <c r="B12" s="12" t="s">
        <v>471</v>
      </c>
      <c r="C12" s="250"/>
      <c r="D12" s="251"/>
      <c r="E12" s="251"/>
      <c r="F12" s="251"/>
      <c r="G12" s="251"/>
      <c r="H12" s="252"/>
      <c r="I12" s="250"/>
      <c r="J12" s="251"/>
      <c r="K12" s="251"/>
      <c r="L12" s="252"/>
      <c r="M12" s="250"/>
      <c r="N12" s="251"/>
      <c r="O12" s="252"/>
      <c r="P12" s="93"/>
    </row>
    <row r="13" spans="1:16" ht="17.25">
      <c r="A13" s="205"/>
      <c r="B13" s="10" t="s">
        <v>4</v>
      </c>
      <c r="C13" s="208"/>
      <c r="D13" s="206"/>
      <c r="E13" s="206"/>
      <c r="F13" s="206"/>
      <c r="G13" s="206"/>
      <c r="H13" s="207"/>
      <c r="I13" s="206"/>
      <c r="J13" s="206"/>
      <c r="K13" s="206"/>
      <c r="L13" s="207"/>
      <c r="M13" s="206"/>
      <c r="N13" s="206"/>
      <c r="O13" s="207"/>
      <c r="P13" s="92"/>
    </row>
    <row r="14" spans="1:16" s="24" customFormat="1" ht="17.649999999999999" thickBot="1">
      <c r="A14" s="205"/>
      <c r="B14" s="12" t="s">
        <v>453</v>
      </c>
      <c r="C14" s="247"/>
      <c r="D14" s="248"/>
      <c r="E14" s="248"/>
      <c r="F14" s="248"/>
      <c r="G14" s="248"/>
      <c r="H14" s="249"/>
      <c r="I14" s="247"/>
      <c r="J14" s="248"/>
      <c r="K14" s="248"/>
      <c r="L14" s="249"/>
      <c r="M14" s="247"/>
      <c r="N14" s="248"/>
      <c r="O14" s="249"/>
      <c r="P14" s="94"/>
    </row>
    <row r="15" spans="1:16" ht="17.25">
      <c r="A15" s="205"/>
      <c r="B15" s="10" t="s">
        <v>463</v>
      </c>
      <c r="C15" s="208"/>
      <c r="D15" s="206"/>
      <c r="E15" s="206"/>
      <c r="F15" s="206"/>
      <c r="G15" s="206"/>
      <c r="H15" s="207"/>
      <c r="I15" s="206"/>
      <c r="J15" s="206"/>
      <c r="K15" s="206"/>
      <c r="L15" s="207"/>
      <c r="M15" s="206"/>
      <c r="N15" s="206"/>
      <c r="O15" s="207"/>
      <c r="P15" s="95"/>
    </row>
    <row r="16" spans="1:16" s="24" customFormat="1" ht="17.25">
      <c r="A16" s="205"/>
      <c r="B16" s="70" t="s">
        <v>454</v>
      </c>
      <c r="C16" s="238"/>
      <c r="D16" s="239"/>
      <c r="E16" s="239"/>
      <c r="F16" s="239"/>
      <c r="G16" s="239"/>
      <c r="H16" s="240"/>
      <c r="I16" s="241"/>
      <c r="J16" s="242"/>
      <c r="K16" s="242"/>
      <c r="L16" s="243"/>
      <c r="M16" s="241"/>
      <c r="N16" s="242"/>
      <c r="O16" s="243"/>
      <c r="P16" s="77"/>
    </row>
    <row r="17" spans="1:18" ht="17.25">
      <c r="A17" s="259"/>
      <c r="B17" s="72" t="s">
        <v>5</v>
      </c>
      <c r="C17" s="67" t="s">
        <v>6</v>
      </c>
      <c r="D17" s="67" t="s">
        <v>7</v>
      </c>
      <c r="E17" s="67" t="s">
        <v>8</v>
      </c>
      <c r="F17" s="67" t="s">
        <v>9</v>
      </c>
      <c r="G17" s="67" t="s">
        <v>10</v>
      </c>
      <c r="H17" s="67" t="s">
        <v>278</v>
      </c>
      <c r="I17" s="67" t="s">
        <v>6</v>
      </c>
      <c r="J17" s="67" t="s">
        <v>7</v>
      </c>
      <c r="K17" s="67" t="s">
        <v>8</v>
      </c>
      <c r="L17" s="67" t="s">
        <v>9</v>
      </c>
      <c r="M17" s="67" t="s">
        <v>6</v>
      </c>
      <c r="N17" s="67" t="s">
        <v>7</v>
      </c>
      <c r="O17" s="67" t="s">
        <v>8</v>
      </c>
      <c r="P17" s="78" t="s">
        <v>6</v>
      </c>
    </row>
    <row r="18" spans="1:18" ht="17.25">
      <c r="A18" s="259"/>
      <c r="B18" s="72" t="s">
        <v>410</v>
      </c>
      <c r="C18" s="65"/>
      <c r="D18" s="66"/>
      <c r="E18" s="66"/>
      <c r="F18" s="66"/>
      <c r="G18" s="66"/>
      <c r="H18" s="67"/>
      <c r="I18" s="65"/>
      <c r="J18" s="66"/>
      <c r="K18" s="66"/>
      <c r="L18" s="67"/>
      <c r="M18" s="65"/>
      <c r="N18" s="66"/>
      <c r="O18" s="67"/>
      <c r="P18" s="79"/>
    </row>
    <row r="19" spans="1:18" ht="17.25">
      <c r="A19" s="259"/>
      <c r="B19" s="73" t="s">
        <v>411</v>
      </c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</row>
    <row r="20" spans="1:18" ht="17.25">
      <c r="A20" s="205"/>
      <c r="B20" s="71" t="s">
        <v>58</v>
      </c>
      <c r="C20" s="63"/>
      <c r="D20" s="64"/>
      <c r="E20" s="64"/>
      <c r="F20" s="64"/>
      <c r="G20" s="64"/>
      <c r="H20" s="64"/>
      <c r="I20" s="63"/>
      <c r="J20" s="64"/>
      <c r="K20" s="64"/>
      <c r="L20" s="68"/>
      <c r="M20" s="69"/>
      <c r="N20" s="64"/>
      <c r="O20" s="68"/>
      <c r="P20" s="68"/>
    </row>
    <row r="21" spans="1:18" ht="17.649999999999999" thickBot="1">
      <c r="A21" s="205"/>
      <c r="B21" s="20" t="s">
        <v>59</v>
      </c>
      <c r="C21" s="44"/>
      <c r="D21" s="45"/>
      <c r="E21" s="45"/>
      <c r="F21" s="45"/>
      <c r="G21" s="45"/>
      <c r="H21" s="45"/>
      <c r="I21" s="45"/>
      <c r="J21" s="45"/>
      <c r="K21" s="45"/>
      <c r="L21" s="46"/>
      <c r="M21" s="47"/>
      <c r="N21" s="45"/>
      <c r="O21" s="44"/>
      <c r="P21" s="44"/>
      <c r="R21" s="19"/>
    </row>
    <row r="22" spans="1:18" s="24" customFormat="1" ht="17.649999999999999" thickBot="1">
      <c r="A22" s="205"/>
      <c r="B22" s="30" t="s">
        <v>469</v>
      </c>
      <c r="C22" s="48"/>
      <c r="D22" s="49"/>
      <c r="E22" s="49"/>
      <c r="F22" s="49"/>
      <c r="G22" s="49"/>
      <c r="H22" s="49"/>
      <c r="I22" s="49"/>
      <c r="J22" s="49"/>
      <c r="K22" s="49"/>
      <c r="L22" s="50"/>
      <c r="M22" s="51"/>
      <c r="N22" s="49"/>
      <c r="O22" s="52"/>
      <c r="P22" s="52"/>
    </row>
    <row r="23" spans="1:18" s="24" customFormat="1" ht="17.649999999999999" thickBot="1">
      <c r="A23" s="205"/>
      <c r="B23" s="30" t="s">
        <v>270</v>
      </c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</row>
    <row r="24" spans="1:18" ht="17.25">
      <c r="A24" s="205"/>
      <c r="B24" s="13" t="s">
        <v>11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</row>
    <row r="25" spans="1:18" s="24" customFormat="1" ht="17.649999999999999" thickBot="1">
      <c r="A25" s="205"/>
      <c r="B25" s="31" t="s">
        <v>12</v>
      </c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80"/>
    </row>
    <row r="26" spans="1:18" ht="17.25">
      <c r="A26" s="205"/>
      <c r="B26" s="29" t="s">
        <v>13</v>
      </c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</row>
    <row r="27" spans="1:18" s="24" customFormat="1" ht="17.649999999999999" thickBot="1">
      <c r="A27" s="205"/>
      <c r="B27" s="32" t="s">
        <v>14</v>
      </c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</row>
    <row r="28" spans="1:18" ht="17.25">
      <c r="A28" s="205"/>
      <c r="B28" s="13" t="s">
        <v>15</v>
      </c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</row>
    <row r="29" spans="1:18" s="24" customFormat="1" ht="17.649999999999999" thickBot="1">
      <c r="A29" s="205"/>
      <c r="B29" s="33" t="s">
        <v>16</v>
      </c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80"/>
    </row>
    <row r="30" spans="1:18" ht="17.25">
      <c r="A30" s="205"/>
      <c r="B30" s="29" t="s">
        <v>464</v>
      </c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</row>
    <row r="31" spans="1:18" s="24" customFormat="1" ht="17.649999999999999" thickBot="1">
      <c r="A31" s="205"/>
      <c r="B31" s="32" t="s">
        <v>455</v>
      </c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81"/>
    </row>
    <row r="32" spans="1:18" ht="17.25">
      <c r="A32" s="205"/>
      <c r="B32" s="13" t="s">
        <v>465</v>
      </c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</row>
    <row r="33" spans="1:21" s="24" customFormat="1" ht="17.649999999999999" thickBot="1">
      <c r="A33" s="205"/>
      <c r="B33" s="32" t="s">
        <v>456</v>
      </c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80"/>
    </row>
    <row r="34" spans="1:21" ht="17.25">
      <c r="A34" s="205"/>
      <c r="B34" s="29" t="s">
        <v>466</v>
      </c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U34" s="24"/>
    </row>
    <row r="35" spans="1:21" s="24" customFormat="1" ht="17.649999999999999" thickBot="1">
      <c r="A35" s="205"/>
      <c r="B35" s="30" t="s">
        <v>457</v>
      </c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80"/>
      <c r="U35" s="23"/>
    </row>
    <row r="36" spans="1:21" ht="17.25">
      <c r="A36" s="205"/>
      <c r="B36" s="13" t="s">
        <v>17</v>
      </c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</row>
    <row r="37" spans="1:21" s="24" customFormat="1" ht="17.649999999999999" thickBot="1">
      <c r="A37" s="205"/>
      <c r="B37" s="30" t="s">
        <v>18</v>
      </c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80"/>
    </row>
    <row r="38" spans="1:21" ht="17.25">
      <c r="A38" s="205"/>
      <c r="B38" s="13" t="s">
        <v>467</v>
      </c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</row>
    <row r="39" spans="1:21" s="24" customFormat="1" ht="17.649999999999999" thickBot="1">
      <c r="A39" s="205"/>
      <c r="B39" s="30" t="s">
        <v>458</v>
      </c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80"/>
    </row>
    <row r="40" spans="1:21" ht="17.25">
      <c r="A40" s="205"/>
      <c r="B40" s="13" t="s">
        <v>468</v>
      </c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</row>
    <row r="41" spans="1:21" s="24" customFormat="1" ht="17.649999999999999" thickBot="1">
      <c r="A41" s="205"/>
      <c r="B41" s="31" t="s">
        <v>459</v>
      </c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80"/>
    </row>
    <row r="42" spans="1:21" ht="12.75" customHeight="1">
      <c r="A42" s="227" t="s">
        <v>63</v>
      </c>
      <c r="B42" s="196"/>
      <c r="C42" s="197"/>
      <c r="D42" s="197"/>
      <c r="E42" s="197"/>
      <c r="F42" s="197"/>
      <c r="G42" s="197"/>
      <c r="H42" s="197"/>
      <c r="I42" s="197"/>
      <c r="J42" s="197"/>
      <c r="K42" s="197"/>
      <c r="L42" s="197"/>
      <c r="M42" s="197"/>
      <c r="N42" s="197"/>
      <c r="O42" s="197"/>
      <c r="P42" s="198"/>
      <c r="Q42" s="24"/>
      <c r="R42" s="24"/>
      <c r="S42" s="24"/>
    </row>
    <row r="43" spans="1:21" ht="13.15" customHeight="1">
      <c r="A43" s="228"/>
      <c r="B43" s="199"/>
      <c r="C43" s="200"/>
      <c r="D43" s="200"/>
      <c r="E43" s="200"/>
      <c r="F43" s="200"/>
      <c r="G43" s="200"/>
      <c r="H43" s="200"/>
      <c r="I43" s="200"/>
      <c r="J43" s="200"/>
      <c r="K43" s="200"/>
      <c r="L43" s="200"/>
      <c r="M43" s="200"/>
      <c r="N43" s="200"/>
      <c r="O43" s="200"/>
      <c r="P43" s="201"/>
      <c r="Q43" s="24"/>
      <c r="R43" s="24"/>
      <c r="S43" s="24"/>
    </row>
    <row r="44" spans="1:21" ht="13.15" customHeight="1">
      <c r="A44" s="228"/>
      <c r="B44" s="199"/>
      <c r="C44" s="200"/>
      <c r="D44" s="200"/>
      <c r="E44" s="200"/>
      <c r="F44" s="200"/>
      <c r="G44" s="200"/>
      <c r="H44" s="200"/>
      <c r="I44" s="200"/>
      <c r="J44" s="200"/>
      <c r="K44" s="200"/>
      <c r="L44" s="200"/>
      <c r="M44" s="200"/>
      <c r="N44" s="200"/>
      <c r="O44" s="200"/>
      <c r="P44" s="201"/>
      <c r="Q44" s="24"/>
      <c r="R44" s="24"/>
      <c r="S44" s="24"/>
    </row>
    <row r="45" spans="1:21" ht="13.9" customHeight="1" thickBot="1">
      <c r="A45" s="229"/>
      <c r="B45" s="202"/>
      <c r="C45" s="203"/>
      <c r="D45" s="203"/>
      <c r="E45" s="203"/>
      <c r="F45" s="203"/>
      <c r="G45" s="203"/>
      <c r="H45" s="203"/>
      <c r="I45" s="203"/>
      <c r="J45" s="203"/>
      <c r="K45" s="203"/>
      <c r="L45" s="203"/>
      <c r="M45" s="203"/>
      <c r="N45" s="203"/>
      <c r="O45" s="203"/>
      <c r="P45" s="204"/>
      <c r="Q45" s="24"/>
      <c r="R45" s="24"/>
      <c r="S45" s="24"/>
    </row>
  </sheetData>
  <mergeCells count="44">
    <mergeCell ref="C7:H7"/>
    <mergeCell ref="C2:H2"/>
    <mergeCell ref="I2:L2"/>
    <mergeCell ref="M2:O2"/>
    <mergeCell ref="I7:L7"/>
    <mergeCell ref="M7:O7"/>
    <mergeCell ref="A1:B1"/>
    <mergeCell ref="A42:A45"/>
    <mergeCell ref="A36:A41"/>
    <mergeCell ref="A34:A35"/>
    <mergeCell ref="A3:A33"/>
    <mergeCell ref="C8:H8"/>
    <mergeCell ref="I8:L8"/>
    <mergeCell ref="M8:O8"/>
    <mergeCell ref="C9:H9"/>
    <mergeCell ref="I9:L9"/>
    <mergeCell ref="M9:O9"/>
    <mergeCell ref="C10:H10"/>
    <mergeCell ref="I10:L10"/>
    <mergeCell ref="M10:O10"/>
    <mergeCell ref="C11:H11"/>
    <mergeCell ref="I11:L11"/>
    <mergeCell ref="M11:O1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:P1"/>
    <mergeCell ref="C3:P3"/>
    <mergeCell ref="C4:P4"/>
    <mergeCell ref="C5:P5"/>
    <mergeCell ref="C6:P6"/>
  </mergeCells>
  <conditionalFormatting sqref="C22:E22 C4 H22:O22">
    <cfRule type="cellIs" dxfId="360" priority="43" operator="greaterThan">
      <formula>0</formula>
    </cfRule>
  </conditionalFormatting>
  <conditionalFormatting sqref="C21:E21 H21:O21">
    <cfRule type="expression" dxfId="359" priority="42">
      <formula>ISERROR(C21)</formula>
    </cfRule>
  </conditionalFormatting>
  <conditionalFormatting sqref="C21:E21 H21:O21">
    <cfRule type="cellIs" dxfId="358" priority="41" operator="equal">
      <formula>0</formula>
    </cfRule>
  </conditionalFormatting>
  <conditionalFormatting sqref="C21:E21 H21:O21">
    <cfRule type="cellIs" dxfId="357" priority="40" operator="greaterThan">
      <formula>0</formula>
    </cfRule>
  </conditionalFormatting>
  <conditionalFormatting sqref="C27:O27 D29:O29 D33:O33">
    <cfRule type="cellIs" dxfId="356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355" priority="35">
      <formula>ISBLANK(C8)</formula>
    </cfRule>
  </conditionalFormatting>
  <conditionalFormatting sqref="C29">
    <cfRule type="cellIs" dxfId="354" priority="37" operator="notEqual">
      <formula>VALUE(C28)</formula>
    </cfRule>
  </conditionalFormatting>
  <conditionalFormatting sqref="C29">
    <cfRule type="expression" dxfId="353" priority="36">
      <formula>ISBLANK(C29)</formula>
    </cfRule>
  </conditionalFormatting>
  <conditionalFormatting sqref="C8:O8 C10:O10 C12:O12 C14:O14 C16:O16 C31:O31 D35:O35 D37:O37 D25:O25 D39:O39 D41:O41">
    <cfRule type="cellIs" dxfId="352" priority="38" operator="notEqual">
      <formula>C7</formula>
    </cfRule>
  </conditionalFormatting>
  <conditionalFormatting sqref="C31">
    <cfRule type="expression" dxfId="351" priority="34">
      <formula>ISBLANK(C31)</formula>
    </cfRule>
  </conditionalFormatting>
  <conditionalFormatting sqref="C33">
    <cfRule type="cellIs" dxfId="350" priority="33" operator="notEqual">
      <formula>VALUE(C32)</formula>
    </cfRule>
  </conditionalFormatting>
  <conditionalFormatting sqref="C33">
    <cfRule type="expression" dxfId="349" priority="32">
      <formula>ISBLANK(C33)</formula>
    </cfRule>
  </conditionalFormatting>
  <conditionalFormatting sqref="C35">
    <cfRule type="cellIs" dxfId="348" priority="31" operator="notEqual">
      <formula>C34</formula>
    </cfRule>
  </conditionalFormatting>
  <conditionalFormatting sqref="C35">
    <cfRule type="expression" dxfId="347" priority="30">
      <formula>ISBLANK(C35)</formula>
    </cfRule>
  </conditionalFormatting>
  <conditionalFormatting sqref="C37">
    <cfRule type="cellIs" dxfId="346" priority="29" operator="notEqual">
      <formula>C36</formula>
    </cfRule>
  </conditionalFormatting>
  <conditionalFormatting sqref="C37">
    <cfRule type="expression" dxfId="345" priority="28">
      <formula>ISBLANK(C37)</formula>
    </cfRule>
  </conditionalFormatting>
  <conditionalFormatting sqref="C6">
    <cfRule type="expression" dxfId="344" priority="26">
      <formula>ISBLANK(C6)</formula>
    </cfRule>
    <cfRule type="cellIs" dxfId="343" priority="27" operator="notEqual">
      <formula>C5</formula>
    </cfRule>
  </conditionalFormatting>
  <conditionalFormatting sqref="C25">
    <cfRule type="cellIs" dxfId="342" priority="25" operator="notEqual">
      <formula>C24</formula>
    </cfRule>
  </conditionalFormatting>
  <conditionalFormatting sqref="C25">
    <cfRule type="expression" dxfId="341" priority="24">
      <formula>ISBLANK(C25)</formula>
    </cfRule>
  </conditionalFormatting>
  <conditionalFormatting sqref="C39">
    <cfRule type="cellIs" dxfId="340" priority="23" operator="notEqual">
      <formula>C38</formula>
    </cfRule>
  </conditionalFormatting>
  <conditionalFormatting sqref="C39">
    <cfRule type="expression" dxfId="339" priority="22">
      <formula>ISBLANK(C39)</formula>
    </cfRule>
  </conditionalFormatting>
  <conditionalFormatting sqref="C41">
    <cfRule type="cellIs" dxfId="338" priority="21" operator="notEqual">
      <formula>C40</formula>
    </cfRule>
  </conditionalFormatting>
  <conditionalFormatting sqref="C41">
    <cfRule type="expression" dxfId="337" priority="20">
      <formula>ISBLANK(C41)</formula>
    </cfRule>
  </conditionalFormatting>
  <conditionalFormatting sqref="C24:O41">
    <cfRule type="expression" dxfId="336" priority="19" stopIfTrue="1">
      <formula>OR(C$22="Free",C$22="Telenor",C$22="Mtel",C$22="Telenor&amp;Mtel")</formula>
    </cfRule>
  </conditionalFormatting>
  <conditionalFormatting sqref="F22:G22">
    <cfRule type="cellIs" dxfId="335" priority="18" operator="greaterThan">
      <formula>0</formula>
    </cfRule>
  </conditionalFormatting>
  <conditionalFormatting sqref="F21:G21">
    <cfRule type="expression" dxfId="334" priority="17">
      <formula>ISERROR(F21)</formula>
    </cfRule>
  </conditionalFormatting>
  <conditionalFormatting sqref="F21:G21">
    <cfRule type="cellIs" dxfId="333" priority="16" operator="equal">
      <formula>0</formula>
    </cfRule>
  </conditionalFormatting>
  <conditionalFormatting sqref="F21:G21">
    <cfRule type="cellIs" dxfId="332" priority="15" operator="greaterThan">
      <formula>0</formula>
    </cfRule>
  </conditionalFormatting>
  <conditionalFormatting sqref="P22">
    <cfRule type="cellIs" dxfId="331" priority="14" operator="greaterThan">
      <formula>0</formula>
    </cfRule>
  </conditionalFormatting>
  <conditionalFormatting sqref="P21">
    <cfRule type="expression" dxfId="330" priority="13">
      <formula>ISERROR(P21)</formula>
    </cfRule>
  </conditionalFormatting>
  <conditionalFormatting sqref="P21">
    <cfRule type="cellIs" dxfId="329" priority="12" operator="equal">
      <formula>0</formula>
    </cfRule>
  </conditionalFormatting>
  <conditionalFormatting sqref="P21">
    <cfRule type="cellIs" dxfId="328" priority="11" operator="greaterThan">
      <formula>0</formula>
    </cfRule>
  </conditionalFormatting>
  <conditionalFormatting sqref="P27 P29 P33">
    <cfRule type="cellIs" dxfId="327" priority="10" operator="notEqual">
      <formula>VALUE(P26)</formula>
    </cfRule>
  </conditionalFormatting>
  <conditionalFormatting sqref="P8 P10 P12 P14 P16 P27 P29 P31 P33 P35 P37 P25 P39 P41">
    <cfRule type="expression" dxfId="326" priority="8">
      <formula>ISBLANK(P8)</formula>
    </cfRule>
  </conditionalFormatting>
  <conditionalFormatting sqref="P8 P10 P12 P14 P16 P31 P35 P37 P25 P39 P41">
    <cfRule type="cellIs" dxfId="325" priority="9" operator="notEqual">
      <formula>P7</formula>
    </cfRule>
  </conditionalFormatting>
  <conditionalFormatting sqref="P24:P41">
    <cfRule type="expression" dxfId="324" priority="7" stopIfTrue="1">
      <formula>OR(P$22="Free",P$22="Telenor",P$22="Mtel",P$22="Telenor&amp;Mtel")</formula>
    </cfRule>
  </conditionalFormatting>
  <conditionalFormatting sqref="C19">
    <cfRule type="cellIs" dxfId="323" priority="4" operator="equal">
      <formula>0</formula>
    </cfRule>
    <cfRule type="expression" dxfId="322" priority="6">
      <formula>ISERROR(C19)</formula>
    </cfRule>
  </conditionalFormatting>
  <conditionalFormatting sqref="D19:P19">
    <cfRule type="cellIs" dxfId="321" priority="2" operator="equal">
      <formula>0</formula>
    </cfRule>
    <cfRule type="expression" dxfId="320" priority="3">
      <formula>ISERROR(D19)</formula>
    </cfRule>
  </conditionalFormatting>
  <conditionalFormatting sqref="C23:P23">
    <cfRule type="cellIs" dxfId="319" priority="1" operator="greaterThan">
      <formula>0</formula>
    </cfRule>
  </conditionalFormatting>
  <pageMargins left="0.25" right="0.25" top="0.75" bottom="0.75" header="0.3" footer="0.3"/>
  <pageSetup paperSize="9" scale="56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width="10.265625" style="8" bestFit="1" customWidth="1"/>
    <col min="2" max="2" width="40.1328125" style="9" bestFit="1" customWidth="1"/>
    <col min="3" max="7" width="9.1328125" style="23"/>
    <col min="8" max="8" width="9.3984375" style="23" bestFit="1" customWidth="1"/>
    <col min="9" max="16384" width="9.1328125" style="23"/>
  </cols>
  <sheetData>
    <row r="1" spans="1:16" ht="25.15" customHeight="1" thickBot="1">
      <c r="A1" s="236">
        <f>Common!B2</f>
        <v>0</v>
      </c>
      <c r="B1" s="237"/>
      <c r="C1" s="254" t="s">
        <v>0</v>
      </c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5"/>
    </row>
    <row r="2" spans="1:16" ht="18" thickBot="1">
      <c r="A2" s="35"/>
      <c r="B2" s="16" t="s">
        <v>1</v>
      </c>
      <c r="C2" s="221">
        <v>1</v>
      </c>
      <c r="D2" s="260"/>
      <c r="E2" s="260"/>
      <c r="F2" s="260"/>
      <c r="G2" s="260"/>
      <c r="H2" s="223"/>
      <c r="I2" s="261">
        <v>2</v>
      </c>
      <c r="J2" s="262"/>
      <c r="K2" s="262"/>
      <c r="L2" s="263"/>
      <c r="M2" s="261">
        <v>3</v>
      </c>
      <c r="N2" s="262"/>
      <c r="O2" s="264"/>
      <c r="P2" s="74">
        <v>4</v>
      </c>
    </row>
    <row r="3" spans="1:16" ht="17.25">
      <c r="A3" s="205"/>
      <c r="B3" s="14" t="s">
        <v>460</v>
      </c>
      <c r="C3" s="230"/>
      <c r="D3" s="231"/>
      <c r="E3" s="231"/>
      <c r="F3" s="231"/>
      <c r="G3" s="231"/>
      <c r="H3" s="231"/>
      <c r="I3" s="231"/>
      <c r="J3" s="231"/>
      <c r="K3" s="231"/>
      <c r="L3" s="231"/>
      <c r="M3" s="231"/>
      <c r="N3" s="231"/>
      <c r="O3" s="231"/>
      <c r="P3" s="232"/>
    </row>
    <row r="4" spans="1:16" s="24" customFormat="1" ht="25.15" thickBot="1">
      <c r="A4" s="205"/>
      <c r="B4" s="11" t="s">
        <v>450</v>
      </c>
      <c r="C4" s="209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  <c r="O4" s="210"/>
      <c r="P4" s="211"/>
    </row>
    <row r="5" spans="1:16" ht="24.75">
      <c r="A5" s="205"/>
      <c r="B5" s="15" t="s">
        <v>461</v>
      </c>
      <c r="C5" s="212"/>
      <c r="D5" s="213"/>
      <c r="E5" s="213"/>
      <c r="F5" s="213"/>
      <c r="G5" s="213"/>
      <c r="H5" s="213"/>
      <c r="I5" s="213"/>
      <c r="J5" s="213"/>
      <c r="K5" s="213"/>
      <c r="L5" s="213"/>
      <c r="M5" s="213"/>
      <c r="N5" s="213"/>
      <c r="O5" s="213"/>
      <c r="P5" s="214"/>
    </row>
    <row r="6" spans="1:16" s="24" customFormat="1" ht="25.15" thickBot="1">
      <c r="A6" s="205"/>
      <c r="B6" s="34" t="s">
        <v>451</v>
      </c>
      <c r="C6" s="256"/>
      <c r="D6" s="257"/>
      <c r="E6" s="257"/>
      <c r="F6" s="257"/>
      <c r="G6" s="257"/>
      <c r="H6" s="257"/>
      <c r="I6" s="257"/>
      <c r="J6" s="257"/>
      <c r="K6" s="257"/>
      <c r="L6" s="257"/>
      <c r="M6" s="257"/>
      <c r="N6" s="257"/>
      <c r="O6" s="257"/>
      <c r="P6" s="258"/>
    </row>
    <row r="7" spans="1:16" ht="17.25">
      <c r="A7" s="205"/>
      <c r="B7" s="10" t="s">
        <v>462</v>
      </c>
      <c r="C7" s="230"/>
      <c r="D7" s="231"/>
      <c r="E7" s="231"/>
      <c r="F7" s="231"/>
      <c r="G7" s="231"/>
      <c r="H7" s="232"/>
      <c r="I7" s="231"/>
      <c r="J7" s="231"/>
      <c r="K7" s="231"/>
      <c r="L7" s="232"/>
      <c r="M7" s="231"/>
      <c r="N7" s="231"/>
      <c r="O7" s="232"/>
      <c r="P7" s="75"/>
    </row>
    <row r="8" spans="1:16" s="24" customFormat="1" ht="17.649999999999999" thickBot="1">
      <c r="A8" s="205"/>
      <c r="B8" s="11" t="s">
        <v>452</v>
      </c>
      <c r="C8" s="218"/>
      <c r="D8" s="219"/>
      <c r="E8" s="219"/>
      <c r="F8" s="219"/>
      <c r="G8" s="219"/>
      <c r="H8" s="220"/>
      <c r="I8" s="218"/>
      <c r="J8" s="219"/>
      <c r="K8" s="219"/>
      <c r="L8" s="220"/>
      <c r="M8" s="218"/>
      <c r="N8" s="219"/>
      <c r="O8" s="220"/>
      <c r="P8" s="76"/>
    </row>
    <row r="9" spans="1:16" ht="17.25">
      <c r="A9" s="205"/>
      <c r="B9" s="10" t="s">
        <v>2</v>
      </c>
      <c r="C9" s="208"/>
      <c r="D9" s="206"/>
      <c r="E9" s="206"/>
      <c r="F9" s="206"/>
      <c r="G9" s="206"/>
      <c r="H9" s="207"/>
      <c r="I9" s="206"/>
      <c r="J9" s="206"/>
      <c r="K9" s="206"/>
      <c r="L9" s="207"/>
      <c r="M9" s="206"/>
      <c r="N9" s="206"/>
      <c r="O9" s="207"/>
      <c r="P9" s="75"/>
    </row>
    <row r="10" spans="1:16" s="24" customFormat="1" ht="17.649999999999999" thickBot="1">
      <c r="A10" s="205"/>
      <c r="B10" s="12" t="s">
        <v>3</v>
      </c>
      <c r="C10" s="218"/>
      <c r="D10" s="219"/>
      <c r="E10" s="219"/>
      <c r="F10" s="219"/>
      <c r="G10" s="219"/>
      <c r="H10" s="220"/>
      <c r="I10" s="218"/>
      <c r="J10" s="219"/>
      <c r="K10" s="219"/>
      <c r="L10" s="220"/>
      <c r="M10" s="218"/>
      <c r="N10" s="219"/>
      <c r="O10" s="220"/>
      <c r="P10" s="76"/>
    </row>
    <row r="11" spans="1:16" ht="17.25">
      <c r="A11" s="205"/>
      <c r="B11" s="10" t="s">
        <v>470</v>
      </c>
      <c r="C11" s="208"/>
      <c r="D11" s="206"/>
      <c r="E11" s="206"/>
      <c r="F11" s="206"/>
      <c r="G11" s="206"/>
      <c r="H11" s="207"/>
      <c r="I11" s="206"/>
      <c r="J11" s="206"/>
      <c r="K11" s="206"/>
      <c r="L11" s="207"/>
      <c r="M11" s="206"/>
      <c r="N11" s="206"/>
      <c r="O11" s="207"/>
      <c r="P11" s="75"/>
    </row>
    <row r="12" spans="1:16" s="24" customFormat="1" ht="17.649999999999999" thickBot="1">
      <c r="A12" s="205"/>
      <c r="B12" s="12" t="s">
        <v>471</v>
      </c>
      <c r="C12" s="250"/>
      <c r="D12" s="251"/>
      <c r="E12" s="251"/>
      <c r="F12" s="251"/>
      <c r="G12" s="251"/>
      <c r="H12" s="252"/>
      <c r="I12" s="250"/>
      <c r="J12" s="251"/>
      <c r="K12" s="251"/>
      <c r="L12" s="252"/>
      <c r="M12" s="250"/>
      <c r="N12" s="251"/>
      <c r="O12" s="252"/>
      <c r="P12" s="76"/>
    </row>
    <row r="13" spans="1:16" ht="17.25">
      <c r="A13" s="205"/>
      <c r="B13" s="10" t="s">
        <v>4</v>
      </c>
      <c r="C13" s="208"/>
      <c r="D13" s="206"/>
      <c r="E13" s="206"/>
      <c r="F13" s="206"/>
      <c r="G13" s="206"/>
      <c r="H13" s="207"/>
      <c r="I13" s="206"/>
      <c r="J13" s="206"/>
      <c r="K13" s="206"/>
      <c r="L13" s="207"/>
      <c r="M13" s="206"/>
      <c r="N13" s="206"/>
      <c r="O13" s="207"/>
      <c r="P13" s="75"/>
    </row>
    <row r="14" spans="1:16" s="24" customFormat="1" ht="17.649999999999999" thickBot="1">
      <c r="A14" s="205"/>
      <c r="B14" s="12" t="s">
        <v>453</v>
      </c>
      <c r="C14" s="247"/>
      <c r="D14" s="248"/>
      <c r="E14" s="248"/>
      <c r="F14" s="248"/>
      <c r="G14" s="248"/>
      <c r="H14" s="249"/>
      <c r="I14" s="247"/>
      <c r="J14" s="248"/>
      <c r="K14" s="248"/>
      <c r="L14" s="249"/>
      <c r="M14" s="247"/>
      <c r="N14" s="248"/>
      <c r="O14" s="249"/>
      <c r="P14" s="83"/>
    </row>
    <row r="15" spans="1:16" ht="17.25">
      <c r="A15" s="205"/>
      <c r="B15" s="10" t="s">
        <v>463</v>
      </c>
      <c r="C15" s="208"/>
      <c r="D15" s="206"/>
      <c r="E15" s="206"/>
      <c r="F15" s="206"/>
      <c r="G15" s="206"/>
      <c r="H15" s="207"/>
      <c r="I15" s="206"/>
      <c r="J15" s="206"/>
      <c r="K15" s="206"/>
      <c r="L15" s="207"/>
      <c r="M15" s="206"/>
      <c r="N15" s="206"/>
      <c r="O15" s="207"/>
      <c r="P15" s="82"/>
    </row>
    <row r="16" spans="1:16" s="24" customFormat="1" ht="17.25">
      <c r="A16" s="205"/>
      <c r="B16" s="70" t="s">
        <v>454</v>
      </c>
      <c r="C16" s="238"/>
      <c r="D16" s="239"/>
      <c r="E16" s="239"/>
      <c r="F16" s="239"/>
      <c r="G16" s="239"/>
      <c r="H16" s="240"/>
      <c r="I16" s="241"/>
      <c r="J16" s="242"/>
      <c r="K16" s="242"/>
      <c r="L16" s="243"/>
      <c r="M16" s="241"/>
      <c r="N16" s="242"/>
      <c r="O16" s="243"/>
      <c r="P16" s="77"/>
    </row>
    <row r="17" spans="1:18" ht="17.25">
      <c r="A17" s="259"/>
      <c r="B17" s="72" t="s">
        <v>5</v>
      </c>
      <c r="C17" s="67" t="s">
        <v>6</v>
      </c>
      <c r="D17" s="67" t="s">
        <v>7</v>
      </c>
      <c r="E17" s="67" t="s">
        <v>8</v>
      </c>
      <c r="F17" s="67" t="s">
        <v>9</v>
      </c>
      <c r="G17" s="67" t="s">
        <v>10</v>
      </c>
      <c r="H17" s="67" t="s">
        <v>278</v>
      </c>
      <c r="I17" s="67" t="s">
        <v>6</v>
      </c>
      <c r="J17" s="67" t="s">
        <v>7</v>
      </c>
      <c r="K17" s="67" t="s">
        <v>8</v>
      </c>
      <c r="L17" s="67" t="s">
        <v>9</v>
      </c>
      <c r="M17" s="67" t="s">
        <v>6</v>
      </c>
      <c r="N17" s="67" t="s">
        <v>7</v>
      </c>
      <c r="O17" s="67" t="s">
        <v>8</v>
      </c>
      <c r="P17" s="78" t="s">
        <v>6</v>
      </c>
    </row>
    <row r="18" spans="1:18" ht="17.25">
      <c r="A18" s="259"/>
      <c r="B18" s="72" t="s">
        <v>410</v>
      </c>
      <c r="C18" s="65"/>
      <c r="D18" s="66"/>
      <c r="E18" s="66"/>
      <c r="F18" s="66"/>
      <c r="G18" s="66"/>
      <c r="H18" s="67"/>
      <c r="I18" s="65"/>
      <c r="J18" s="66"/>
      <c r="K18" s="66"/>
      <c r="L18" s="67"/>
      <c r="M18" s="65"/>
      <c r="N18" s="66"/>
      <c r="O18" s="67"/>
      <c r="P18" s="79"/>
    </row>
    <row r="19" spans="1:18" ht="17.25">
      <c r="A19" s="259"/>
      <c r="B19" s="73" t="s">
        <v>411</v>
      </c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</row>
    <row r="20" spans="1:18" ht="17.25">
      <c r="A20" s="205"/>
      <c r="B20" s="71" t="s">
        <v>58</v>
      </c>
      <c r="C20" s="63"/>
      <c r="D20" s="64"/>
      <c r="E20" s="64"/>
      <c r="F20" s="64"/>
      <c r="G20" s="64"/>
      <c r="H20" s="64"/>
      <c r="I20" s="63"/>
      <c r="J20" s="64"/>
      <c r="K20" s="64"/>
      <c r="L20" s="68"/>
      <c r="M20" s="69"/>
      <c r="N20" s="64"/>
      <c r="O20" s="68"/>
      <c r="P20" s="68"/>
    </row>
    <row r="21" spans="1:18" ht="17.649999999999999" thickBot="1">
      <c r="A21" s="205"/>
      <c r="B21" s="20" t="s">
        <v>59</v>
      </c>
      <c r="C21" s="44"/>
      <c r="D21" s="45"/>
      <c r="E21" s="45"/>
      <c r="F21" s="45"/>
      <c r="G21" s="45"/>
      <c r="H21" s="45"/>
      <c r="I21" s="45"/>
      <c r="J21" s="45"/>
      <c r="K21" s="45"/>
      <c r="L21" s="46"/>
      <c r="M21" s="47"/>
      <c r="N21" s="45"/>
      <c r="O21" s="44"/>
      <c r="P21" s="44"/>
      <c r="R21" s="19"/>
    </row>
    <row r="22" spans="1:18" s="24" customFormat="1" ht="17.649999999999999" thickBot="1">
      <c r="A22" s="205"/>
      <c r="B22" s="30" t="s">
        <v>469</v>
      </c>
      <c r="C22" s="48"/>
      <c r="D22" s="49"/>
      <c r="E22" s="49"/>
      <c r="F22" s="49"/>
      <c r="G22" s="49"/>
      <c r="H22" s="49"/>
      <c r="I22" s="49"/>
      <c r="J22" s="49"/>
      <c r="K22" s="49"/>
      <c r="L22" s="50"/>
      <c r="M22" s="51"/>
      <c r="N22" s="49"/>
      <c r="O22" s="52"/>
      <c r="P22" s="52"/>
    </row>
    <row r="23" spans="1:18" s="24" customFormat="1" ht="17.649999999999999" thickBot="1">
      <c r="A23" s="205"/>
      <c r="B23" s="30" t="s">
        <v>270</v>
      </c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</row>
    <row r="24" spans="1:18" ht="17.25">
      <c r="A24" s="205"/>
      <c r="B24" s="13" t="s">
        <v>11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</row>
    <row r="25" spans="1:18" s="24" customFormat="1" ht="17.649999999999999" thickBot="1">
      <c r="A25" s="205"/>
      <c r="B25" s="31" t="s">
        <v>12</v>
      </c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80"/>
    </row>
    <row r="26" spans="1:18" ht="17.25">
      <c r="A26" s="205"/>
      <c r="B26" s="29" t="s">
        <v>13</v>
      </c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</row>
    <row r="27" spans="1:18" s="24" customFormat="1" ht="17.649999999999999" thickBot="1">
      <c r="A27" s="205"/>
      <c r="B27" s="32" t="s">
        <v>14</v>
      </c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</row>
    <row r="28" spans="1:18" ht="17.25">
      <c r="A28" s="205"/>
      <c r="B28" s="13" t="s">
        <v>15</v>
      </c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</row>
    <row r="29" spans="1:18" s="24" customFormat="1" ht="17.649999999999999" thickBot="1">
      <c r="A29" s="205"/>
      <c r="B29" s="33" t="s">
        <v>16</v>
      </c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80"/>
    </row>
    <row r="30" spans="1:18" ht="17.25">
      <c r="A30" s="205"/>
      <c r="B30" s="29" t="s">
        <v>464</v>
      </c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</row>
    <row r="31" spans="1:18" s="24" customFormat="1" ht="17.649999999999999" thickBot="1">
      <c r="A31" s="205"/>
      <c r="B31" s="32" t="s">
        <v>455</v>
      </c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81"/>
    </row>
    <row r="32" spans="1:18" ht="17.25">
      <c r="A32" s="205"/>
      <c r="B32" s="13" t="s">
        <v>465</v>
      </c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</row>
    <row r="33" spans="1:21" s="24" customFormat="1" ht="17.649999999999999" thickBot="1">
      <c r="A33" s="205"/>
      <c r="B33" s="32" t="s">
        <v>456</v>
      </c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80"/>
    </row>
    <row r="34" spans="1:21" ht="17.25">
      <c r="A34" s="205"/>
      <c r="B34" s="29" t="s">
        <v>466</v>
      </c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U34" s="24"/>
    </row>
    <row r="35" spans="1:21" s="24" customFormat="1" ht="17.649999999999999" thickBot="1">
      <c r="A35" s="205"/>
      <c r="B35" s="30" t="s">
        <v>457</v>
      </c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80"/>
      <c r="U35" s="23"/>
    </row>
    <row r="36" spans="1:21" ht="17.25">
      <c r="A36" s="205"/>
      <c r="B36" s="13" t="s">
        <v>17</v>
      </c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</row>
    <row r="37" spans="1:21" s="24" customFormat="1" ht="17.649999999999999" thickBot="1">
      <c r="A37" s="205"/>
      <c r="B37" s="30" t="s">
        <v>18</v>
      </c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80"/>
    </row>
    <row r="38" spans="1:21" ht="17.25">
      <c r="A38" s="205"/>
      <c r="B38" s="13" t="s">
        <v>467</v>
      </c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</row>
    <row r="39" spans="1:21" s="24" customFormat="1" ht="17.649999999999999" thickBot="1">
      <c r="A39" s="205"/>
      <c r="B39" s="30" t="s">
        <v>458</v>
      </c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80"/>
    </row>
    <row r="40" spans="1:21" ht="17.25">
      <c r="A40" s="205"/>
      <c r="B40" s="13" t="s">
        <v>468</v>
      </c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</row>
    <row r="41" spans="1:21" s="24" customFormat="1" ht="17.649999999999999" thickBot="1">
      <c r="A41" s="205"/>
      <c r="B41" s="31" t="s">
        <v>459</v>
      </c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80"/>
    </row>
    <row r="42" spans="1:21" ht="12.75" customHeight="1">
      <c r="A42" s="227" t="s">
        <v>63</v>
      </c>
      <c r="B42" s="196"/>
      <c r="C42" s="197"/>
      <c r="D42" s="197"/>
      <c r="E42" s="197"/>
      <c r="F42" s="197"/>
      <c r="G42" s="197"/>
      <c r="H42" s="197"/>
      <c r="I42" s="197"/>
      <c r="J42" s="197"/>
      <c r="K42" s="197"/>
      <c r="L42" s="197"/>
      <c r="M42" s="197"/>
      <c r="N42" s="197"/>
      <c r="O42" s="197"/>
      <c r="P42" s="198"/>
      <c r="Q42" s="24"/>
      <c r="R42" s="24"/>
      <c r="S42" s="24"/>
    </row>
    <row r="43" spans="1:21" ht="13.15" customHeight="1">
      <c r="A43" s="228"/>
      <c r="B43" s="199"/>
      <c r="C43" s="200"/>
      <c r="D43" s="200"/>
      <c r="E43" s="200"/>
      <c r="F43" s="200"/>
      <c r="G43" s="200"/>
      <c r="H43" s="200"/>
      <c r="I43" s="200"/>
      <c r="J43" s="200"/>
      <c r="K43" s="200"/>
      <c r="L43" s="200"/>
      <c r="M43" s="200"/>
      <c r="N43" s="200"/>
      <c r="O43" s="200"/>
      <c r="P43" s="201"/>
      <c r="Q43" s="24"/>
      <c r="R43" s="24"/>
      <c r="S43" s="24"/>
    </row>
    <row r="44" spans="1:21" ht="13.15" customHeight="1">
      <c r="A44" s="228"/>
      <c r="B44" s="199"/>
      <c r="C44" s="200"/>
      <c r="D44" s="200"/>
      <c r="E44" s="200"/>
      <c r="F44" s="200"/>
      <c r="G44" s="200"/>
      <c r="H44" s="200"/>
      <c r="I44" s="200"/>
      <c r="J44" s="200"/>
      <c r="K44" s="200"/>
      <c r="L44" s="200"/>
      <c r="M44" s="200"/>
      <c r="N44" s="200"/>
      <c r="O44" s="200"/>
      <c r="P44" s="201"/>
      <c r="Q44" s="24"/>
      <c r="R44" s="24"/>
      <c r="S44" s="24"/>
    </row>
    <row r="45" spans="1:21" ht="13.9" customHeight="1" thickBot="1">
      <c r="A45" s="229"/>
      <c r="B45" s="202"/>
      <c r="C45" s="203"/>
      <c r="D45" s="203"/>
      <c r="E45" s="203"/>
      <c r="F45" s="203"/>
      <c r="G45" s="203"/>
      <c r="H45" s="203"/>
      <c r="I45" s="203"/>
      <c r="J45" s="203"/>
      <c r="K45" s="203"/>
      <c r="L45" s="203"/>
      <c r="M45" s="203"/>
      <c r="N45" s="203"/>
      <c r="O45" s="203"/>
      <c r="P45" s="204"/>
      <c r="Q45" s="24"/>
      <c r="R45" s="24"/>
      <c r="S45" s="24"/>
    </row>
  </sheetData>
  <mergeCells count="44"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  <mergeCell ref="A1:B1"/>
    <mergeCell ref="A42:A45"/>
    <mergeCell ref="A36:A41"/>
    <mergeCell ref="A34:A35"/>
    <mergeCell ref="A3:A33"/>
    <mergeCell ref="C8:H8"/>
    <mergeCell ref="I8:L8"/>
    <mergeCell ref="M8:O8"/>
    <mergeCell ref="C9:H9"/>
    <mergeCell ref="I9:L9"/>
    <mergeCell ref="M9:O9"/>
    <mergeCell ref="M15:O15"/>
    <mergeCell ref="C10:H10"/>
    <mergeCell ref="I10:L10"/>
    <mergeCell ref="M10:O10"/>
    <mergeCell ref="C11:H11"/>
    <mergeCell ref="I11:L11"/>
    <mergeCell ref="M11:O11"/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</mergeCells>
  <conditionalFormatting sqref="C22:E22 C4 H22:O22">
    <cfRule type="cellIs" dxfId="318" priority="43" operator="greaterThan">
      <formula>0</formula>
    </cfRule>
  </conditionalFormatting>
  <conditionalFormatting sqref="C21:E21 H21:O21">
    <cfRule type="expression" dxfId="317" priority="42">
      <formula>ISERROR(C21)</formula>
    </cfRule>
  </conditionalFormatting>
  <conditionalFormatting sqref="C21:E21 H21:O21">
    <cfRule type="cellIs" dxfId="316" priority="41" operator="equal">
      <formula>0</formula>
    </cfRule>
  </conditionalFormatting>
  <conditionalFormatting sqref="C21:E21 H21:O21">
    <cfRule type="cellIs" dxfId="315" priority="40" operator="greaterThan">
      <formula>0</formula>
    </cfRule>
  </conditionalFormatting>
  <conditionalFormatting sqref="C27:O27 D29:O29 D33:O33">
    <cfRule type="cellIs" dxfId="314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313" priority="35">
      <formula>ISBLANK(C8)</formula>
    </cfRule>
  </conditionalFormatting>
  <conditionalFormatting sqref="C29">
    <cfRule type="cellIs" dxfId="312" priority="37" operator="notEqual">
      <formula>VALUE(C28)</formula>
    </cfRule>
  </conditionalFormatting>
  <conditionalFormatting sqref="C29">
    <cfRule type="expression" dxfId="311" priority="36">
      <formula>ISBLANK(C29)</formula>
    </cfRule>
  </conditionalFormatting>
  <conditionalFormatting sqref="C8:O8 C10:O10 C12:O12 C14:O14 C16:O16 C31:O31 D35:O35 D37:O37 D25:O25 D39:O39 D41:O41">
    <cfRule type="cellIs" dxfId="310" priority="38" operator="notEqual">
      <formula>C7</formula>
    </cfRule>
  </conditionalFormatting>
  <conditionalFormatting sqref="C31">
    <cfRule type="expression" dxfId="309" priority="34">
      <formula>ISBLANK(C31)</formula>
    </cfRule>
  </conditionalFormatting>
  <conditionalFormatting sqref="C33">
    <cfRule type="cellIs" dxfId="308" priority="33" operator="notEqual">
      <formula>VALUE(C32)</formula>
    </cfRule>
  </conditionalFormatting>
  <conditionalFormatting sqref="C33">
    <cfRule type="expression" dxfId="307" priority="32">
      <formula>ISBLANK(C33)</formula>
    </cfRule>
  </conditionalFormatting>
  <conditionalFormatting sqref="C35">
    <cfRule type="cellIs" dxfId="306" priority="31" operator="notEqual">
      <formula>C34</formula>
    </cfRule>
  </conditionalFormatting>
  <conditionalFormatting sqref="C35">
    <cfRule type="expression" dxfId="305" priority="30">
      <formula>ISBLANK(C35)</formula>
    </cfRule>
  </conditionalFormatting>
  <conditionalFormatting sqref="C37">
    <cfRule type="cellIs" dxfId="304" priority="29" operator="notEqual">
      <formula>C36</formula>
    </cfRule>
  </conditionalFormatting>
  <conditionalFormatting sqref="C37">
    <cfRule type="expression" dxfId="303" priority="28">
      <formula>ISBLANK(C37)</formula>
    </cfRule>
  </conditionalFormatting>
  <conditionalFormatting sqref="C6">
    <cfRule type="expression" dxfId="302" priority="26">
      <formula>ISBLANK(C6)</formula>
    </cfRule>
    <cfRule type="cellIs" dxfId="301" priority="27" operator="notEqual">
      <formula>C5</formula>
    </cfRule>
  </conditionalFormatting>
  <conditionalFormatting sqref="C25">
    <cfRule type="cellIs" dxfId="300" priority="25" operator="notEqual">
      <formula>C24</formula>
    </cfRule>
  </conditionalFormatting>
  <conditionalFormatting sqref="C25">
    <cfRule type="expression" dxfId="299" priority="24">
      <formula>ISBLANK(C25)</formula>
    </cfRule>
  </conditionalFormatting>
  <conditionalFormatting sqref="C39">
    <cfRule type="cellIs" dxfId="298" priority="23" operator="notEqual">
      <formula>C38</formula>
    </cfRule>
  </conditionalFormatting>
  <conditionalFormatting sqref="C39">
    <cfRule type="expression" dxfId="297" priority="22">
      <formula>ISBLANK(C39)</formula>
    </cfRule>
  </conditionalFormatting>
  <conditionalFormatting sqref="C41">
    <cfRule type="cellIs" dxfId="296" priority="21" operator="notEqual">
      <formula>C40</formula>
    </cfRule>
  </conditionalFormatting>
  <conditionalFormatting sqref="C41">
    <cfRule type="expression" dxfId="295" priority="20">
      <formula>ISBLANK(C41)</formula>
    </cfRule>
  </conditionalFormatting>
  <conditionalFormatting sqref="C24:O41">
    <cfRule type="expression" dxfId="294" priority="19" stopIfTrue="1">
      <formula>OR(C$22="Free",C$22="Telenor",C$22="Mtel",C$22="Telenor&amp;Mtel")</formula>
    </cfRule>
  </conditionalFormatting>
  <conditionalFormatting sqref="F22:G22">
    <cfRule type="cellIs" dxfId="293" priority="18" operator="greaterThan">
      <formula>0</formula>
    </cfRule>
  </conditionalFormatting>
  <conditionalFormatting sqref="F21:G21">
    <cfRule type="expression" dxfId="292" priority="17">
      <formula>ISERROR(F21)</formula>
    </cfRule>
  </conditionalFormatting>
  <conditionalFormatting sqref="F21:G21">
    <cfRule type="cellIs" dxfId="291" priority="16" operator="equal">
      <formula>0</formula>
    </cfRule>
  </conditionalFormatting>
  <conditionalFormatting sqref="F21:G21">
    <cfRule type="cellIs" dxfId="290" priority="15" operator="greaterThan">
      <formula>0</formula>
    </cfRule>
  </conditionalFormatting>
  <conditionalFormatting sqref="P22">
    <cfRule type="cellIs" dxfId="289" priority="14" operator="greaterThan">
      <formula>0</formula>
    </cfRule>
  </conditionalFormatting>
  <conditionalFormatting sqref="P21">
    <cfRule type="expression" dxfId="288" priority="13">
      <formula>ISERROR(P21)</formula>
    </cfRule>
  </conditionalFormatting>
  <conditionalFormatting sqref="P21">
    <cfRule type="cellIs" dxfId="287" priority="12" operator="equal">
      <formula>0</formula>
    </cfRule>
  </conditionalFormatting>
  <conditionalFormatting sqref="P21">
    <cfRule type="cellIs" dxfId="286" priority="11" operator="greaterThan">
      <formula>0</formula>
    </cfRule>
  </conditionalFormatting>
  <conditionalFormatting sqref="P27 P29 P33">
    <cfRule type="cellIs" dxfId="285" priority="10" operator="notEqual">
      <formula>VALUE(P26)</formula>
    </cfRule>
  </conditionalFormatting>
  <conditionalFormatting sqref="P8 P10 P12 P14 P16 P27 P29 P31 P33 P35 P37 P25 P39 P41">
    <cfRule type="expression" dxfId="284" priority="8">
      <formula>ISBLANK(P8)</formula>
    </cfRule>
  </conditionalFormatting>
  <conditionalFormatting sqref="P8 P10 P12 P14 P16 P31 P35 P37 P25 P39 P41">
    <cfRule type="cellIs" dxfId="283" priority="9" operator="notEqual">
      <formula>P7</formula>
    </cfRule>
  </conditionalFormatting>
  <conditionalFormatting sqref="P24:P41">
    <cfRule type="expression" dxfId="282" priority="7" stopIfTrue="1">
      <formula>OR(P$22="Free",P$22="Telenor",P$22="Mtel",P$22="Telenor&amp;Mtel")</formula>
    </cfRule>
  </conditionalFormatting>
  <conditionalFormatting sqref="C19">
    <cfRule type="cellIs" dxfId="281" priority="4" operator="equal">
      <formula>0</formula>
    </cfRule>
    <cfRule type="expression" dxfId="280" priority="6">
      <formula>ISERROR(C19)</formula>
    </cfRule>
  </conditionalFormatting>
  <conditionalFormatting sqref="D19:P19">
    <cfRule type="cellIs" dxfId="279" priority="2" operator="equal">
      <formula>0</formula>
    </cfRule>
    <cfRule type="expression" dxfId="278" priority="3">
      <formula>ISERROR(D19)</formula>
    </cfRule>
  </conditionalFormatting>
  <conditionalFormatting sqref="C23:P23">
    <cfRule type="cellIs" dxfId="277" priority="1" operator="greaterThan">
      <formula>0</formula>
    </cfRule>
  </conditionalFormatting>
  <pageMargins left="0.25" right="0.25" top="0.75" bottom="0.75" header="0.3" footer="0.3"/>
  <pageSetup paperSize="9" scale="56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width="10.265625" style="8" bestFit="1" customWidth="1"/>
    <col min="2" max="2" width="40.1328125" style="9" bestFit="1" customWidth="1"/>
    <col min="3" max="7" width="9.1328125" style="23"/>
    <col min="8" max="8" width="9.3984375" style="23" bestFit="1" customWidth="1"/>
    <col min="9" max="16384" width="9.1328125" style="23"/>
  </cols>
  <sheetData>
    <row r="1" spans="1:16" ht="25.15" customHeight="1" thickBot="1">
      <c r="A1" s="236">
        <f>Common!B2</f>
        <v>0</v>
      </c>
      <c r="B1" s="265"/>
      <c r="C1" s="254" t="s">
        <v>39</v>
      </c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5"/>
    </row>
    <row r="2" spans="1:16" ht="18" thickBot="1">
      <c r="A2" s="35"/>
      <c r="B2" s="16" t="s">
        <v>1</v>
      </c>
      <c r="C2" s="221">
        <v>1</v>
      </c>
      <c r="D2" s="260"/>
      <c r="E2" s="260"/>
      <c r="F2" s="260"/>
      <c r="G2" s="260"/>
      <c r="H2" s="223"/>
      <c r="I2" s="261">
        <v>2</v>
      </c>
      <c r="J2" s="262"/>
      <c r="K2" s="262"/>
      <c r="L2" s="263"/>
      <c r="M2" s="261">
        <v>3</v>
      </c>
      <c r="N2" s="262"/>
      <c r="O2" s="264"/>
      <c r="P2" s="74">
        <v>4</v>
      </c>
    </row>
    <row r="3" spans="1:16" ht="17.25">
      <c r="A3" s="205"/>
      <c r="B3" s="14" t="s">
        <v>460</v>
      </c>
      <c r="C3" s="230"/>
      <c r="D3" s="231"/>
      <c r="E3" s="231"/>
      <c r="F3" s="231"/>
      <c r="G3" s="231"/>
      <c r="H3" s="231"/>
      <c r="I3" s="231"/>
      <c r="J3" s="231"/>
      <c r="K3" s="231"/>
      <c r="L3" s="231"/>
      <c r="M3" s="231"/>
      <c r="N3" s="231"/>
      <c r="O3" s="231"/>
      <c r="P3" s="232"/>
    </row>
    <row r="4" spans="1:16" s="24" customFormat="1" ht="25.15" thickBot="1">
      <c r="A4" s="205"/>
      <c r="B4" s="11" t="s">
        <v>450</v>
      </c>
      <c r="C4" s="215"/>
      <c r="D4" s="216"/>
      <c r="E4" s="216"/>
      <c r="F4" s="216"/>
      <c r="G4" s="216"/>
      <c r="H4" s="216"/>
      <c r="I4" s="216"/>
      <c r="J4" s="216"/>
      <c r="K4" s="216"/>
      <c r="L4" s="216"/>
      <c r="M4" s="216"/>
      <c r="N4" s="216"/>
      <c r="O4" s="216"/>
      <c r="P4" s="217"/>
    </row>
    <row r="5" spans="1:16" ht="24.75">
      <c r="A5" s="205"/>
      <c r="B5" s="15" t="s">
        <v>461</v>
      </c>
      <c r="C5" s="266"/>
      <c r="D5" s="267"/>
      <c r="E5" s="267"/>
      <c r="F5" s="267"/>
      <c r="G5" s="267"/>
      <c r="H5" s="267"/>
      <c r="I5" s="267"/>
      <c r="J5" s="267"/>
      <c r="K5" s="267"/>
      <c r="L5" s="267"/>
      <c r="M5" s="267"/>
      <c r="N5" s="267"/>
      <c r="O5" s="267"/>
      <c r="P5" s="268"/>
    </row>
    <row r="6" spans="1:16" s="24" customFormat="1" ht="25.15" thickBot="1">
      <c r="A6" s="205"/>
      <c r="B6" s="34" t="s">
        <v>451</v>
      </c>
      <c r="C6" s="215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  <c r="O6" s="216"/>
      <c r="P6" s="217"/>
    </row>
    <row r="7" spans="1:16" ht="17.25">
      <c r="A7" s="205"/>
      <c r="B7" s="10" t="s">
        <v>462</v>
      </c>
      <c r="C7" s="230"/>
      <c r="D7" s="231"/>
      <c r="E7" s="231"/>
      <c r="F7" s="231"/>
      <c r="G7" s="231"/>
      <c r="H7" s="232"/>
      <c r="I7" s="231"/>
      <c r="J7" s="231"/>
      <c r="K7" s="231"/>
      <c r="L7" s="232"/>
      <c r="M7" s="231"/>
      <c r="N7" s="231"/>
      <c r="O7" s="232"/>
      <c r="P7" s="92"/>
    </row>
    <row r="8" spans="1:16" s="24" customFormat="1" ht="17.649999999999999" thickBot="1">
      <c r="A8" s="205"/>
      <c r="B8" s="11" t="s">
        <v>452</v>
      </c>
      <c r="C8" s="218"/>
      <c r="D8" s="219"/>
      <c r="E8" s="219"/>
      <c r="F8" s="219"/>
      <c r="G8" s="219"/>
      <c r="H8" s="220"/>
      <c r="I8" s="218"/>
      <c r="J8" s="219"/>
      <c r="K8" s="219"/>
      <c r="L8" s="220"/>
      <c r="M8" s="218"/>
      <c r="N8" s="219"/>
      <c r="O8" s="220"/>
      <c r="P8" s="76"/>
    </row>
    <row r="9" spans="1:16" ht="17.25">
      <c r="A9" s="205"/>
      <c r="B9" s="10" t="s">
        <v>2</v>
      </c>
      <c r="C9" s="208"/>
      <c r="D9" s="206"/>
      <c r="E9" s="206"/>
      <c r="F9" s="206"/>
      <c r="G9" s="206"/>
      <c r="H9" s="207"/>
      <c r="I9" s="206"/>
      <c r="J9" s="206"/>
      <c r="K9" s="206"/>
      <c r="L9" s="207"/>
      <c r="M9" s="206"/>
      <c r="N9" s="206"/>
      <c r="O9" s="207"/>
      <c r="P9" s="75"/>
    </row>
    <row r="10" spans="1:16" s="24" customFormat="1" ht="17.649999999999999" thickBot="1">
      <c r="A10" s="205"/>
      <c r="B10" s="12" t="s">
        <v>3</v>
      </c>
      <c r="C10" s="218"/>
      <c r="D10" s="219"/>
      <c r="E10" s="219"/>
      <c r="F10" s="219"/>
      <c r="G10" s="219"/>
      <c r="H10" s="220"/>
      <c r="I10" s="218"/>
      <c r="J10" s="219"/>
      <c r="K10" s="219"/>
      <c r="L10" s="220"/>
      <c r="M10" s="218"/>
      <c r="N10" s="219"/>
      <c r="O10" s="220"/>
      <c r="P10" s="76"/>
    </row>
    <row r="11" spans="1:16" ht="17.25">
      <c r="A11" s="205"/>
      <c r="B11" s="10" t="s">
        <v>470</v>
      </c>
      <c r="C11" s="208"/>
      <c r="D11" s="206"/>
      <c r="E11" s="206"/>
      <c r="F11" s="206"/>
      <c r="G11" s="206"/>
      <c r="H11" s="207"/>
      <c r="I11" s="206"/>
      <c r="J11" s="206"/>
      <c r="K11" s="206"/>
      <c r="L11" s="207"/>
      <c r="M11" s="206"/>
      <c r="N11" s="206"/>
      <c r="O11" s="207"/>
      <c r="P11" s="75"/>
    </row>
    <row r="12" spans="1:16" s="24" customFormat="1" ht="17.649999999999999" thickBot="1">
      <c r="A12" s="205"/>
      <c r="B12" s="12" t="s">
        <v>471</v>
      </c>
      <c r="C12" s="250"/>
      <c r="D12" s="251"/>
      <c r="E12" s="251"/>
      <c r="F12" s="251"/>
      <c r="G12" s="251"/>
      <c r="H12" s="252"/>
      <c r="I12" s="250"/>
      <c r="J12" s="251"/>
      <c r="K12" s="251"/>
      <c r="L12" s="252"/>
      <c r="M12" s="250"/>
      <c r="N12" s="251"/>
      <c r="O12" s="252"/>
      <c r="P12" s="76"/>
    </row>
    <row r="13" spans="1:16" ht="17.25">
      <c r="A13" s="205"/>
      <c r="B13" s="10" t="s">
        <v>4</v>
      </c>
      <c r="C13" s="208"/>
      <c r="D13" s="206"/>
      <c r="E13" s="206"/>
      <c r="F13" s="206"/>
      <c r="G13" s="206"/>
      <c r="H13" s="207"/>
      <c r="I13" s="206"/>
      <c r="J13" s="206"/>
      <c r="K13" s="206"/>
      <c r="L13" s="207"/>
      <c r="M13" s="206"/>
      <c r="N13" s="206"/>
      <c r="O13" s="207"/>
      <c r="P13" s="75"/>
    </row>
    <row r="14" spans="1:16" s="24" customFormat="1" ht="17.649999999999999" thickBot="1">
      <c r="A14" s="205"/>
      <c r="B14" s="12" t="s">
        <v>453</v>
      </c>
      <c r="C14" s="247"/>
      <c r="D14" s="248"/>
      <c r="E14" s="248"/>
      <c r="F14" s="248"/>
      <c r="G14" s="248"/>
      <c r="H14" s="249"/>
      <c r="I14" s="247"/>
      <c r="J14" s="248"/>
      <c r="K14" s="248"/>
      <c r="L14" s="249"/>
      <c r="M14" s="247"/>
      <c r="N14" s="248"/>
      <c r="O14" s="249"/>
      <c r="P14" s="83"/>
    </row>
    <row r="15" spans="1:16" ht="17.25">
      <c r="A15" s="205"/>
      <c r="B15" s="10" t="s">
        <v>463</v>
      </c>
      <c r="C15" s="208"/>
      <c r="D15" s="206"/>
      <c r="E15" s="206"/>
      <c r="F15" s="206"/>
      <c r="G15" s="206"/>
      <c r="H15" s="207"/>
      <c r="I15" s="206"/>
      <c r="J15" s="206"/>
      <c r="K15" s="206"/>
      <c r="L15" s="207"/>
      <c r="M15" s="206"/>
      <c r="N15" s="206"/>
      <c r="O15" s="207"/>
      <c r="P15" s="82"/>
    </row>
    <row r="16" spans="1:16" s="24" customFormat="1" ht="17.25">
      <c r="A16" s="205"/>
      <c r="B16" s="70" t="s">
        <v>454</v>
      </c>
      <c r="C16" s="238"/>
      <c r="D16" s="239"/>
      <c r="E16" s="239"/>
      <c r="F16" s="239"/>
      <c r="G16" s="239"/>
      <c r="H16" s="240"/>
      <c r="I16" s="241"/>
      <c r="J16" s="242"/>
      <c r="K16" s="242"/>
      <c r="L16" s="243"/>
      <c r="M16" s="241"/>
      <c r="N16" s="242"/>
      <c r="O16" s="243"/>
      <c r="P16" s="77"/>
    </row>
    <row r="17" spans="1:18" ht="17.25">
      <c r="A17" s="259"/>
      <c r="B17" s="72" t="s">
        <v>5</v>
      </c>
      <c r="C17" s="67" t="s">
        <v>6</v>
      </c>
      <c r="D17" s="67" t="s">
        <v>7</v>
      </c>
      <c r="E17" s="67" t="s">
        <v>8</v>
      </c>
      <c r="F17" s="67" t="s">
        <v>9</v>
      </c>
      <c r="G17" s="67" t="s">
        <v>10</v>
      </c>
      <c r="H17" s="67" t="s">
        <v>278</v>
      </c>
      <c r="I17" s="67" t="s">
        <v>6</v>
      </c>
      <c r="J17" s="67" t="s">
        <v>7</v>
      </c>
      <c r="K17" s="67" t="s">
        <v>8</v>
      </c>
      <c r="L17" s="67" t="s">
        <v>9</v>
      </c>
      <c r="M17" s="67" t="s">
        <v>6</v>
      </c>
      <c r="N17" s="67" t="s">
        <v>7</v>
      </c>
      <c r="O17" s="67" t="s">
        <v>8</v>
      </c>
      <c r="P17" s="78" t="s">
        <v>6</v>
      </c>
    </row>
    <row r="18" spans="1:18" ht="17.25">
      <c r="A18" s="259"/>
      <c r="B18" s="72" t="s">
        <v>410</v>
      </c>
      <c r="C18" s="65"/>
      <c r="D18" s="66"/>
      <c r="E18" s="66"/>
      <c r="F18" s="66"/>
      <c r="G18" s="66"/>
      <c r="H18" s="67"/>
      <c r="I18" s="65"/>
      <c r="J18" s="66"/>
      <c r="K18" s="66"/>
      <c r="L18" s="67"/>
      <c r="M18" s="65"/>
      <c r="N18" s="66"/>
      <c r="O18" s="67"/>
      <c r="P18" s="79"/>
    </row>
    <row r="19" spans="1:18" ht="17.25">
      <c r="A19" s="259"/>
      <c r="B19" s="73" t="s">
        <v>411</v>
      </c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</row>
    <row r="20" spans="1:18" ht="17.25">
      <c r="A20" s="205"/>
      <c r="B20" s="71" t="s">
        <v>58</v>
      </c>
      <c r="C20" s="63"/>
      <c r="D20" s="64"/>
      <c r="E20" s="64"/>
      <c r="F20" s="64"/>
      <c r="G20" s="64"/>
      <c r="H20" s="64"/>
      <c r="I20" s="63"/>
      <c r="J20" s="64"/>
      <c r="K20" s="64"/>
      <c r="L20" s="68"/>
      <c r="M20" s="69"/>
      <c r="N20" s="64"/>
      <c r="O20" s="68"/>
      <c r="P20" s="68"/>
    </row>
    <row r="21" spans="1:18" ht="17.649999999999999" thickBot="1">
      <c r="A21" s="205"/>
      <c r="B21" s="20" t="s">
        <v>59</v>
      </c>
      <c r="C21" s="44"/>
      <c r="D21" s="45"/>
      <c r="E21" s="45"/>
      <c r="F21" s="45"/>
      <c r="G21" s="45"/>
      <c r="H21" s="45"/>
      <c r="I21" s="45"/>
      <c r="J21" s="45"/>
      <c r="K21" s="45"/>
      <c r="L21" s="46"/>
      <c r="M21" s="47"/>
      <c r="N21" s="45"/>
      <c r="O21" s="44"/>
      <c r="P21" s="44"/>
      <c r="R21" s="19"/>
    </row>
    <row r="22" spans="1:18" s="24" customFormat="1" ht="17.649999999999999" thickBot="1">
      <c r="A22" s="205"/>
      <c r="B22" s="30" t="s">
        <v>469</v>
      </c>
      <c r="C22" s="48"/>
      <c r="D22" s="49"/>
      <c r="E22" s="49"/>
      <c r="F22" s="49"/>
      <c r="G22" s="49"/>
      <c r="H22" s="49"/>
      <c r="I22" s="49"/>
      <c r="J22" s="49"/>
      <c r="K22" s="49"/>
      <c r="L22" s="50"/>
      <c r="M22" s="51"/>
      <c r="N22" s="49"/>
      <c r="O22" s="52"/>
      <c r="P22" s="52"/>
    </row>
    <row r="23" spans="1:18" s="24" customFormat="1" ht="17.649999999999999" thickBot="1">
      <c r="A23" s="205"/>
      <c r="B23" s="30" t="s">
        <v>270</v>
      </c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</row>
    <row r="24" spans="1:18" ht="17.25">
      <c r="A24" s="205"/>
      <c r="B24" s="13" t="s">
        <v>11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</row>
    <row r="25" spans="1:18" s="24" customFormat="1" ht="17.649999999999999" thickBot="1">
      <c r="A25" s="205"/>
      <c r="B25" s="31" t="s">
        <v>12</v>
      </c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80"/>
    </row>
    <row r="26" spans="1:18" ht="17.25">
      <c r="A26" s="205"/>
      <c r="B26" s="29" t="s">
        <v>13</v>
      </c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</row>
    <row r="27" spans="1:18" s="24" customFormat="1" ht="17.649999999999999" thickBot="1">
      <c r="A27" s="205"/>
      <c r="B27" s="32" t="s">
        <v>14</v>
      </c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</row>
    <row r="28" spans="1:18" ht="17.25">
      <c r="A28" s="205"/>
      <c r="B28" s="13" t="s">
        <v>15</v>
      </c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</row>
    <row r="29" spans="1:18" s="24" customFormat="1" ht="17.649999999999999" thickBot="1">
      <c r="A29" s="205"/>
      <c r="B29" s="33" t="s">
        <v>16</v>
      </c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80"/>
    </row>
    <row r="30" spans="1:18" ht="17.25">
      <c r="A30" s="205"/>
      <c r="B30" s="29" t="s">
        <v>464</v>
      </c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</row>
    <row r="31" spans="1:18" s="24" customFormat="1" ht="17.649999999999999" thickBot="1">
      <c r="A31" s="205"/>
      <c r="B31" s="32" t="s">
        <v>455</v>
      </c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81"/>
    </row>
    <row r="32" spans="1:18" ht="17.25">
      <c r="A32" s="205"/>
      <c r="B32" s="13" t="s">
        <v>465</v>
      </c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</row>
    <row r="33" spans="1:21" s="24" customFormat="1" ht="17.649999999999999" thickBot="1">
      <c r="A33" s="205"/>
      <c r="B33" s="32" t="s">
        <v>456</v>
      </c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80"/>
    </row>
    <row r="34" spans="1:21" ht="17.25">
      <c r="A34" s="205"/>
      <c r="B34" s="29" t="s">
        <v>466</v>
      </c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U34" s="24"/>
    </row>
    <row r="35" spans="1:21" s="24" customFormat="1" ht="17.649999999999999" thickBot="1">
      <c r="A35" s="205"/>
      <c r="B35" s="30" t="s">
        <v>457</v>
      </c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80"/>
      <c r="U35" s="23"/>
    </row>
    <row r="36" spans="1:21" ht="17.25">
      <c r="A36" s="205"/>
      <c r="B36" s="13" t="s">
        <v>17</v>
      </c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</row>
    <row r="37" spans="1:21" s="24" customFormat="1" ht="17.649999999999999" thickBot="1">
      <c r="A37" s="205"/>
      <c r="B37" s="30" t="s">
        <v>18</v>
      </c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80"/>
    </row>
    <row r="38" spans="1:21" ht="17.25">
      <c r="A38" s="205"/>
      <c r="B38" s="13" t="s">
        <v>467</v>
      </c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</row>
    <row r="39" spans="1:21" s="24" customFormat="1" ht="17.649999999999999" thickBot="1">
      <c r="A39" s="205"/>
      <c r="B39" s="30" t="s">
        <v>458</v>
      </c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80"/>
    </row>
    <row r="40" spans="1:21" ht="17.25">
      <c r="A40" s="205"/>
      <c r="B40" s="13" t="s">
        <v>468</v>
      </c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</row>
    <row r="41" spans="1:21" s="24" customFormat="1" ht="17.649999999999999" thickBot="1">
      <c r="A41" s="205"/>
      <c r="B41" s="31" t="s">
        <v>459</v>
      </c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80"/>
    </row>
    <row r="42" spans="1:21" ht="12.75" customHeight="1">
      <c r="A42" s="227" t="s">
        <v>63</v>
      </c>
      <c r="B42" s="196"/>
      <c r="C42" s="197"/>
      <c r="D42" s="197"/>
      <c r="E42" s="197"/>
      <c r="F42" s="197"/>
      <c r="G42" s="197"/>
      <c r="H42" s="197"/>
      <c r="I42" s="197"/>
      <c r="J42" s="197"/>
      <c r="K42" s="197"/>
      <c r="L42" s="197"/>
      <c r="M42" s="197"/>
      <c r="N42" s="197"/>
      <c r="O42" s="197"/>
      <c r="P42" s="198"/>
      <c r="Q42" s="24"/>
      <c r="R42" s="24"/>
      <c r="S42" s="24"/>
    </row>
    <row r="43" spans="1:21" ht="13.15" customHeight="1">
      <c r="A43" s="228"/>
      <c r="B43" s="199"/>
      <c r="C43" s="200"/>
      <c r="D43" s="200"/>
      <c r="E43" s="200"/>
      <c r="F43" s="200"/>
      <c r="G43" s="200"/>
      <c r="H43" s="200"/>
      <c r="I43" s="200"/>
      <c r="J43" s="200"/>
      <c r="K43" s="200"/>
      <c r="L43" s="200"/>
      <c r="M43" s="200"/>
      <c r="N43" s="200"/>
      <c r="O43" s="200"/>
      <c r="P43" s="201"/>
      <c r="Q43" s="24"/>
      <c r="R43" s="24"/>
      <c r="S43" s="24"/>
    </row>
    <row r="44" spans="1:21" ht="13.15" customHeight="1">
      <c r="A44" s="228"/>
      <c r="B44" s="199"/>
      <c r="C44" s="200"/>
      <c r="D44" s="200"/>
      <c r="E44" s="200"/>
      <c r="F44" s="200"/>
      <c r="G44" s="200"/>
      <c r="H44" s="200"/>
      <c r="I44" s="200"/>
      <c r="J44" s="200"/>
      <c r="K44" s="200"/>
      <c r="L44" s="200"/>
      <c r="M44" s="200"/>
      <c r="N44" s="200"/>
      <c r="O44" s="200"/>
      <c r="P44" s="201"/>
      <c r="Q44" s="24"/>
      <c r="R44" s="24"/>
      <c r="S44" s="24"/>
    </row>
    <row r="45" spans="1:21" ht="13.9" customHeight="1" thickBot="1">
      <c r="A45" s="229"/>
      <c r="B45" s="202"/>
      <c r="C45" s="203"/>
      <c r="D45" s="203"/>
      <c r="E45" s="203"/>
      <c r="F45" s="203"/>
      <c r="G45" s="203"/>
      <c r="H45" s="203"/>
      <c r="I45" s="203"/>
      <c r="J45" s="203"/>
      <c r="K45" s="203"/>
      <c r="L45" s="203"/>
      <c r="M45" s="203"/>
      <c r="N45" s="203"/>
      <c r="O45" s="203"/>
      <c r="P45" s="204"/>
      <c r="Q45" s="24"/>
      <c r="R45" s="24"/>
      <c r="S45" s="24"/>
    </row>
  </sheetData>
  <mergeCells count="44"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  <mergeCell ref="A1:B1"/>
    <mergeCell ref="A42:A45"/>
    <mergeCell ref="A36:A41"/>
    <mergeCell ref="A34:A35"/>
    <mergeCell ref="A3:A33"/>
    <mergeCell ref="C8:H8"/>
    <mergeCell ref="I8:L8"/>
    <mergeCell ref="M8:O8"/>
    <mergeCell ref="C9:H9"/>
    <mergeCell ref="I9:L9"/>
    <mergeCell ref="M9:O9"/>
    <mergeCell ref="M15:O15"/>
    <mergeCell ref="C10:H10"/>
    <mergeCell ref="I10:L10"/>
    <mergeCell ref="M10:O10"/>
    <mergeCell ref="C11:H11"/>
    <mergeCell ref="I11:L11"/>
    <mergeCell ref="M11:O11"/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</mergeCells>
  <conditionalFormatting sqref="C22:E22 C4 H22:O22">
    <cfRule type="cellIs" dxfId="276" priority="43" operator="greaterThan">
      <formula>0</formula>
    </cfRule>
  </conditionalFormatting>
  <conditionalFormatting sqref="C21:E21 H21:O21">
    <cfRule type="expression" dxfId="275" priority="42">
      <formula>ISERROR(C21)</formula>
    </cfRule>
  </conditionalFormatting>
  <conditionalFormatting sqref="C21:E21 H21:O21">
    <cfRule type="cellIs" dxfId="274" priority="41" operator="equal">
      <formula>0</formula>
    </cfRule>
  </conditionalFormatting>
  <conditionalFormatting sqref="C21:E21 H21:O21">
    <cfRule type="cellIs" dxfId="273" priority="40" operator="greaterThan">
      <formula>0</formula>
    </cfRule>
  </conditionalFormatting>
  <conditionalFormatting sqref="C27:O27 D29:O29 D33:O33">
    <cfRule type="cellIs" dxfId="272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271" priority="35">
      <formula>ISBLANK(C8)</formula>
    </cfRule>
  </conditionalFormatting>
  <conditionalFormatting sqref="C29">
    <cfRule type="cellIs" dxfId="270" priority="37" operator="notEqual">
      <formula>VALUE(C28)</formula>
    </cfRule>
  </conditionalFormatting>
  <conditionalFormatting sqref="C29">
    <cfRule type="expression" dxfId="269" priority="36">
      <formula>ISBLANK(C29)</formula>
    </cfRule>
  </conditionalFormatting>
  <conditionalFormatting sqref="C8:O8 C10:O10 C12:O12 C14:O14 C16:O16 C31:O31 D35:O35 D37:O37 D25:O25 D39:O39 D41:O41">
    <cfRule type="cellIs" dxfId="268" priority="38" operator="notEqual">
      <formula>C7</formula>
    </cfRule>
  </conditionalFormatting>
  <conditionalFormatting sqref="C31">
    <cfRule type="expression" dxfId="267" priority="34">
      <formula>ISBLANK(C31)</formula>
    </cfRule>
  </conditionalFormatting>
  <conditionalFormatting sqref="C33">
    <cfRule type="cellIs" dxfId="266" priority="33" operator="notEqual">
      <formula>VALUE(C32)</formula>
    </cfRule>
  </conditionalFormatting>
  <conditionalFormatting sqref="C33">
    <cfRule type="expression" dxfId="265" priority="32">
      <formula>ISBLANK(C33)</formula>
    </cfRule>
  </conditionalFormatting>
  <conditionalFormatting sqref="C35">
    <cfRule type="cellIs" dxfId="264" priority="31" operator="notEqual">
      <formula>C34</formula>
    </cfRule>
  </conditionalFormatting>
  <conditionalFormatting sqref="C35">
    <cfRule type="expression" dxfId="263" priority="30">
      <formula>ISBLANK(C35)</formula>
    </cfRule>
  </conditionalFormatting>
  <conditionalFormatting sqref="C37">
    <cfRule type="cellIs" dxfId="262" priority="29" operator="notEqual">
      <formula>C36</formula>
    </cfRule>
  </conditionalFormatting>
  <conditionalFormatting sqref="C37">
    <cfRule type="expression" dxfId="261" priority="28">
      <formula>ISBLANK(C37)</formula>
    </cfRule>
  </conditionalFormatting>
  <conditionalFormatting sqref="C6">
    <cfRule type="expression" dxfId="260" priority="26">
      <formula>ISBLANK(C6)</formula>
    </cfRule>
    <cfRule type="cellIs" dxfId="259" priority="27" operator="notEqual">
      <formula>C5</formula>
    </cfRule>
  </conditionalFormatting>
  <conditionalFormatting sqref="C25">
    <cfRule type="cellIs" dxfId="258" priority="25" operator="notEqual">
      <formula>C24</formula>
    </cfRule>
  </conditionalFormatting>
  <conditionalFormatting sqref="C25">
    <cfRule type="expression" dxfId="257" priority="24">
      <formula>ISBLANK(C25)</formula>
    </cfRule>
  </conditionalFormatting>
  <conditionalFormatting sqref="C39">
    <cfRule type="cellIs" dxfId="256" priority="23" operator="notEqual">
      <formula>C38</formula>
    </cfRule>
  </conditionalFormatting>
  <conditionalFormatting sqref="C39">
    <cfRule type="expression" dxfId="255" priority="22">
      <formula>ISBLANK(C39)</formula>
    </cfRule>
  </conditionalFormatting>
  <conditionalFormatting sqref="C41">
    <cfRule type="cellIs" dxfId="254" priority="21" operator="notEqual">
      <formula>C40</formula>
    </cfRule>
  </conditionalFormatting>
  <conditionalFormatting sqref="C41">
    <cfRule type="expression" dxfId="253" priority="20">
      <formula>ISBLANK(C41)</formula>
    </cfRule>
  </conditionalFormatting>
  <conditionalFormatting sqref="C24:O41">
    <cfRule type="expression" dxfId="252" priority="19" stopIfTrue="1">
      <formula>OR(C$22="Free",C$22="Telenor",C$22="Mtel",C$22="Telenor&amp;Mtel")</formula>
    </cfRule>
  </conditionalFormatting>
  <conditionalFormatting sqref="F22:G22">
    <cfRule type="cellIs" dxfId="251" priority="18" operator="greaterThan">
      <formula>0</formula>
    </cfRule>
  </conditionalFormatting>
  <conditionalFormatting sqref="F21:G21">
    <cfRule type="expression" dxfId="250" priority="17">
      <formula>ISERROR(F21)</formula>
    </cfRule>
  </conditionalFormatting>
  <conditionalFormatting sqref="F21:G21">
    <cfRule type="cellIs" dxfId="249" priority="16" operator="equal">
      <formula>0</formula>
    </cfRule>
  </conditionalFormatting>
  <conditionalFormatting sqref="F21:G21">
    <cfRule type="cellIs" dxfId="248" priority="15" operator="greaterThan">
      <formula>0</formula>
    </cfRule>
  </conditionalFormatting>
  <conditionalFormatting sqref="P22">
    <cfRule type="cellIs" dxfId="247" priority="14" operator="greaterThan">
      <formula>0</formula>
    </cfRule>
  </conditionalFormatting>
  <conditionalFormatting sqref="P21">
    <cfRule type="expression" dxfId="246" priority="13">
      <formula>ISERROR(P21)</formula>
    </cfRule>
  </conditionalFormatting>
  <conditionalFormatting sqref="P21">
    <cfRule type="cellIs" dxfId="245" priority="12" operator="equal">
      <formula>0</formula>
    </cfRule>
  </conditionalFormatting>
  <conditionalFormatting sqref="P21">
    <cfRule type="cellIs" dxfId="244" priority="11" operator="greaterThan">
      <formula>0</formula>
    </cfRule>
  </conditionalFormatting>
  <conditionalFormatting sqref="P27 P29 P33">
    <cfRule type="cellIs" dxfId="243" priority="10" operator="notEqual">
      <formula>VALUE(P26)</formula>
    </cfRule>
  </conditionalFormatting>
  <conditionalFormatting sqref="P8 P10 P12 P14 P16 P27 P29 P31 P33 P35 P37 P25 P39 P41">
    <cfRule type="expression" dxfId="242" priority="8">
      <formula>ISBLANK(P8)</formula>
    </cfRule>
  </conditionalFormatting>
  <conditionalFormatting sqref="P8 P10 P12 P14 P16 P31 P35 P37 P25 P39 P41">
    <cfRule type="cellIs" dxfId="241" priority="9" operator="notEqual">
      <formula>P7</formula>
    </cfRule>
  </conditionalFormatting>
  <conditionalFormatting sqref="P24:P41">
    <cfRule type="expression" dxfId="240" priority="7" stopIfTrue="1">
      <formula>OR(P$22="Free",P$22="Telenor",P$22="Mtel",P$22="Telenor&amp;Mtel")</formula>
    </cfRule>
  </conditionalFormatting>
  <conditionalFormatting sqref="C19">
    <cfRule type="cellIs" dxfId="239" priority="4" operator="equal">
      <formula>0</formula>
    </cfRule>
    <cfRule type="expression" dxfId="238" priority="6">
      <formula>ISERROR(C19)</formula>
    </cfRule>
  </conditionalFormatting>
  <conditionalFormatting sqref="D19:P19">
    <cfRule type="cellIs" dxfId="237" priority="2" operator="equal">
      <formula>0</formula>
    </cfRule>
    <cfRule type="expression" dxfId="236" priority="3">
      <formula>ISERROR(D19)</formula>
    </cfRule>
  </conditionalFormatting>
  <conditionalFormatting sqref="C23:P23">
    <cfRule type="cellIs" dxfId="235" priority="1" operator="greaterThan">
      <formula>0</formula>
    </cfRule>
  </conditionalFormatting>
  <pageMargins left="0.25" right="0.25" top="0.75" bottom="0.75" header="0.3" footer="0.3"/>
  <pageSetup paperSize="9" scale="56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width="10.265625" style="8" bestFit="1" customWidth="1"/>
    <col min="2" max="2" width="40.1328125" style="9" bestFit="1" customWidth="1"/>
    <col min="3" max="7" width="9.1328125" style="23"/>
    <col min="8" max="8" width="9.3984375" style="23" bestFit="1" customWidth="1"/>
    <col min="9" max="16384" width="9.1328125" style="23"/>
  </cols>
  <sheetData>
    <row r="1" spans="1:16" ht="25.15" customHeight="1" thickBot="1">
      <c r="A1" s="236"/>
      <c r="B1" s="237"/>
      <c r="C1" s="254" t="s">
        <v>273</v>
      </c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</row>
    <row r="2" spans="1:16" ht="18" thickBot="1">
      <c r="A2" s="35"/>
      <c r="B2" s="16" t="s">
        <v>1</v>
      </c>
      <c r="C2" s="221">
        <v>1</v>
      </c>
      <c r="D2" s="260"/>
      <c r="E2" s="260"/>
      <c r="F2" s="260"/>
      <c r="G2" s="260"/>
      <c r="H2" s="223"/>
      <c r="I2" s="261">
        <v>2</v>
      </c>
      <c r="J2" s="262"/>
      <c r="K2" s="262"/>
      <c r="L2" s="263"/>
      <c r="M2" s="261">
        <v>3</v>
      </c>
      <c r="N2" s="262"/>
      <c r="O2" s="264"/>
      <c r="P2" s="74">
        <v>4</v>
      </c>
    </row>
    <row r="3" spans="1:16" ht="17.25">
      <c r="A3" s="205"/>
      <c r="B3" s="14" t="s">
        <v>460</v>
      </c>
      <c r="C3" s="208"/>
      <c r="D3" s="206"/>
      <c r="E3" s="206"/>
      <c r="F3" s="206"/>
      <c r="G3" s="206"/>
      <c r="H3" s="206"/>
      <c r="I3" s="206"/>
      <c r="J3" s="206"/>
      <c r="K3" s="206"/>
      <c r="L3" s="206"/>
      <c r="M3" s="206"/>
      <c r="N3" s="206"/>
      <c r="O3" s="206"/>
      <c r="P3" s="207"/>
    </row>
    <row r="4" spans="1:16" s="24" customFormat="1" ht="25.15" thickBot="1">
      <c r="A4" s="205"/>
      <c r="B4" s="11" t="s">
        <v>450</v>
      </c>
      <c r="C4" s="215"/>
      <c r="D4" s="216"/>
      <c r="E4" s="216"/>
      <c r="F4" s="216"/>
      <c r="G4" s="216"/>
      <c r="H4" s="216"/>
      <c r="I4" s="216"/>
      <c r="J4" s="216"/>
      <c r="K4" s="216"/>
      <c r="L4" s="216"/>
      <c r="M4" s="216"/>
      <c r="N4" s="216"/>
      <c r="O4" s="216"/>
      <c r="P4" s="217"/>
    </row>
    <row r="5" spans="1:16" ht="24.75">
      <c r="A5" s="205"/>
      <c r="B5" s="15" t="s">
        <v>461</v>
      </c>
      <c r="C5" s="212"/>
      <c r="D5" s="213"/>
      <c r="E5" s="213"/>
      <c r="F5" s="213"/>
      <c r="G5" s="213"/>
      <c r="H5" s="213"/>
      <c r="I5" s="213"/>
      <c r="J5" s="213"/>
      <c r="K5" s="213"/>
      <c r="L5" s="213"/>
      <c r="M5" s="213"/>
      <c r="N5" s="213"/>
      <c r="O5" s="213"/>
      <c r="P5" s="214"/>
    </row>
    <row r="6" spans="1:16" s="24" customFormat="1" ht="25.15" thickBot="1">
      <c r="A6" s="205"/>
      <c r="B6" s="34" t="s">
        <v>451</v>
      </c>
      <c r="C6" s="215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  <c r="O6" s="216"/>
      <c r="P6" s="217"/>
    </row>
    <row r="7" spans="1:16" ht="17.25">
      <c r="A7" s="205"/>
      <c r="B7" s="10" t="s">
        <v>462</v>
      </c>
      <c r="C7" s="230"/>
      <c r="D7" s="231"/>
      <c r="E7" s="231"/>
      <c r="F7" s="231"/>
      <c r="G7" s="231"/>
      <c r="H7" s="232"/>
      <c r="I7" s="231"/>
      <c r="J7" s="231"/>
      <c r="K7" s="231"/>
      <c r="L7" s="232"/>
      <c r="M7" s="231"/>
      <c r="N7" s="231"/>
      <c r="O7" s="232"/>
      <c r="P7" s="92"/>
    </row>
    <row r="8" spans="1:16" s="24" customFormat="1" ht="17.649999999999999" thickBot="1">
      <c r="A8" s="205"/>
      <c r="B8" s="11" t="s">
        <v>452</v>
      </c>
      <c r="C8" s="218"/>
      <c r="D8" s="219"/>
      <c r="E8" s="219"/>
      <c r="F8" s="219"/>
      <c r="G8" s="219"/>
      <c r="H8" s="220"/>
      <c r="I8" s="218"/>
      <c r="J8" s="219"/>
      <c r="K8" s="219"/>
      <c r="L8" s="220"/>
      <c r="M8" s="218"/>
      <c r="N8" s="219"/>
      <c r="O8" s="220"/>
      <c r="P8" s="76"/>
    </row>
    <row r="9" spans="1:16" ht="17.25">
      <c r="A9" s="205"/>
      <c r="B9" s="10" t="s">
        <v>2</v>
      </c>
      <c r="C9" s="208"/>
      <c r="D9" s="206"/>
      <c r="E9" s="206"/>
      <c r="F9" s="206"/>
      <c r="G9" s="206"/>
      <c r="H9" s="207"/>
      <c r="I9" s="206"/>
      <c r="J9" s="206"/>
      <c r="K9" s="206"/>
      <c r="L9" s="207"/>
      <c r="M9" s="206"/>
      <c r="N9" s="206"/>
      <c r="O9" s="207"/>
      <c r="P9" s="75"/>
    </row>
    <row r="10" spans="1:16" s="24" customFormat="1" ht="17.649999999999999" thickBot="1">
      <c r="A10" s="205"/>
      <c r="B10" s="12" t="s">
        <v>3</v>
      </c>
      <c r="C10" s="218"/>
      <c r="D10" s="219"/>
      <c r="E10" s="219"/>
      <c r="F10" s="219"/>
      <c r="G10" s="219"/>
      <c r="H10" s="220"/>
      <c r="I10" s="218"/>
      <c r="J10" s="219"/>
      <c r="K10" s="219"/>
      <c r="L10" s="220"/>
      <c r="M10" s="218"/>
      <c r="N10" s="219"/>
      <c r="O10" s="220"/>
      <c r="P10" s="76"/>
    </row>
    <row r="11" spans="1:16" ht="17.25">
      <c r="A11" s="205"/>
      <c r="B11" s="10" t="s">
        <v>470</v>
      </c>
      <c r="C11" s="208"/>
      <c r="D11" s="206"/>
      <c r="E11" s="206"/>
      <c r="F11" s="206"/>
      <c r="G11" s="206"/>
      <c r="H11" s="207"/>
      <c r="I11" s="206"/>
      <c r="J11" s="206"/>
      <c r="K11" s="206"/>
      <c r="L11" s="207"/>
      <c r="M11" s="206"/>
      <c r="N11" s="206"/>
      <c r="O11" s="207"/>
      <c r="P11" s="75"/>
    </row>
    <row r="12" spans="1:16" s="24" customFormat="1" ht="17.649999999999999" thickBot="1">
      <c r="A12" s="205"/>
      <c r="B12" s="12" t="s">
        <v>471</v>
      </c>
      <c r="C12" s="250"/>
      <c r="D12" s="251"/>
      <c r="E12" s="251"/>
      <c r="F12" s="251"/>
      <c r="G12" s="251"/>
      <c r="H12" s="252"/>
      <c r="I12" s="250"/>
      <c r="J12" s="251"/>
      <c r="K12" s="251"/>
      <c r="L12" s="252"/>
      <c r="M12" s="250"/>
      <c r="N12" s="251"/>
      <c r="O12" s="252"/>
      <c r="P12" s="76"/>
    </row>
    <row r="13" spans="1:16" ht="17.25">
      <c r="A13" s="205"/>
      <c r="B13" s="10" t="s">
        <v>4</v>
      </c>
      <c r="C13" s="208"/>
      <c r="D13" s="206"/>
      <c r="E13" s="206"/>
      <c r="F13" s="206"/>
      <c r="G13" s="206"/>
      <c r="H13" s="207"/>
      <c r="I13" s="206"/>
      <c r="J13" s="206"/>
      <c r="K13" s="206"/>
      <c r="L13" s="207"/>
      <c r="M13" s="206"/>
      <c r="N13" s="206"/>
      <c r="O13" s="207"/>
      <c r="P13" s="75"/>
    </row>
    <row r="14" spans="1:16" s="24" customFormat="1" ht="17.649999999999999" thickBot="1">
      <c r="A14" s="205"/>
      <c r="B14" s="12" t="s">
        <v>453</v>
      </c>
      <c r="C14" s="247"/>
      <c r="D14" s="248"/>
      <c r="E14" s="248"/>
      <c r="F14" s="248"/>
      <c r="G14" s="248"/>
      <c r="H14" s="249"/>
      <c r="I14" s="247"/>
      <c r="J14" s="248"/>
      <c r="K14" s="248"/>
      <c r="L14" s="249"/>
      <c r="M14" s="247"/>
      <c r="N14" s="248"/>
      <c r="O14" s="249"/>
      <c r="P14" s="83"/>
    </row>
    <row r="15" spans="1:16" ht="17.25">
      <c r="A15" s="205"/>
      <c r="B15" s="10" t="s">
        <v>463</v>
      </c>
      <c r="C15" s="208"/>
      <c r="D15" s="206"/>
      <c r="E15" s="206"/>
      <c r="F15" s="206"/>
      <c r="G15" s="206"/>
      <c r="H15" s="207"/>
      <c r="I15" s="206"/>
      <c r="J15" s="206"/>
      <c r="K15" s="206"/>
      <c r="L15" s="207"/>
      <c r="M15" s="206"/>
      <c r="N15" s="206"/>
      <c r="O15" s="207"/>
      <c r="P15" s="82"/>
    </row>
    <row r="16" spans="1:16" s="24" customFormat="1" ht="17.25">
      <c r="A16" s="205"/>
      <c r="B16" s="70" t="s">
        <v>454</v>
      </c>
      <c r="C16" s="238"/>
      <c r="D16" s="239"/>
      <c r="E16" s="239"/>
      <c r="F16" s="239"/>
      <c r="G16" s="239"/>
      <c r="H16" s="240"/>
      <c r="I16" s="241"/>
      <c r="J16" s="242"/>
      <c r="K16" s="242"/>
      <c r="L16" s="243"/>
      <c r="M16" s="241"/>
      <c r="N16" s="242"/>
      <c r="O16" s="243"/>
      <c r="P16" s="77"/>
    </row>
    <row r="17" spans="1:18" ht="17.25">
      <c r="A17" s="259"/>
      <c r="B17" s="72" t="s">
        <v>5</v>
      </c>
      <c r="C17" s="65" t="s">
        <v>6</v>
      </c>
      <c r="D17" s="66" t="s">
        <v>7</v>
      </c>
      <c r="E17" s="66" t="s">
        <v>8</v>
      </c>
      <c r="F17" s="66" t="s">
        <v>9</v>
      </c>
      <c r="G17" s="66" t="s">
        <v>10</v>
      </c>
      <c r="H17" s="67" t="s">
        <v>278</v>
      </c>
      <c r="I17" s="65" t="s">
        <v>6</v>
      </c>
      <c r="J17" s="66" t="s">
        <v>7</v>
      </c>
      <c r="K17" s="66" t="s">
        <v>8</v>
      </c>
      <c r="L17" s="67" t="s">
        <v>9</v>
      </c>
      <c r="M17" s="65" t="s">
        <v>6</v>
      </c>
      <c r="N17" s="66" t="s">
        <v>7</v>
      </c>
      <c r="O17" s="67" t="s">
        <v>8</v>
      </c>
      <c r="P17" s="78" t="s">
        <v>6</v>
      </c>
    </row>
    <row r="18" spans="1:18" ht="17.25">
      <c r="A18" s="259"/>
      <c r="B18" s="72" t="s">
        <v>410</v>
      </c>
      <c r="C18" s="65"/>
      <c r="D18" s="66"/>
      <c r="E18" s="66"/>
      <c r="F18" s="66"/>
      <c r="G18" s="66"/>
      <c r="H18" s="67"/>
      <c r="I18" s="65"/>
      <c r="J18" s="66"/>
      <c r="K18" s="66"/>
      <c r="L18" s="67"/>
      <c r="M18" s="65"/>
      <c r="N18" s="66"/>
      <c r="O18" s="67"/>
      <c r="P18" s="79"/>
    </row>
    <row r="19" spans="1:18" ht="17.25">
      <c r="A19" s="259"/>
      <c r="B19" s="73" t="s">
        <v>411</v>
      </c>
      <c r="C19" s="107"/>
      <c r="D19" s="107"/>
      <c r="E19" s="107"/>
      <c r="F19" s="107"/>
      <c r="G19" s="107"/>
      <c r="H19" s="107"/>
      <c r="I19" s="107"/>
      <c r="J19" s="107"/>
      <c r="K19" s="107"/>
      <c r="L19" s="107"/>
      <c r="M19" s="107"/>
      <c r="N19" s="107"/>
      <c r="O19" s="107"/>
      <c r="P19" s="101"/>
    </row>
    <row r="20" spans="1:18" ht="17.25">
      <c r="A20" s="205"/>
      <c r="B20" s="71" t="s">
        <v>58</v>
      </c>
      <c r="C20" s="63"/>
      <c r="D20" s="64"/>
      <c r="E20" s="64"/>
      <c r="F20" s="64"/>
      <c r="G20" s="64"/>
      <c r="H20" s="64"/>
      <c r="I20" s="63"/>
      <c r="J20" s="64"/>
      <c r="K20" s="64"/>
      <c r="L20" s="68"/>
      <c r="M20" s="69"/>
      <c r="N20" s="64"/>
      <c r="O20" s="68"/>
      <c r="P20" s="68"/>
    </row>
    <row r="21" spans="1:18" ht="17.649999999999999" thickBot="1">
      <c r="A21" s="205"/>
      <c r="B21" s="20" t="s">
        <v>59</v>
      </c>
      <c r="C21" s="44"/>
      <c r="D21" s="45"/>
      <c r="E21" s="45"/>
      <c r="F21" s="45"/>
      <c r="G21" s="45"/>
      <c r="H21" s="45"/>
      <c r="I21" s="45"/>
      <c r="J21" s="45"/>
      <c r="K21" s="45"/>
      <c r="L21" s="46"/>
      <c r="M21" s="47"/>
      <c r="N21" s="45"/>
      <c r="O21" s="44"/>
      <c r="P21" s="44"/>
      <c r="R21" s="19"/>
    </row>
    <row r="22" spans="1:18" s="24" customFormat="1" ht="17.649999999999999" thickBot="1">
      <c r="A22" s="205"/>
      <c r="B22" s="30" t="s">
        <v>469</v>
      </c>
      <c r="C22" s="48"/>
      <c r="D22" s="49"/>
      <c r="E22" s="49"/>
      <c r="F22" s="49"/>
      <c r="G22" s="49"/>
      <c r="H22" s="49"/>
      <c r="I22" s="49"/>
      <c r="J22" s="49"/>
      <c r="K22" s="49"/>
      <c r="L22" s="50"/>
      <c r="M22" s="51"/>
      <c r="N22" s="49"/>
      <c r="O22" s="52"/>
      <c r="P22" s="52"/>
    </row>
    <row r="23" spans="1:18" s="24" customFormat="1" ht="17.649999999999999" thickBot="1">
      <c r="A23" s="205"/>
      <c r="B23" s="30" t="s">
        <v>270</v>
      </c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</row>
    <row r="24" spans="1:18" ht="17.25">
      <c r="A24" s="205"/>
      <c r="B24" s="13" t="s">
        <v>11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</row>
    <row r="25" spans="1:18" s="24" customFormat="1" ht="17.649999999999999" thickBot="1">
      <c r="A25" s="205"/>
      <c r="B25" s="31" t="s">
        <v>12</v>
      </c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80"/>
    </row>
    <row r="26" spans="1:18" ht="17.25">
      <c r="A26" s="205"/>
      <c r="B26" s="29" t="s">
        <v>13</v>
      </c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</row>
    <row r="27" spans="1:18" s="24" customFormat="1" ht="17.649999999999999" thickBot="1">
      <c r="A27" s="205"/>
      <c r="B27" s="32" t="s">
        <v>14</v>
      </c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</row>
    <row r="28" spans="1:18" ht="17.25">
      <c r="A28" s="205"/>
      <c r="B28" s="13" t="s">
        <v>15</v>
      </c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</row>
    <row r="29" spans="1:18" s="24" customFormat="1" ht="17.649999999999999" thickBot="1">
      <c r="A29" s="205"/>
      <c r="B29" s="33" t="s">
        <v>16</v>
      </c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80"/>
    </row>
    <row r="30" spans="1:18" ht="17.25">
      <c r="A30" s="205"/>
      <c r="B30" s="29" t="s">
        <v>464</v>
      </c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</row>
    <row r="31" spans="1:18" s="24" customFormat="1" ht="17.649999999999999" thickBot="1">
      <c r="A31" s="205"/>
      <c r="B31" s="32" t="s">
        <v>455</v>
      </c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81"/>
    </row>
    <row r="32" spans="1:18" ht="17.25">
      <c r="A32" s="205"/>
      <c r="B32" s="13" t="s">
        <v>465</v>
      </c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</row>
    <row r="33" spans="1:21" s="24" customFormat="1" ht="17.649999999999999" thickBot="1">
      <c r="A33" s="205"/>
      <c r="B33" s="32" t="s">
        <v>456</v>
      </c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80"/>
    </row>
    <row r="34" spans="1:21" ht="17.25">
      <c r="A34" s="205"/>
      <c r="B34" s="29" t="s">
        <v>466</v>
      </c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U34" s="24"/>
    </row>
    <row r="35" spans="1:21" s="24" customFormat="1" ht="17.649999999999999" thickBot="1">
      <c r="A35" s="205"/>
      <c r="B35" s="30" t="s">
        <v>457</v>
      </c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80"/>
      <c r="U35" s="23"/>
    </row>
    <row r="36" spans="1:21" ht="17.25">
      <c r="A36" s="205"/>
      <c r="B36" s="13" t="s">
        <v>17</v>
      </c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</row>
    <row r="37" spans="1:21" s="24" customFormat="1" ht="17.649999999999999" thickBot="1">
      <c r="A37" s="205"/>
      <c r="B37" s="30" t="s">
        <v>18</v>
      </c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80"/>
    </row>
    <row r="38" spans="1:21" ht="17.25">
      <c r="A38" s="205"/>
      <c r="B38" s="13" t="s">
        <v>467</v>
      </c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</row>
    <row r="39" spans="1:21" s="24" customFormat="1" ht="17.649999999999999" thickBot="1">
      <c r="A39" s="205"/>
      <c r="B39" s="30" t="s">
        <v>458</v>
      </c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80"/>
    </row>
    <row r="40" spans="1:21" ht="17.25">
      <c r="A40" s="205"/>
      <c r="B40" s="13" t="s">
        <v>468</v>
      </c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</row>
    <row r="41" spans="1:21" s="24" customFormat="1" ht="17.649999999999999" thickBot="1">
      <c r="A41" s="205"/>
      <c r="B41" s="31" t="s">
        <v>459</v>
      </c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80"/>
    </row>
    <row r="42" spans="1:21" ht="12.75" customHeight="1">
      <c r="A42" s="227" t="s">
        <v>63</v>
      </c>
      <c r="B42" s="196"/>
      <c r="C42" s="197"/>
      <c r="D42" s="197"/>
      <c r="E42" s="197"/>
      <c r="F42" s="197"/>
      <c r="G42" s="197"/>
      <c r="H42" s="197"/>
      <c r="I42" s="197"/>
      <c r="J42" s="197"/>
      <c r="K42" s="197"/>
      <c r="L42" s="197"/>
      <c r="M42" s="197"/>
      <c r="N42" s="197"/>
      <c r="O42" s="197"/>
      <c r="P42" s="198"/>
      <c r="Q42" s="24"/>
      <c r="R42" s="24"/>
      <c r="S42" s="24"/>
    </row>
    <row r="43" spans="1:21" ht="13.15" customHeight="1">
      <c r="A43" s="228"/>
      <c r="B43" s="199"/>
      <c r="C43" s="200"/>
      <c r="D43" s="200"/>
      <c r="E43" s="200"/>
      <c r="F43" s="200"/>
      <c r="G43" s="200"/>
      <c r="H43" s="200"/>
      <c r="I43" s="200"/>
      <c r="J43" s="200"/>
      <c r="K43" s="200"/>
      <c r="L43" s="200"/>
      <c r="M43" s="200"/>
      <c r="N43" s="200"/>
      <c r="O43" s="200"/>
      <c r="P43" s="201"/>
      <c r="Q43" s="24"/>
      <c r="R43" s="24"/>
      <c r="S43" s="24"/>
    </row>
    <row r="44" spans="1:21" ht="13.15" customHeight="1">
      <c r="A44" s="228"/>
      <c r="B44" s="199"/>
      <c r="C44" s="200"/>
      <c r="D44" s="200"/>
      <c r="E44" s="200"/>
      <c r="F44" s="200"/>
      <c r="G44" s="200"/>
      <c r="H44" s="200"/>
      <c r="I44" s="200"/>
      <c r="J44" s="200"/>
      <c r="K44" s="200"/>
      <c r="L44" s="200"/>
      <c r="M44" s="200"/>
      <c r="N44" s="200"/>
      <c r="O44" s="200"/>
      <c r="P44" s="201"/>
      <c r="Q44" s="24"/>
      <c r="R44" s="24"/>
      <c r="S44" s="24"/>
    </row>
    <row r="45" spans="1:21" ht="13.9" customHeight="1" thickBot="1">
      <c r="A45" s="229"/>
      <c r="B45" s="202"/>
      <c r="C45" s="203"/>
      <c r="D45" s="203"/>
      <c r="E45" s="203"/>
      <c r="F45" s="203"/>
      <c r="G45" s="203"/>
      <c r="H45" s="203"/>
      <c r="I45" s="203"/>
      <c r="J45" s="203"/>
      <c r="K45" s="203"/>
      <c r="L45" s="203"/>
      <c r="M45" s="203"/>
      <c r="N45" s="203"/>
      <c r="O45" s="203"/>
      <c r="P45" s="204"/>
      <c r="Q45" s="24"/>
      <c r="R45" s="24"/>
      <c r="S45" s="24"/>
    </row>
  </sheetData>
  <mergeCells count="44">
    <mergeCell ref="C8:H8"/>
    <mergeCell ref="I8:L8"/>
    <mergeCell ref="M8:O8"/>
    <mergeCell ref="C9:H9"/>
    <mergeCell ref="I9:L9"/>
    <mergeCell ref="M9:O9"/>
    <mergeCell ref="C3:P3"/>
    <mergeCell ref="C4:P4"/>
    <mergeCell ref="C5:P5"/>
    <mergeCell ref="C6:P6"/>
    <mergeCell ref="C7:H7"/>
    <mergeCell ref="I7:L7"/>
    <mergeCell ref="M7:O7"/>
    <mergeCell ref="A1:B1"/>
    <mergeCell ref="C2:H2"/>
    <mergeCell ref="I2:L2"/>
    <mergeCell ref="M2:O2"/>
    <mergeCell ref="C1:P1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</mergeCells>
  <conditionalFormatting sqref="C22:E22 C4 H22:O22">
    <cfRule type="cellIs" dxfId="234" priority="49" operator="greaterThan">
      <formula>0</formula>
    </cfRule>
  </conditionalFormatting>
  <conditionalFormatting sqref="C21:E21 H21:O21">
    <cfRule type="expression" dxfId="233" priority="48">
      <formula>ISERROR(C21)</formula>
    </cfRule>
  </conditionalFormatting>
  <conditionalFormatting sqref="C21:E21 H21:O21">
    <cfRule type="cellIs" dxfId="232" priority="47" operator="equal">
      <formula>0</formula>
    </cfRule>
  </conditionalFormatting>
  <conditionalFormatting sqref="C21:E21 H21:O21">
    <cfRule type="cellIs" dxfId="231" priority="46" operator="greaterThan">
      <formula>0</formula>
    </cfRule>
  </conditionalFormatting>
  <conditionalFormatting sqref="C27:O27 D29:O29 D33:O33">
    <cfRule type="cellIs" dxfId="23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229" priority="41">
      <formula>ISBLANK(C8)</formula>
    </cfRule>
  </conditionalFormatting>
  <conditionalFormatting sqref="C29">
    <cfRule type="cellIs" dxfId="228" priority="43" operator="notEqual">
      <formula>VALUE(C28)</formula>
    </cfRule>
  </conditionalFormatting>
  <conditionalFormatting sqref="C29">
    <cfRule type="expression" dxfId="227" priority="42">
      <formula>ISBLANK(C29)</formula>
    </cfRule>
  </conditionalFormatting>
  <conditionalFormatting sqref="C8:O8 C10:O10 C12:O12 C14:O14 C16:O16 C31:O31 D35:O35 D37:O37 D25:O25 D39:O39 D41:O41">
    <cfRule type="cellIs" dxfId="226" priority="44" operator="notEqual">
      <formula>C7</formula>
    </cfRule>
  </conditionalFormatting>
  <conditionalFormatting sqref="C31">
    <cfRule type="expression" dxfId="225" priority="40">
      <formula>ISBLANK(C31)</formula>
    </cfRule>
  </conditionalFormatting>
  <conditionalFormatting sqref="C33">
    <cfRule type="cellIs" dxfId="224" priority="39" operator="notEqual">
      <formula>VALUE(C32)</formula>
    </cfRule>
  </conditionalFormatting>
  <conditionalFormatting sqref="C33">
    <cfRule type="expression" dxfId="223" priority="38">
      <formula>ISBLANK(C33)</formula>
    </cfRule>
  </conditionalFormatting>
  <conditionalFormatting sqref="C35">
    <cfRule type="cellIs" dxfId="222" priority="37" operator="notEqual">
      <formula>C34</formula>
    </cfRule>
  </conditionalFormatting>
  <conditionalFormatting sqref="C35">
    <cfRule type="expression" dxfId="221" priority="36">
      <formula>ISBLANK(C35)</formula>
    </cfRule>
  </conditionalFormatting>
  <conditionalFormatting sqref="C37">
    <cfRule type="cellIs" dxfId="220" priority="35" operator="notEqual">
      <formula>C36</formula>
    </cfRule>
  </conditionalFormatting>
  <conditionalFormatting sqref="C37">
    <cfRule type="expression" dxfId="219" priority="34">
      <formula>ISBLANK(C37)</formula>
    </cfRule>
  </conditionalFormatting>
  <conditionalFormatting sqref="C6">
    <cfRule type="expression" dxfId="218" priority="32">
      <formula>ISBLANK(C6)</formula>
    </cfRule>
    <cfRule type="cellIs" dxfId="217" priority="33" operator="notEqual">
      <formula>C5</formula>
    </cfRule>
  </conditionalFormatting>
  <conditionalFormatting sqref="C25">
    <cfRule type="cellIs" dxfId="216" priority="31" operator="notEqual">
      <formula>C24</formula>
    </cfRule>
  </conditionalFormatting>
  <conditionalFormatting sqref="C25">
    <cfRule type="expression" dxfId="215" priority="30">
      <formula>ISBLANK(C25)</formula>
    </cfRule>
  </conditionalFormatting>
  <conditionalFormatting sqref="C39">
    <cfRule type="cellIs" dxfId="214" priority="29" operator="notEqual">
      <formula>C38</formula>
    </cfRule>
  </conditionalFormatting>
  <conditionalFormatting sqref="C39">
    <cfRule type="expression" dxfId="213" priority="28">
      <formula>ISBLANK(C39)</formula>
    </cfRule>
  </conditionalFormatting>
  <conditionalFormatting sqref="C41">
    <cfRule type="cellIs" dxfId="212" priority="27" operator="notEqual">
      <formula>C40</formula>
    </cfRule>
  </conditionalFormatting>
  <conditionalFormatting sqref="C41">
    <cfRule type="expression" dxfId="211" priority="26">
      <formula>ISBLANK(C41)</formula>
    </cfRule>
  </conditionalFormatting>
  <conditionalFormatting sqref="C24:O41">
    <cfRule type="expression" dxfId="210" priority="25" stopIfTrue="1">
      <formula>OR(C$22="Free",C$22="Telenor",C$22="Mtel",C$22="Telenor&amp;Mtel")</formula>
    </cfRule>
  </conditionalFormatting>
  <conditionalFormatting sqref="F22:G22">
    <cfRule type="cellIs" dxfId="209" priority="24" operator="greaterThan">
      <formula>0</formula>
    </cfRule>
  </conditionalFormatting>
  <conditionalFormatting sqref="F21:G21">
    <cfRule type="expression" dxfId="208" priority="23">
      <formula>ISERROR(F21)</formula>
    </cfRule>
  </conditionalFormatting>
  <conditionalFormatting sqref="F21:G21">
    <cfRule type="cellIs" dxfId="207" priority="22" operator="equal">
      <formula>0</formula>
    </cfRule>
  </conditionalFormatting>
  <conditionalFormatting sqref="F21:G21">
    <cfRule type="cellIs" dxfId="206" priority="21" operator="greaterThan">
      <formula>0</formula>
    </cfRule>
  </conditionalFormatting>
  <conditionalFormatting sqref="C19">
    <cfRule type="cellIs" dxfId="205" priority="19" operator="equal">
      <formula>0</formula>
    </cfRule>
    <cfRule type="expression" dxfId="204" priority="20">
      <formula>ISERROR(C19)</formula>
    </cfRule>
  </conditionalFormatting>
  <conditionalFormatting sqref="D19:O19">
    <cfRule type="cellIs" dxfId="203" priority="17" operator="equal">
      <formula>0</formula>
    </cfRule>
    <cfRule type="expression" dxfId="202" priority="18">
      <formula>ISERROR(D19)</formula>
    </cfRule>
  </conditionalFormatting>
  <conditionalFormatting sqref="P22">
    <cfRule type="cellIs" dxfId="201" priority="11" operator="greaterThan">
      <formula>0</formula>
    </cfRule>
  </conditionalFormatting>
  <conditionalFormatting sqref="P21">
    <cfRule type="expression" dxfId="200" priority="10">
      <formula>ISERROR(P21)</formula>
    </cfRule>
  </conditionalFormatting>
  <conditionalFormatting sqref="P21">
    <cfRule type="cellIs" dxfId="199" priority="9" operator="equal">
      <formula>0</formula>
    </cfRule>
  </conditionalFormatting>
  <conditionalFormatting sqref="P21">
    <cfRule type="cellIs" dxfId="198" priority="8" operator="greaterThan">
      <formula>0</formula>
    </cfRule>
  </conditionalFormatting>
  <conditionalFormatting sqref="P27 P29 P33">
    <cfRule type="cellIs" dxfId="197" priority="7" operator="notEqual">
      <formula>VALUE(P26)</formula>
    </cfRule>
  </conditionalFormatting>
  <conditionalFormatting sqref="P8 P10 P12 P14 P16 P27 P29 P31 P33 P35 P37 P25 P39 P41">
    <cfRule type="expression" dxfId="196" priority="5">
      <formula>ISBLANK(P8)</formula>
    </cfRule>
  </conditionalFormatting>
  <conditionalFormatting sqref="P8 P10 P12 P14 P16 P31 P35 P37 P25 P39 P41">
    <cfRule type="cellIs" dxfId="195" priority="6" operator="notEqual">
      <formula>P7</formula>
    </cfRule>
  </conditionalFormatting>
  <conditionalFormatting sqref="P24:P41">
    <cfRule type="expression" dxfId="194" priority="4" stopIfTrue="1">
      <formula>OR(P$22="Free",P$22="Telenor",P$22="Mtel",P$22="Telenor&amp;Mtel")</formula>
    </cfRule>
  </conditionalFormatting>
  <conditionalFormatting sqref="P19">
    <cfRule type="cellIs" dxfId="193" priority="2" operator="equal">
      <formula>0</formula>
    </cfRule>
    <cfRule type="expression" dxfId="192" priority="3">
      <formula>ISERROR(P19)</formula>
    </cfRule>
  </conditionalFormatting>
  <conditionalFormatting sqref="C23:P23">
    <cfRule type="cellIs" dxfId="191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width="10.265625" style="8" bestFit="1" customWidth="1"/>
    <col min="2" max="2" width="40.1328125" style="9" bestFit="1" customWidth="1"/>
    <col min="3" max="7" width="9.1328125" style="23"/>
    <col min="8" max="8" width="9.3984375" style="23" bestFit="1" customWidth="1"/>
    <col min="9" max="16384" width="9.1328125" style="23"/>
  </cols>
  <sheetData>
    <row r="1" spans="1:16" ht="25.15" customHeight="1" thickBot="1">
      <c r="A1" s="236"/>
      <c r="B1" s="237"/>
      <c r="C1" s="254" t="s">
        <v>274</v>
      </c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</row>
    <row r="2" spans="1:16" ht="18" thickBot="1">
      <c r="A2" s="35"/>
      <c r="B2" s="16" t="s">
        <v>1</v>
      </c>
      <c r="C2" s="221">
        <v>1</v>
      </c>
      <c r="D2" s="260"/>
      <c r="E2" s="260"/>
      <c r="F2" s="260"/>
      <c r="G2" s="260"/>
      <c r="H2" s="223"/>
      <c r="I2" s="261">
        <v>2</v>
      </c>
      <c r="J2" s="262"/>
      <c r="K2" s="262"/>
      <c r="L2" s="263"/>
      <c r="M2" s="261">
        <v>3</v>
      </c>
      <c r="N2" s="262"/>
      <c r="O2" s="264"/>
      <c r="P2" s="74">
        <v>4</v>
      </c>
    </row>
    <row r="3" spans="1:16" ht="17.649999999999999" thickBot="1">
      <c r="A3" s="205"/>
      <c r="B3" s="14" t="s">
        <v>460</v>
      </c>
      <c r="C3" s="230"/>
      <c r="D3" s="231"/>
      <c r="E3" s="231"/>
      <c r="F3" s="231"/>
      <c r="G3" s="231"/>
      <c r="H3" s="231"/>
      <c r="I3" s="231"/>
      <c r="J3" s="231"/>
      <c r="K3" s="231"/>
      <c r="L3" s="231"/>
      <c r="M3" s="231"/>
      <c r="N3" s="231"/>
      <c r="O3" s="231"/>
      <c r="P3" s="232"/>
    </row>
    <row r="4" spans="1:16" s="24" customFormat="1" ht="25.15" thickBot="1">
      <c r="A4" s="205"/>
      <c r="B4" s="11" t="s">
        <v>450</v>
      </c>
      <c r="C4" s="269"/>
      <c r="D4" s="270"/>
      <c r="E4" s="270"/>
      <c r="F4" s="270"/>
      <c r="G4" s="270"/>
      <c r="H4" s="270"/>
      <c r="I4" s="270"/>
      <c r="J4" s="270"/>
      <c r="K4" s="270"/>
      <c r="L4" s="270"/>
      <c r="M4" s="270"/>
      <c r="N4" s="270"/>
      <c r="O4" s="270"/>
      <c r="P4" s="271"/>
    </row>
    <row r="5" spans="1:16" ht="24.75">
      <c r="A5" s="205"/>
      <c r="B5" s="15" t="s">
        <v>461</v>
      </c>
      <c r="C5" s="212"/>
      <c r="D5" s="213"/>
      <c r="E5" s="213"/>
      <c r="F5" s="213"/>
      <c r="G5" s="213"/>
      <c r="H5" s="213"/>
      <c r="I5" s="213"/>
      <c r="J5" s="213"/>
      <c r="K5" s="213"/>
      <c r="L5" s="213"/>
      <c r="M5" s="213"/>
      <c r="N5" s="213"/>
      <c r="O5" s="213"/>
      <c r="P5" s="214"/>
    </row>
    <row r="6" spans="1:16" s="24" customFormat="1" ht="25.15" thickBot="1">
      <c r="A6" s="205"/>
      <c r="B6" s="34" t="s">
        <v>451</v>
      </c>
      <c r="C6" s="215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  <c r="O6" s="216"/>
      <c r="P6" s="217"/>
    </row>
    <row r="7" spans="1:16" ht="17.25">
      <c r="A7" s="205"/>
      <c r="B7" s="10" t="s">
        <v>462</v>
      </c>
      <c r="C7" s="230"/>
      <c r="D7" s="231"/>
      <c r="E7" s="231"/>
      <c r="F7" s="231"/>
      <c r="G7" s="231"/>
      <c r="H7" s="232"/>
      <c r="I7" s="231"/>
      <c r="J7" s="231"/>
      <c r="K7" s="231"/>
      <c r="L7" s="232"/>
      <c r="M7" s="231"/>
      <c r="N7" s="231"/>
      <c r="O7" s="232"/>
      <c r="P7" s="92"/>
    </row>
    <row r="8" spans="1:16" s="24" customFormat="1" ht="17.649999999999999" thickBot="1">
      <c r="A8" s="205"/>
      <c r="B8" s="11" t="s">
        <v>452</v>
      </c>
      <c r="C8" s="218"/>
      <c r="D8" s="219"/>
      <c r="E8" s="219"/>
      <c r="F8" s="219"/>
      <c r="G8" s="219"/>
      <c r="H8" s="220"/>
      <c r="I8" s="218"/>
      <c r="J8" s="219"/>
      <c r="K8" s="219"/>
      <c r="L8" s="220"/>
      <c r="M8" s="218"/>
      <c r="N8" s="219"/>
      <c r="O8" s="220"/>
      <c r="P8" s="76"/>
    </row>
    <row r="9" spans="1:16" ht="17.25">
      <c r="A9" s="205"/>
      <c r="B9" s="10" t="s">
        <v>2</v>
      </c>
      <c r="C9" s="208"/>
      <c r="D9" s="206"/>
      <c r="E9" s="206"/>
      <c r="F9" s="206"/>
      <c r="G9" s="206"/>
      <c r="H9" s="207"/>
      <c r="I9" s="206"/>
      <c r="J9" s="206"/>
      <c r="K9" s="206"/>
      <c r="L9" s="207"/>
      <c r="M9" s="206"/>
      <c r="N9" s="206"/>
      <c r="O9" s="207"/>
      <c r="P9" s="75"/>
    </row>
    <row r="10" spans="1:16" s="24" customFormat="1" ht="17.649999999999999" thickBot="1">
      <c r="A10" s="205"/>
      <c r="B10" s="12" t="s">
        <v>3</v>
      </c>
      <c r="C10" s="218"/>
      <c r="D10" s="219"/>
      <c r="E10" s="219"/>
      <c r="F10" s="219"/>
      <c r="G10" s="219"/>
      <c r="H10" s="220"/>
      <c r="I10" s="218"/>
      <c r="J10" s="219"/>
      <c r="K10" s="219"/>
      <c r="L10" s="220"/>
      <c r="M10" s="218"/>
      <c r="N10" s="219"/>
      <c r="O10" s="220"/>
      <c r="P10" s="76"/>
    </row>
    <row r="11" spans="1:16" ht="17.25">
      <c r="A11" s="205"/>
      <c r="B11" s="10" t="s">
        <v>470</v>
      </c>
      <c r="C11" s="208"/>
      <c r="D11" s="206"/>
      <c r="E11" s="206"/>
      <c r="F11" s="206"/>
      <c r="G11" s="206"/>
      <c r="H11" s="207"/>
      <c r="I11" s="206"/>
      <c r="J11" s="206"/>
      <c r="K11" s="206"/>
      <c r="L11" s="207"/>
      <c r="M11" s="206"/>
      <c r="N11" s="206"/>
      <c r="O11" s="207"/>
      <c r="P11" s="75"/>
    </row>
    <row r="12" spans="1:16" s="24" customFormat="1" ht="17.649999999999999" thickBot="1">
      <c r="A12" s="205"/>
      <c r="B12" s="12" t="s">
        <v>471</v>
      </c>
      <c r="C12" s="250"/>
      <c r="D12" s="251"/>
      <c r="E12" s="251"/>
      <c r="F12" s="251"/>
      <c r="G12" s="251"/>
      <c r="H12" s="252"/>
      <c r="I12" s="250"/>
      <c r="J12" s="251"/>
      <c r="K12" s="251"/>
      <c r="L12" s="252"/>
      <c r="M12" s="250"/>
      <c r="N12" s="251"/>
      <c r="O12" s="252"/>
      <c r="P12" s="76"/>
    </row>
    <row r="13" spans="1:16" ht="17.25">
      <c r="A13" s="205"/>
      <c r="B13" s="10" t="s">
        <v>4</v>
      </c>
      <c r="C13" s="208"/>
      <c r="D13" s="206"/>
      <c r="E13" s="206"/>
      <c r="F13" s="206"/>
      <c r="G13" s="206"/>
      <c r="H13" s="207"/>
      <c r="I13" s="206"/>
      <c r="J13" s="206"/>
      <c r="K13" s="206"/>
      <c r="L13" s="207"/>
      <c r="M13" s="206"/>
      <c r="N13" s="206"/>
      <c r="O13" s="207"/>
      <c r="P13" s="75"/>
    </row>
    <row r="14" spans="1:16" s="24" customFormat="1" ht="17.649999999999999" thickBot="1">
      <c r="A14" s="205"/>
      <c r="B14" s="12" t="s">
        <v>453</v>
      </c>
      <c r="C14" s="247"/>
      <c r="D14" s="248"/>
      <c r="E14" s="248"/>
      <c r="F14" s="248"/>
      <c r="G14" s="248"/>
      <c r="H14" s="249"/>
      <c r="I14" s="247"/>
      <c r="J14" s="248"/>
      <c r="K14" s="248"/>
      <c r="L14" s="249"/>
      <c r="M14" s="247"/>
      <c r="N14" s="248"/>
      <c r="O14" s="249"/>
      <c r="P14" s="83"/>
    </row>
    <row r="15" spans="1:16" ht="17.25">
      <c r="A15" s="205"/>
      <c r="B15" s="10" t="s">
        <v>463</v>
      </c>
      <c r="C15" s="208"/>
      <c r="D15" s="206"/>
      <c r="E15" s="206"/>
      <c r="F15" s="206"/>
      <c r="G15" s="206"/>
      <c r="H15" s="207"/>
      <c r="I15" s="206"/>
      <c r="J15" s="206"/>
      <c r="K15" s="206"/>
      <c r="L15" s="207"/>
      <c r="M15" s="206"/>
      <c r="N15" s="206"/>
      <c r="O15" s="207"/>
      <c r="P15" s="82"/>
    </row>
    <row r="16" spans="1:16" s="24" customFormat="1" ht="17.25">
      <c r="A16" s="205"/>
      <c r="B16" s="70" t="s">
        <v>454</v>
      </c>
      <c r="C16" s="238"/>
      <c r="D16" s="239"/>
      <c r="E16" s="239"/>
      <c r="F16" s="239"/>
      <c r="G16" s="239"/>
      <c r="H16" s="240"/>
      <c r="I16" s="241"/>
      <c r="J16" s="242"/>
      <c r="K16" s="242"/>
      <c r="L16" s="243"/>
      <c r="M16" s="241"/>
      <c r="N16" s="242"/>
      <c r="O16" s="243"/>
      <c r="P16" s="77"/>
    </row>
    <row r="17" spans="1:18" ht="17.25">
      <c r="A17" s="259"/>
      <c r="B17" s="72" t="s">
        <v>5</v>
      </c>
      <c r="C17" s="65" t="s">
        <v>6</v>
      </c>
      <c r="D17" s="66" t="s">
        <v>7</v>
      </c>
      <c r="E17" s="66" t="s">
        <v>8</v>
      </c>
      <c r="F17" s="66" t="s">
        <v>9</v>
      </c>
      <c r="G17" s="66" t="s">
        <v>10</v>
      </c>
      <c r="H17" s="67" t="s">
        <v>278</v>
      </c>
      <c r="I17" s="65" t="s">
        <v>6</v>
      </c>
      <c r="J17" s="66" t="s">
        <v>7</v>
      </c>
      <c r="K17" s="66" t="s">
        <v>8</v>
      </c>
      <c r="L17" s="67" t="s">
        <v>9</v>
      </c>
      <c r="M17" s="65" t="s">
        <v>6</v>
      </c>
      <c r="N17" s="66" t="s">
        <v>7</v>
      </c>
      <c r="O17" s="67" t="s">
        <v>8</v>
      </c>
      <c r="P17" s="78" t="s">
        <v>6</v>
      </c>
    </row>
    <row r="18" spans="1:18" ht="17.25">
      <c r="A18" s="259"/>
      <c r="B18" s="72" t="s">
        <v>410</v>
      </c>
      <c r="C18" s="65"/>
      <c r="D18" s="66"/>
      <c r="E18" s="66"/>
      <c r="F18" s="66"/>
      <c r="G18" s="66"/>
      <c r="H18" s="67"/>
      <c r="I18" s="65"/>
      <c r="J18" s="66"/>
      <c r="K18" s="66"/>
      <c r="L18" s="67"/>
      <c r="M18" s="65"/>
      <c r="N18" s="66"/>
      <c r="O18" s="67"/>
      <c r="P18" s="79"/>
    </row>
    <row r="19" spans="1:18" ht="17.25">
      <c r="A19" s="259"/>
      <c r="B19" s="73" t="s">
        <v>411</v>
      </c>
      <c r="C19" s="107"/>
      <c r="D19" s="107"/>
      <c r="E19" s="107"/>
      <c r="F19" s="107"/>
      <c r="G19" s="107"/>
      <c r="H19" s="107"/>
      <c r="I19" s="107"/>
      <c r="J19" s="107"/>
      <c r="K19" s="107"/>
      <c r="L19" s="107"/>
      <c r="M19" s="107"/>
      <c r="N19" s="107"/>
      <c r="O19" s="107"/>
      <c r="P19" s="101"/>
    </row>
    <row r="20" spans="1:18" ht="17.25">
      <c r="A20" s="205"/>
      <c r="B20" s="71" t="s">
        <v>58</v>
      </c>
      <c r="C20" s="63"/>
      <c r="D20" s="64"/>
      <c r="E20" s="64"/>
      <c r="F20" s="64"/>
      <c r="G20" s="64"/>
      <c r="H20" s="64"/>
      <c r="I20" s="63"/>
      <c r="J20" s="64"/>
      <c r="K20" s="64"/>
      <c r="L20" s="68"/>
      <c r="M20" s="69"/>
      <c r="N20" s="64"/>
      <c r="O20" s="68"/>
      <c r="P20" s="68"/>
    </row>
    <row r="21" spans="1:18" ht="17.649999999999999" thickBot="1">
      <c r="A21" s="205"/>
      <c r="B21" s="20" t="s">
        <v>59</v>
      </c>
      <c r="C21" s="44"/>
      <c r="D21" s="45"/>
      <c r="E21" s="45"/>
      <c r="F21" s="45"/>
      <c r="G21" s="45"/>
      <c r="H21" s="45"/>
      <c r="I21" s="45"/>
      <c r="J21" s="45"/>
      <c r="K21" s="45"/>
      <c r="L21" s="46"/>
      <c r="M21" s="47"/>
      <c r="N21" s="45"/>
      <c r="O21" s="44"/>
      <c r="P21" s="44"/>
      <c r="R21" s="19"/>
    </row>
    <row r="22" spans="1:18" s="24" customFormat="1" ht="17.649999999999999" thickBot="1">
      <c r="A22" s="205"/>
      <c r="B22" s="30" t="s">
        <v>469</v>
      </c>
      <c r="C22" s="48"/>
      <c r="D22" s="49"/>
      <c r="E22" s="49"/>
      <c r="F22" s="49"/>
      <c r="G22" s="49"/>
      <c r="H22" s="49"/>
      <c r="I22" s="49"/>
      <c r="J22" s="49"/>
      <c r="K22" s="49"/>
      <c r="L22" s="50"/>
      <c r="M22" s="51"/>
      <c r="N22" s="49"/>
      <c r="O22" s="52"/>
      <c r="P22" s="52"/>
    </row>
    <row r="23" spans="1:18" s="24" customFormat="1" ht="17.649999999999999" thickBot="1">
      <c r="A23" s="205"/>
      <c r="B23" s="30" t="s">
        <v>270</v>
      </c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</row>
    <row r="24" spans="1:18" ht="17.25">
      <c r="A24" s="205"/>
      <c r="B24" s="13" t="s">
        <v>11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</row>
    <row r="25" spans="1:18" s="24" customFormat="1" ht="17.649999999999999" thickBot="1">
      <c r="A25" s="205"/>
      <c r="B25" s="31" t="s">
        <v>12</v>
      </c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80"/>
    </row>
    <row r="26" spans="1:18" ht="17.25">
      <c r="A26" s="205"/>
      <c r="B26" s="29" t="s">
        <v>13</v>
      </c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</row>
    <row r="27" spans="1:18" s="24" customFormat="1" ht="17.649999999999999" thickBot="1">
      <c r="A27" s="205"/>
      <c r="B27" s="32" t="s">
        <v>14</v>
      </c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</row>
    <row r="28" spans="1:18" ht="17.25">
      <c r="A28" s="205"/>
      <c r="B28" s="13" t="s">
        <v>15</v>
      </c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</row>
    <row r="29" spans="1:18" s="24" customFormat="1" ht="17.649999999999999" thickBot="1">
      <c r="A29" s="205"/>
      <c r="B29" s="33" t="s">
        <v>16</v>
      </c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80"/>
    </row>
    <row r="30" spans="1:18" ht="17.25">
      <c r="A30" s="205"/>
      <c r="B30" s="29" t="s">
        <v>464</v>
      </c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</row>
    <row r="31" spans="1:18" s="24" customFormat="1" ht="17.649999999999999" thickBot="1">
      <c r="A31" s="205"/>
      <c r="B31" s="32" t="s">
        <v>455</v>
      </c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81"/>
    </row>
    <row r="32" spans="1:18" ht="17.25">
      <c r="A32" s="205"/>
      <c r="B32" s="13" t="s">
        <v>465</v>
      </c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</row>
    <row r="33" spans="1:21" s="24" customFormat="1" ht="17.649999999999999" thickBot="1">
      <c r="A33" s="205"/>
      <c r="B33" s="32" t="s">
        <v>456</v>
      </c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80"/>
    </row>
    <row r="34" spans="1:21" ht="17.25">
      <c r="A34" s="205"/>
      <c r="B34" s="29" t="s">
        <v>466</v>
      </c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U34" s="24"/>
    </row>
    <row r="35" spans="1:21" s="24" customFormat="1" ht="17.649999999999999" thickBot="1">
      <c r="A35" s="205"/>
      <c r="B35" s="30" t="s">
        <v>457</v>
      </c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80"/>
      <c r="U35" s="23"/>
    </row>
    <row r="36" spans="1:21" ht="17.25">
      <c r="A36" s="205"/>
      <c r="B36" s="13" t="s">
        <v>17</v>
      </c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</row>
    <row r="37" spans="1:21" s="24" customFormat="1" ht="17.649999999999999" thickBot="1">
      <c r="A37" s="205"/>
      <c r="B37" s="30" t="s">
        <v>18</v>
      </c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80"/>
    </row>
    <row r="38" spans="1:21" ht="17.25">
      <c r="A38" s="205"/>
      <c r="B38" s="13" t="s">
        <v>467</v>
      </c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</row>
    <row r="39" spans="1:21" s="24" customFormat="1" ht="17.649999999999999" thickBot="1">
      <c r="A39" s="205"/>
      <c r="B39" s="30" t="s">
        <v>458</v>
      </c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80"/>
    </row>
    <row r="40" spans="1:21" ht="17.25">
      <c r="A40" s="205"/>
      <c r="B40" s="13" t="s">
        <v>468</v>
      </c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</row>
    <row r="41" spans="1:21" s="24" customFormat="1" ht="17.649999999999999" thickBot="1">
      <c r="A41" s="205"/>
      <c r="B41" s="31" t="s">
        <v>459</v>
      </c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80"/>
    </row>
    <row r="42" spans="1:21" ht="12.75" customHeight="1">
      <c r="A42" s="227" t="s">
        <v>63</v>
      </c>
      <c r="B42" s="196"/>
      <c r="C42" s="197"/>
      <c r="D42" s="197"/>
      <c r="E42" s="197"/>
      <c r="F42" s="197"/>
      <c r="G42" s="197"/>
      <c r="H42" s="197"/>
      <c r="I42" s="197"/>
      <c r="J42" s="197"/>
      <c r="K42" s="197"/>
      <c r="L42" s="197"/>
      <c r="M42" s="197"/>
      <c r="N42" s="197"/>
      <c r="O42" s="197"/>
      <c r="P42" s="198"/>
      <c r="Q42" s="24"/>
      <c r="R42" s="24"/>
      <c r="S42" s="24"/>
    </row>
    <row r="43" spans="1:21" ht="13.15" customHeight="1">
      <c r="A43" s="228"/>
      <c r="B43" s="199"/>
      <c r="C43" s="200"/>
      <c r="D43" s="200"/>
      <c r="E43" s="200"/>
      <c r="F43" s="200"/>
      <c r="G43" s="200"/>
      <c r="H43" s="200"/>
      <c r="I43" s="200"/>
      <c r="J43" s="200"/>
      <c r="K43" s="200"/>
      <c r="L43" s="200"/>
      <c r="M43" s="200"/>
      <c r="N43" s="200"/>
      <c r="O43" s="200"/>
      <c r="P43" s="201"/>
      <c r="Q43" s="24"/>
      <c r="R43" s="24"/>
      <c r="S43" s="24"/>
    </row>
    <row r="44" spans="1:21" ht="13.15" customHeight="1">
      <c r="A44" s="228"/>
      <c r="B44" s="199"/>
      <c r="C44" s="200"/>
      <c r="D44" s="200"/>
      <c r="E44" s="200"/>
      <c r="F44" s="200"/>
      <c r="G44" s="200"/>
      <c r="H44" s="200"/>
      <c r="I44" s="200"/>
      <c r="J44" s="200"/>
      <c r="K44" s="200"/>
      <c r="L44" s="200"/>
      <c r="M44" s="200"/>
      <c r="N44" s="200"/>
      <c r="O44" s="200"/>
      <c r="P44" s="201"/>
      <c r="Q44" s="24"/>
      <c r="R44" s="24"/>
      <c r="S44" s="24"/>
    </row>
    <row r="45" spans="1:21" ht="13.9" customHeight="1" thickBot="1">
      <c r="A45" s="229"/>
      <c r="B45" s="202"/>
      <c r="C45" s="203"/>
      <c r="D45" s="203"/>
      <c r="E45" s="203"/>
      <c r="F45" s="203"/>
      <c r="G45" s="203"/>
      <c r="H45" s="203"/>
      <c r="I45" s="203"/>
      <c r="J45" s="203"/>
      <c r="K45" s="203"/>
      <c r="L45" s="203"/>
      <c r="M45" s="203"/>
      <c r="N45" s="203"/>
      <c r="O45" s="203"/>
      <c r="P45" s="204"/>
      <c r="Q45" s="24"/>
      <c r="R45" s="24"/>
      <c r="S45" s="24"/>
    </row>
  </sheetData>
  <mergeCells count="44">
    <mergeCell ref="C8:H8"/>
    <mergeCell ref="I8:L8"/>
    <mergeCell ref="M8:O8"/>
    <mergeCell ref="C9:H9"/>
    <mergeCell ref="I9:L9"/>
    <mergeCell ref="M9:O9"/>
    <mergeCell ref="C3:P3"/>
    <mergeCell ref="C4:P4"/>
    <mergeCell ref="C5:P5"/>
    <mergeCell ref="C6:P6"/>
    <mergeCell ref="C7:H7"/>
    <mergeCell ref="I7:L7"/>
    <mergeCell ref="M7:O7"/>
    <mergeCell ref="A1:B1"/>
    <mergeCell ref="C2:H2"/>
    <mergeCell ref="I2:L2"/>
    <mergeCell ref="M2:O2"/>
    <mergeCell ref="C1:P1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</mergeCells>
  <conditionalFormatting sqref="C22:E22 C4 H22:O22">
    <cfRule type="cellIs" dxfId="190" priority="49" operator="greaterThan">
      <formula>0</formula>
    </cfRule>
  </conditionalFormatting>
  <conditionalFormatting sqref="C21:E21 H21:O21">
    <cfRule type="expression" dxfId="189" priority="48">
      <formula>ISERROR(C21)</formula>
    </cfRule>
  </conditionalFormatting>
  <conditionalFormatting sqref="C21:E21 H21:O21">
    <cfRule type="cellIs" dxfId="188" priority="47" operator="equal">
      <formula>0</formula>
    </cfRule>
  </conditionalFormatting>
  <conditionalFormatting sqref="C21:E21 H21:O21">
    <cfRule type="cellIs" dxfId="187" priority="46" operator="greaterThan">
      <formula>0</formula>
    </cfRule>
  </conditionalFormatting>
  <conditionalFormatting sqref="C27:O27 D29:O29 D33:O33">
    <cfRule type="cellIs" dxfId="186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85" priority="41">
      <formula>ISBLANK(C8)</formula>
    </cfRule>
  </conditionalFormatting>
  <conditionalFormatting sqref="C29">
    <cfRule type="cellIs" dxfId="184" priority="43" operator="notEqual">
      <formula>VALUE(C28)</formula>
    </cfRule>
  </conditionalFormatting>
  <conditionalFormatting sqref="C29">
    <cfRule type="expression" dxfId="183" priority="42">
      <formula>ISBLANK(C29)</formula>
    </cfRule>
  </conditionalFormatting>
  <conditionalFormatting sqref="C8:O8 C10:O10 C12:O12 C14:O14 C16:O16 C31:O31 D35:O35 D37:O37 D25:O25 D39:O39 D41:O41">
    <cfRule type="cellIs" dxfId="182" priority="44" operator="notEqual">
      <formula>C7</formula>
    </cfRule>
  </conditionalFormatting>
  <conditionalFormatting sqref="C31">
    <cfRule type="expression" dxfId="181" priority="40">
      <formula>ISBLANK(C31)</formula>
    </cfRule>
  </conditionalFormatting>
  <conditionalFormatting sqref="C33">
    <cfRule type="cellIs" dxfId="180" priority="39" operator="notEqual">
      <formula>VALUE(C32)</formula>
    </cfRule>
  </conditionalFormatting>
  <conditionalFormatting sqref="C33">
    <cfRule type="expression" dxfId="179" priority="38">
      <formula>ISBLANK(C33)</formula>
    </cfRule>
  </conditionalFormatting>
  <conditionalFormatting sqref="C35">
    <cfRule type="cellIs" dxfId="178" priority="37" operator="notEqual">
      <formula>C34</formula>
    </cfRule>
  </conditionalFormatting>
  <conditionalFormatting sqref="C35">
    <cfRule type="expression" dxfId="177" priority="36">
      <formula>ISBLANK(C35)</formula>
    </cfRule>
  </conditionalFormatting>
  <conditionalFormatting sqref="C37">
    <cfRule type="cellIs" dxfId="176" priority="35" operator="notEqual">
      <formula>C36</formula>
    </cfRule>
  </conditionalFormatting>
  <conditionalFormatting sqref="C37">
    <cfRule type="expression" dxfId="175" priority="34">
      <formula>ISBLANK(C37)</formula>
    </cfRule>
  </conditionalFormatting>
  <conditionalFormatting sqref="C6">
    <cfRule type="expression" dxfId="174" priority="32">
      <formula>ISBLANK(C6)</formula>
    </cfRule>
    <cfRule type="cellIs" dxfId="173" priority="33" operator="notEqual">
      <formula>C5</formula>
    </cfRule>
  </conditionalFormatting>
  <conditionalFormatting sqref="C25">
    <cfRule type="cellIs" dxfId="172" priority="31" operator="notEqual">
      <formula>C24</formula>
    </cfRule>
  </conditionalFormatting>
  <conditionalFormatting sqref="C25">
    <cfRule type="expression" dxfId="171" priority="30">
      <formula>ISBLANK(C25)</formula>
    </cfRule>
  </conditionalFormatting>
  <conditionalFormatting sqref="C39">
    <cfRule type="cellIs" dxfId="170" priority="29" operator="notEqual">
      <formula>C38</formula>
    </cfRule>
  </conditionalFormatting>
  <conditionalFormatting sqref="C39">
    <cfRule type="expression" dxfId="169" priority="28">
      <formula>ISBLANK(C39)</formula>
    </cfRule>
  </conditionalFormatting>
  <conditionalFormatting sqref="C41">
    <cfRule type="cellIs" dxfId="168" priority="27" operator="notEqual">
      <formula>C40</formula>
    </cfRule>
  </conditionalFormatting>
  <conditionalFormatting sqref="C41">
    <cfRule type="expression" dxfId="167" priority="26">
      <formula>ISBLANK(C41)</formula>
    </cfRule>
  </conditionalFormatting>
  <conditionalFormatting sqref="C24:O41">
    <cfRule type="expression" dxfId="166" priority="25" stopIfTrue="1">
      <formula>OR(C$22="Free",C$22="Telenor",C$22="Mtel",C$22="Telenor&amp;Mtel")</formula>
    </cfRule>
  </conditionalFormatting>
  <conditionalFormatting sqref="F22:G22">
    <cfRule type="cellIs" dxfId="165" priority="24" operator="greaterThan">
      <formula>0</formula>
    </cfRule>
  </conditionalFormatting>
  <conditionalFormatting sqref="F21:G21">
    <cfRule type="expression" dxfId="164" priority="23">
      <formula>ISERROR(F21)</formula>
    </cfRule>
  </conditionalFormatting>
  <conditionalFormatting sqref="F21:G21">
    <cfRule type="cellIs" dxfId="163" priority="22" operator="equal">
      <formula>0</formula>
    </cfRule>
  </conditionalFormatting>
  <conditionalFormatting sqref="F21:G21">
    <cfRule type="cellIs" dxfId="162" priority="21" operator="greaterThan">
      <formula>0</formula>
    </cfRule>
  </conditionalFormatting>
  <conditionalFormatting sqref="C19">
    <cfRule type="cellIs" dxfId="161" priority="19" operator="equal">
      <formula>0</formula>
    </cfRule>
    <cfRule type="expression" dxfId="160" priority="20">
      <formula>ISERROR(C19)</formula>
    </cfRule>
  </conditionalFormatting>
  <conditionalFormatting sqref="D19:O19">
    <cfRule type="cellIs" dxfId="159" priority="17" operator="equal">
      <formula>0</formula>
    </cfRule>
    <cfRule type="expression" dxfId="158" priority="18">
      <formula>ISERROR(D19)</formula>
    </cfRule>
  </conditionalFormatting>
  <conditionalFormatting sqref="P22">
    <cfRule type="cellIs" dxfId="157" priority="11" operator="greaterThan">
      <formula>0</formula>
    </cfRule>
  </conditionalFormatting>
  <conditionalFormatting sqref="P21">
    <cfRule type="expression" dxfId="156" priority="10">
      <formula>ISERROR(P21)</formula>
    </cfRule>
  </conditionalFormatting>
  <conditionalFormatting sqref="P21">
    <cfRule type="cellIs" dxfId="155" priority="9" operator="equal">
      <formula>0</formula>
    </cfRule>
  </conditionalFormatting>
  <conditionalFormatting sqref="P21">
    <cfRule type="cellIs" dxfId="154" priority="8" operator="greaterThan">
      <formula>0</formula>
    </cfRule>
  </conditionalFormatting>
  <conditionalFormatting sqref="P27 P29 P33">
    <cfRule type="cellIs" dxfId="153" priority="7" operator="notEqual">
      <formula>VALUE(P26)</formula>
    </cfRule>
  </conditionalFormatting>
  <conditionalFormatting sqref="P8 P10 P12 P14 P16 P27 P29 P31 P33 P35 P37 P25 P39 P41">
    <cfRule type="expression" dxfId="152" priority="5">
      <formula>ISBLANK(P8)</formula>
    </cfRule>
  </conditionalFormatting>
  <conditionalFormatting sqref="P8 P10 P12 P14 P16 P31 P35 P37 P25 P39 P41">
    <cfRule type="cellIs" dxfId="151" priority="6" operator="notEqual">
      <formula>P7</formula>
    </cfRule>
  </conditionalFormatting>
  <conditionalFormatting sqref="P24:P41">
    <cfRule type="expression" dxfId="150" priority="4" stopIfTrue="1">
      <formula>OR(P$22="Free",P$22="Telenor",P$22="Mtel",P$22="Telenor&amp;Mtel")</formula>
    </cfRule>
  </conditionalFormatting>
  <conditionalFormatting sqref="P19">
    <cfRule type="cellIs" dxfId="149" priority="2" operator="equal">
      <formula>0</formula>
    </cfRule>
    <cfRule type="expression" dxfId="148" priority="3">
      <formula>ISERROR(P19)</formula>
    </cfRule>
  </conditionalFormatting>
  <conditionalFormatting sqref="C23:P23">
    <cfRule type="cellIs" dxfId="147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width="10.265625" style="8" bestFit="1" customWidth="1"/>
    <col min="2" max="2" width="40.1328125" style="9" bestFit="1" customWidth="1"/>
    <col min="3" max="7" width="9.1328125" style="23"/>
    <col min="8" max="8" width="9.3984375" style="23" bestFit="1" customWidth="1"/>
    <col min="9" max="16384" width="9.1328125" style="23"/>
  </cols>
  <sheetData>
    <row r="1" spans="1:16" ht="25.15" customHeight="1" thickBot="1">
      <c r="A1" s="236"/>
      <c r="B1" s="237"/>
      <c r="C1" s="254" t="s">
        <v>275</v>
      </c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</row>
    <row r="2" spans="1:16" ht="18" thickBot="1">
      <c r="A2" s="35"/>
      <c r="B2" s="16" t="s">
        <v>1</v>
      </c>
      <c r="C2" s="221">
        <v>1</v>
      </c>
      <c r="D2" s="260"/>
      <c r="E2" s="260"/>
      <c r="F2" s="260"/>
      <c r="G2" s="260"/>
      <c r="H2" s="223"/>
      <c r="I2" s="261">
        <v>2</v>
      </c>
      <c r="J2" s="262"/>
      <c r="K2" s="262"/>
      <c r="L2" s="263"/>
      <c r="M2" s="261">
        <v>3</v>
      </c>
      <c r="N2" s="262"/>
      <c r="O2" s="264"/>
      <c r="P2" s="74">
        <v>4</v>
      </c>
    </row>
    <row r="3" spans="1:16" ht="17.25">
      <c r="A3" s="205"/>
      <c r="B3" s="14" t="s">
        <v>460</v>
      </c>
      <c r="C3" s="208"/>
      <c r="D3" s="206"/>
      <c r="E3" s="206"/>
      <c r="F3" s="206"/>
      <c r="G3" s="206"/>
      <c r="H3" s="206"/>
      <c r="I3" s="206"/>
      <c r="J3" s="206"/>
      <c r="K3" s="206"/>
      <c r="L3" s="206"/>
      <c r="M3" s="206"/>
      <c r="N3" s="206"/>
      <c r="O3" s="206"/>
      <c r="P3" s="207"/>
    </row>
    <row r="4" spans="1:16" s="24" customFormat="1" ht="25.15" thickBot="1">
      <c r="A4" s="205"/>
      <c r="B4" s="11" t="s">
        <v>450</v>
      </c>
      <c r="C4" s="215"/>
      <c r="D4" s="216"/>
      <c r="E4" s="216"/>
      <c r="F4" s="216"/>
      <c r="G4" s="216"/>
      <c r="H4" s="216"/>
      <c r="I4" s="216"/>
      <c r="J4" s="216"/>
      <c r="K4" s="216"/>
      <c r="L4" s="216"/>
      <c r="M4" s="216"/>
      <c r="N4" s="216"/>
      <c r="O4" s="216"/>
      <c r="P4" s="217"/>
    </row>
    <row r="5" spans="1:16" ht="24.75">
      <c r="A5" s="205"/>
      <c r="B5" s="15" t="s">
        <v>461</v>
      </c>
      <c r="C5" s="212"/>
      <c r="D5" s="213"/>
      <c r="E5" s="213"/>
      <c r="F5" s="213"/>
      <c r="G5" s="213"/>
      <c r="H5" s="213"/>
      <c r="I5" s="213"/>
      <c r="J5" s="213"/>
      <c r="K5" s="213"/>
      <c r="L5" s="213"/>
      <c r="M5" s="213"/>
      <c r="N5" s="213"/>
      <c r="O5" s="213"/>
      <c r="P5" s="214"/>
    </row>
    <row r="6" spans="1:16" s="24" customFormat="1" ht="25.15" thickBot="1">
      <c r="A6" s="205"/>
      <c r="B6" s="34" t="s">
        <v>451</v>
      </c>
      <c r="C6" s="215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  <c r="O6" s="216"/>
      <c r="P6" s="217"/>
    </row>
    <row r="7" spans="1:16" ht="17.25">
      <c r="A7" s="205"/>
      <c r="B7" s="10" t="s">
        <v>462</v>
      </c>
      <c r="C7" s="230"/>
      <c r="D7" s="231"/>
      <c r="E7" s="231"/>
      <c r="F7" s="231"/>
      <c r="G7" s="231"/>
      <c r="H7" s="232"/>
      <c r="I7" s="231"/>
      <c r="J7" s="231"/>
      <c r="K7" s="231"/>
      <c r="L7" s="232"/>
      <c r="M7" s="231"/>
      <c r="N7" s="231"/>
      <c r="O7" s="232"/>
      <c r="P7" s="92"/>
    </row>
    <row r="8" spans="1:16" s="24" customFormat="1" ht="17.649999999999999" thickBot="1">
      <c r="A8" s="205"/>
      <c r="B8" s="11" t="s">
        <v>452</v>
      </c>
      <c r="C8" s="218"/>
      <c r="D8" s="219"/>
      <c r="E8" s="219"/>
      <c r="F8" s="219"/>
      <c r="G8" s="219"/>
      <c r="H8" s="220"/>
      <c r="I8" s="218"/>
      <c r="J8" s="219"/>
      <c r="K8" s="219"/>
      <c r="L8" s="220"/>
      <c r="M8" s="218"/>
      <c r="N8" s="219"/>
      <c r="O8" s="220"/>
      <c r="P8" s="76"/>
    </row>
    <row r="9" spans="1:16" ht="17.25">
      <c r="A9" s="205"/>
      <c r="B9" s="10" t="s">
        <v>2</v>
      </c>
      <c r="C9" s="208"/>
      <c r="D9" s="206"/>
      <c r="E9" s="206"/>
      <c r="F9" s="206"/>
      <c r="G9" s="206"/>
      <c r="H9" s="207"/>
      <c r="I9" s="206"/>
      <c r="J9" s="206"/>
      <c r="K9" s="206"/>
      <c r="L9" s="207"/>
      <c r="M9" s="206"/>
      <c r="N9" s="206"/>
      <c r="O9" s="207"/>
      <c r="P9" s="75"/>
    </row>
    <row r="10" spans="1:16" s="24" customFormat="1" ht="17.649999999999999" thickBot="1">
      <c r="A10" s="205"/>
      <c r="B10" s="12" t="s">
        <v>3</v>
      </c>
      <c r="C10" s="218"/>
      <c r="D10" s="219"/>
      <c r="E10" s="219"/>
      <c r="F10" s="219"/>
      <c r="G10" s="219"/>
      <c r="H10" s="220"/>
      <c r="I10" s="218"/>
      <c r="J10" s="219"/>
      <c r="K10" s="219"/>
      <c r="L10" s="220"/>
      <c r="M10" s="218"/>
      <c r="N10" s="219"/>
      <c r="O10" s="220"/>
      <c r="P10" s="76"/>
    </row>
    <row r="11" spans="1:16" ht="17.25">
      <c r="A11" s="205"/>
      <c r="B11" s="10" t="s">
        <v>470</v>
      </c>
      <c r="C11" s="208"/>
      <c r="D11" s="206"/>
      <c r="E11" s="206"/>
      <c r="F11" s="206"/>
      <c r="G11" s="206"/>
      <c r="H11" s="207"/>
      <c r="I11" s="206"/>
      <c r="J11" s="206"/>
      <c r="K11" s="206"/>
      <c r="L11" s="207"/>
      <c r="M11" s="206"/>
      <c r="N11" s="206"/>
      <c r="O11" s="207"/>
      <c r="P11" s="75"/>
    </row>
    <row r="12" spans="1:16" s="24" customFormat="1" ht="17.649999999999999" thickBot="1">
      <c r="A12" s="205"/>
      <c r="B12" s="12" t="s">
        <v>471</v>
      </c>
      <c r="C12" s="250"/>
      <c r="D12" s="251"/>
      <c r="E12" s="251"/>
      <c r="F12" s="251"/>
      <c r="G12" s="251"/>
      <c r="H12" s="252"/>
      <c r="I12" s="250"/>
      <c r="J12" s="251"/>
      <c r="K12" s="251"/>
      <c r="L12" s="252"/>
      <c r="M12" s="250"/>
      <c r="N12" s="251"/>
      <c r="O12" s="252"/>
      <c r="P12" s="76"/>
    </row>
    <row r="13" spans="1:16" ht="17.25">
      <c r="A13" s="205"/>
      <c r="B13" s="10" t="s">
        <v>4</v>
      </c>
      <c r="C13" s="208"/>
      <c r="D13" s="206"/>
      <c r="E13" s="206"/>
      <c r="F13" s="206"/>
      <c r="G13" s="206"/>
      <c r="H13" s="207"/>
      <c r="I13" s="206"/>
      <c r="J13" s="206"/>
      <c r="K13" s="206"/>
      <c r="L13" s="207"/>
      <c r="M13" s="206"/>
      <c r="N13" s="206"/>
      <c r="O13" s="207"/>
      <c r="P13" s="75"/>
    </row>
    <row r="14" spans="1:16" s="24" customFormat="1" ht="17.649999999999999" thickBot="1">
      <c r="A14" s="205"/>
      <c r="B14" s="12" t="s">
        <v>453</v>
      </c>
      <c r="C14" s="247"/>
      <c r="D14" s="248"/>
      <c r="E14" s="248"/>
      <c r="F14" s="248"/>
      <c r="G14" s="248"/>
      <c r="H14" s="249"/>
      <c r="I14" s="247"/>
      <c r="J14" s="248"/>
      <c r="K14" s="248"/>
      <c r="L14" s="249"/>
      <c r="M14" s="247"/>
      <c r="N14" s="248"/>
      <c r="O14" s="249"/>
      <c r="P14" s="83"/>
    </row>
    <row r="15" spans="1:16" ht="17.25">
      <c r="A15" s="205"/>
      <c r="B15" s="10" t="s">
        <v>463</v>
      </c>
      <c r="C15" s="208"/>
      <c r="D15" s="206"/>
      <c r="E15" s="206"/>
      <c r="F15" s="206"/>
      <c r="G15" s="206"/>
      <c r="H15" s="207"/>
      <c r="I15" s="206"/>
      <c r="J15" s="206"/>
      <c r="K15" s="206"/>
      <c r="L15" s="207"/>
      <c r="M15" s="206"/>
      <c r="N15" s="206"/>
      <c r="O15" s="207"/>
      <c r="P15" s="82"/>
    </row>
    <row r="16" spans="1:16" s="24" customFormat="1" ht="17.25">
      <c r="A16" s="205"/>
      <c r="B16" s="70" t="s">
        <v>454</v>
      </c>
      <c r="C16" s="238"/>
      <c r="D16" s="239"/>
      <c r="E16" s="239"/>
      <c r="F16" s="239"/>
      <c r="G16" s="239"/>
      <c r="H16" s="240"/>
      <c r="I16" s="241"/>
      <c r="J16" s="242"/>
      <c r="K16" s="242"/>
      <c r="L16" s="243"/>
      <c r="M16" s="241"/>
      <c r="N16" s="242"/>
      <c r="O16" s="243"/>
      <c r="P16" s="77"/>
    </row>
    <row r="17" spans="1:18" ht="17.25">
      <c r="A17" s="259"/>
      <c r="B17" s="72" t="s">
        <v>5</v>
      </c>
      <c r="C17" s="65" t="s">
        <v>6</v>
      </c>
      <c r="D17" s="66" t="s">
        <v>7</v>
      </c>
      <c r="E17" s="66" t="s">
        <v>8</v>
      </c>
      <c r="F17" s="66" t="s">
        <v>9</v>
      </c>
      <c r="G17" s="66" t="s">
        <v>10</v>
      </c>
      <c r="H17" s="67" t="s">
        <v>278</v>
      </c>
      <c r="I17" s="65" t="s">
        <v>6</v>
      </c>
      <c r="J17" s="66" t="s">
        <v>7</v>
      </c>
      <c r="K17" s="66" t="s">
        <v>8</v>
      </c>
      <c r="L17" s="67" t="s">
        <v>9</v>
      </c>
      <c r="M17" s="65" t="s">
        <v>6</v>
      </c>
      <c r="N17" s="66" t="s">
        <v>7</v>
      </c>
      <c r="O17" s="67" t="s">
        <v>8</v>
      </c>
      <c r="P17" s="78" t="s">
        <v>6</v>
      </c>
    </row>
    <row r="18" spans="1:18" ht="17.25">
      <c r="A18" s="259"/>
      <c r="B18" s="72" t="s">
        <v>410</v>
      </c>
      <c r="C18" s="65"/>
      <c r="D18" s="66"/>
      <c r="E18" s="66"/>
      <c r="F18" s="66"/>
      <c r="G18" s="66"/>
      <c r="H18" s="67"/>
      <c r="I18" s="65"/>
      <c r="J18" s="66"/>
      <c r="K18" s="66"/>
      <c r="L18" s="67"/>
      <c r="M18" s="65"/>
      <c r="N18" s="66"/>
      <c r="O18" s="67"/>
      <c r="P18" s="79"/>
    </row>
    <row r="19" spans="1:18" ht="17.25">
      <c r="A19" s="259"/>
      <c r="B19" s="73" t="s">
        <v>411</v>
      </c>
      <c r="C19" s="107"/>
      <c r="D19" s="107"/>
      <c r="E19" s="107"/>
      <c r="F19" s="107"/>
      <c r="G19" s="107"/>
      <c r="H19" s="107"/>
      <c r="I19" s="107"/>
      <c r="J19" s="107"/>
      <c r="K19" s="107"/>
      <c r="L19" s="107"/>
      <c r="M19" s="107"/>
      <c r="N19" s="107"/>
      <c r="O19" s="107"/>
      <c r="P19" s="101"/>
    </row>
    <row r="20" spans="1:18" ht="17.25">
      <c r="A20" s="205"/>
      <c r="B20" s="71" t="s">
        <v>58</v>
      </c>
      <c r="C20" s="63"/>
      <c r="D20" s="64"/>
      <c r="E20" s="64"/>
      <c r="F20" s="64"/>
      <c r="G20" s="64"/>
      <c r="H20" s="64"/>
      <c r="I20" s="63"/>
      <c r="J20" s="64"/>
      <c r="K20" s="64"/>
      <c r="L20" s="68"/>
      <c r="M20" s="69"/>
      <c r="N20" s="64"/>
      <c r="O20" s="68"/>
      <c r="P20" s="68"/>
    </row>
    <row r="21" spans="1:18" ht="17.649999999999999" thickBot="1">
      <c r="A21" s="205"/>
      <c r="B21" s="20" t="s">
        <v>59</v>
      </c>
      <c r="C21" s="44"/>
      <c r="D21" s="45"/>
      <c r="E21" s="45"/>
      <c r="F21" s="45"/>
      <c r="G21" s="45"/>
      <c r="H21" s="45"/>
      <c r="I21" s="45"/>
      <c r="J21" s="45"/>
      <c r="K21" s="45"/>
      <c r="L21" s="46"/>
      <c r="M21" s="47"/>
      <c r="N21" s="45"/>
      <c r="O21" s="44"/>
      <c r="P21" s="44"/>
      <c r="R21" s="19"/>
    </row>
    <row r="22" spans="1:18" s="24" customFormat="1" ht="17.649999999999999" thickBot="1">
      <c r="A22" s="205"/>
      <c r="B22" s="30" t="s">
        <v>469</v>
      </c>
      <c r="C22" s="48"/>
      <c r="D22" s="49"/>
      <c r="E22" s="49"/>
      <c r="F22" s="49"/>
      <c r="G22" s="49"/>
      <c r="H22" s="49"/>
      <c r="I22" s="49"/>
      <c r="J22" s="49"/>
      <c r="K22" s="49"/>
      <c r="L22" s="50"/>
      <c r="M22" s="51"/>
      <c r="N22" s="49"/>
      <c r="O22" s="52"/>
      <c r="P22" s="52"/>
    </row>
    <row r="23" spans="1:18" s="24" customFormat="1" ht="17.649999999999999" thickBot="1">
      <c r="A23" s="205"/>
      <c r="B23" s="30" t="s">
        <v>270</v>
      </c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</row>
    <row r="24" spans="1:18" ht="17.25">
      <c r="A24" s="205"/>
      <c r="B24" s="13" t="s">
        <v>11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</row>
    <row r="25" spans="1:18" s="24" customFormat="1" ht="17.649999999999999" thickBot="1">
      <c r="A25" s="205"/>
      <c r="B25" s="31" t="s">
        <v>12</v>
      </c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80"/>
    </row>
    <row r="26" spans="1:18" ht="17.25">
      <c r="A26" s="205"/>
      <c r="B26" s="29" t="s">
        <v>13</v>
      </c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</row>
    <row r="27" spans="1:18" s="24" customFormat="1" ht="17.649999999999999" thickBot="1">
      <c r="A27" s="205"/>
      <c r="B27" s="32" t="s">
        <v>14</v>
      </c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</row>
    <row r="28" spans="1:18" ht="17.25">
      <c r="A28" s="205"/>
      <c r="B28" s="13" t="s">
        <v>15</v>
      </c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</row>
    <row r="29" spans="1:18" s="24" customFormat="1" ht="17.649999999999999" thickBot="1">
      <c r="A29" s="205"/>
      <c r="B29" s="33" t="s">
        <v>16</v>
      </c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80"/>
    </row>
    <row r="30" spans="1:18" ht="17.25">
      <c r="A30" s="205"/>
      <c r="B30" s="29" t="s">
        <v>464</v>
      </c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</row>
    <row r="31" spans="1:18" s="24" customFormat="1" ht="17.649999999999999" thickBot="1">
      <c r="A31" s="205"/>
      <c r="B31" s="32" t="s">
        <v>455</v>
      </c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81"/>
    </row>
    <row r="32" spans="1:18" ht="17.25">
      <c r="A32" s="205"/>
      <c r="B32" s="13" t="s">
        <v>465</v>
      </c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</row>
    <row r="33" spans="1:21" s="24" customFormat="1" ht="17.649999999999999" thickBot="1">
      <c r="A33" s="205"/>
      <c r="B33" s="32" t="s">
        <v>456</v>
      </c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80"/>
    </row>
    <row r="34" spans="1:21" ht="17.25">
      <c r="A34" s="205"/>
      <c r="B34" s="29" t="s">
        <v>466</v>
      </c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U34" s="24"/>
    </row>
    <row r="35" spans="1:21" s="24" customFormat="1" ht="17.649999999999999" thickBot="1">
      <c r="A35" s="205"/>
      <c r="B35" s="30" t="s">
        <v>457</v>
      </c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80"/>
      <c r="U35" s="23"/>
    </row>
    <row r="36" spans="1:21" ht="17.25">
      <c r="A36" s="205"/>
      <c r="B36" s="13" t="s">
        <v>17</v>
      </c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</row>
    <row r="37" spans="1:21" s="24" customFormat="1" ht="17.649999999999999" thickBot="1">
      <c r="A37" s="205"/>
      <c r="B37" s="30" t="s">
        <v>18</v>
      </c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80"/>
    </row>
    <row r="38" spans="1:21" ht="17.25">
      <c r="A38" s="205"/>
      <c r="B38" s="13" t="s">
        <v>467</v>
      </c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</row>
    <row r="39" spans="1:21" s="24" customFormat="1" ht="17.649999999999999" thickBot="1">
      <c r="A39" s="205"/>
      <c r="B39" s="30" t="s">
        <v>458</v>
      </c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80"/>
    </row>
    <row r="40" spans="1:21" ht="17.25">
      <c r="A40" s="205"/>
      <c r="B40" s="13" t="s">
        <v>468</v>
      </c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</row>
    <row r="41" spans="1:21" s="24" customFormat="1" ht="17.649999999999999" thickBot="1">
      <c r="A41" s="205"/>
      <c r="B41" s="31" t="s">
        <v>459</v>
      </c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80"/>
    </row>
    <row r="42" spans="1:21" ht="12.75" customHeight="1">
      <c r="A42" s="227" t="s">
        <v>63</v>
      </c>
      <c r="B42" s="196"/>
      <c r="C42" s="197"/>
      <c r="D42" s="197"/>
      <c r="E42" s="197"/>
      <c r="F42" s="197"/>
      <c r="G42" s="197"/>
      <c r="H42" s="197"/>
      <c r="I42" s="197"/>
      <c r="J42" s="197"/>
      <c r="K42" s="197"/>
      <c r="L42" s="197"/>
      <c r="M42" s="197"/>
      <c r="N42" s="197"/>
      <c r="O42" s="197"/>
      <c r="P42" s="198"/>
      <c r="Q42" s="24"/>
      <c r="R42" s="24"/>
      <c r="S42" s="24"/>
    </row>
    <row r="43" spans="1:21" ht="13.15" customHeight="1">
      <c r="A43" s="228"/>
      <c r="B43" s="199"/>
      <c r="C43" s="200"/>
      <c r="D43" s="200"/>
      <c r="E43" s="200"/>
      <c r="F43" s="200"/>
      <c r="G43" s="200"/>
      <c r="H43" s="200"/>
      <c r="I43" s="200"/>
      <c r="J43" s="200"/>
      <c r="K43" s="200"/>
      <c r="L43" s="200"/>
      <c r="M43" s="200"/>
      <c r="N43" s="200"/>
      <c r="O43" s="200"/>
      <c r="P43" s="201"/>
      <c r="Q43" s="24"/>
      <c r="R43" s="24"/>
      <c r="S43" s="24"/>
    </row>
    <row r="44" spans="1:21" ht="13.15" customHeight="1">
      <c r="A44" s="228"/>
      <c r="B44" s="199"/>
      <c r="C44" s="200"/>
      <c r="D44" s="200"/>
      <c r="E44" s="200"/>
      <c r="F44" s="200"/>
      <c r="G44" s="200"/>
      <c r="H44" s="200"/>
      <c r="I44" s="200"/>
      <c r="J44" s="200"/>
      <c r="K44" s="200"/>
      <c r="L44" s="200"/>
      <c r="M44" s="200"/>
      <c r="N44" s="200"/>
      <c r="O44" s="200"/>
      <c r="P44" s="201"/>
      <c r="Q44" s="24"/>
      <c r="R44" s="24"/>
      <c r="S44" s="24"/>
    </row>
    <row r="45" spans="1:21" ht="13.9" customHeight="1" thickBot="1">
      <c r="A45" s="229"/>
      <c r="B45" s="202"/>
      <c r="C45" s="203"/>
      <c r="D45" s="203"/>
      <c r="E45" s="203"/>
      <c r="F45" s="203"/>
      <c r="G45" s="203"/>
      <c r="H45" s="203"/>
      <c r="I45" s="203"/>
      <c r="J45" s="203"/>
      <c r="K45" s="203"/>
      <c r="L45" s="203"/>
      <c r="M45" s="203"/>
      <c r="N45" s="203"/>
      <c r="O45" s="203"/>
      <c r="P45" s="204"/>
      <c r="Q45" s="24"/>
      <c r="R45" s="24"/>
      <c r="S45" s="24"/>
    </row>
  </sheetData>
  <mergeCells count="44">
    <mergeCell ref="C8:H8"/>
    <mergeCell ref="I8:L8"/>
    <mergeCell ref="M8:O8"/>
    <mergeCell ref="C9:H9"/>
    <mergeCell ref="I9:L9"/>
    <mergeCell ref="M9:O9"/>
    <mergeCell ref="C3:P3"/>
    <mergeCell ref="C4:P4"/>
    <mergeCell ref="C5:P5"/>
    <mergeCell ref="C6:P6"/>
    <mergeCell ref="C7:H7"/>
    <mergeCell ref="I7:L7"/>
    <mergeCell ref="M7:O7"/>
    <mergeCell ref="A1:B1"/>
    <mergeCell ref="C2:H2"/>
    <mergeCell ref="I2:L2"/>
    <mergeCell ref="M2:O2"/>
    <mergeCell ref="C1:P1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</mergeCells>
  <conditionalFormatting sqref="C22:E22 C4 H22:O22">
    <cfRule type="cellIs" dxfId="146" priority="49" operator="greaterThan">
      <formula>0</formula>
    </cfRule>
  </conditionalFormatting>
  <conditionalFormatting sqref="C21:E21 H21:O21">
    <cfRule type="expression" dxfId="145" priority="48">
      <formula>ISERROR(C21)</formula>
    </cfRule>
  </conditionalFormatting>
  <conditionalFormatting sqref="C21:E21 H21:O21">
    <cfRule type="cellIs" dxfId="144" priority="47" operator="equal">
      <formula>0</formula>
    </cfRule>
  </conditionalFormatting>
  <conditionalFormatting sqref="C21:E21 H21:O21">
    <cfRule type="cellIs" dxfId="143" priority="46" operator="greaterThan">
      <formula>0</formula>
    </cfRule>
  </conditionalFormatting>
  <conditionalFormatting sqref="C27:O27 D29:O29 D33:O33">
    <cfRule type="cellIs" dxfId="142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41" priority="41">
      <formula>ISBLANK(C8)</formula>
    </cfRule>
  </conditionalFormatting>
  <conditionalFormatting sqref="C29">
    <cfRule type="cellIs" dxfId="140" priority="43" operator="notEqual">
      <formula>VALUE(C28)</formula>
    </cfRule>
  </conditionalFormatting>
  <conditionalFormatting sqref="C29">
    <cfRule type="expression" dxfId="139" priority="42">
      <formula>ISBLANK(C29)</formula>
    </cfRule>
  </conditionalFormatting>
  <conditionalFormatting sqref="C8:O8 C10:O10 C12:O12 C14:O14 C16:O16 C31:O31 D35:O35 D37:O37 D25:O25 D39:O39 D41:O41">
    <cfRule type="cellIs" dxfId="138" priority="44" operator="notEqual">
      <formula>C7</formula>
    </cfRule>
  </conditionalFormatting>
  <conditionalFormatting sqref="C31">
    <cfRule type="expression" dxfId="137" priority="40">
      <formula>ISBLANK(C31)</formula>
    </cfRule>
  </conditionalFormatting>
  <conditionalFormatting sqref="C33">
    <cfRule type="cellIs" dxfId="136" priority="39" operator="notEqual">
      <formula>VALUE(C32)</formula>
    </cfRule>
  </conditionalFormatting>
  <conditionalFormatting sqref="C33">
    <cfRule type="expression" dxfId="135" priority="38">
      <formula>ISBLANK(C33)</formula>
    </cfRule>
  </conditionalFormatting>
  <conditionalFormatting sqref="C35">
    <cfRule type="cellIs" dxfId="134" priority="37" operator="notEqual">
      <formula>C34</formula>
    </cfRule>
  </conditionalFormatting>
  <conditionalFormatting sqref="C35">
    <cfRule type="expression" dxfId="133" priority="36">
      <formula>ISBLANK(C35)</formula>
    </cfRule>
  </conditionalFormatting>
  <conditionalFormatting sqref="C37">
    <cfRule type="cellIs" dxfId="132" priority="35" operator="notEqual">
      <formula>C36</formula>
    </cfRule>
  </conditionalFormatting>
  <conditionalFormatting sqref="C37">
    <cfRule type="expression" dxfId="131" priority="34">
      <formula>ISBLANK(C37)</formula>
    </cfRule>
  </conditionalFormatting>
  <conditionalFormatting sqref="C6">
    <cfRule type="expression" dxfId="130" priority="32">
      <formula>ISBLANK(C6)</formula>
    </cfRule>
    <cfRule type="cellIs" dxfId="129" priority="33" operator="notEqual">
      <formula>C5</formula>
    </cfRule>
  </conditionalFormatting>
  <conditionalFormatting sqref="C25">
    <cfRule type="cellIs" dxfId="128" priority="31" operator="notEqual">
      <formula>C24</formula>
    </cfRule>
  </conditionalFormatting>
  <conditionalFormatting sqref="C25">
    <cfRule type="expression" dxfId="127" priority="30">
      <formula>ISBLANK(C25)</formula>
    </cfRule>
  </conditionalFormatting>
  <conditionalFormatting sqref="C39">
    <cfRule type="cellIs" dxfId="126" priority="29" operator="notEqual">
      <formula>C38</formula>
    </cfRule>
  </conditionalFormatting>
  <conditionalFormatting sqref="C39">
    <cfRule type="expression" dxfId="125" priority="28">
      <formula>ISBLANK(C39)</formula>
    </cfRule>
  </conditionalFormatting>
  <conditionalFormatting sqref="C41">
    <cfRule type="cellIs" dxfId="124" priority="27" operator="notEqual">
      <formula>C40</formula>
    </cfRule>
  </conditionalFormatting>
  <conditionalFormatting sqref="C41">
    <cfRule type="expression" dxfId="123" priority="26">
      <formula>ISBLANK(C41)</formula>
    </cfRule>
  </conditionalFormatting>
  <conditionalFormatting sqref="C24:O41">
    <cfRule type="expression" dxfId="122" priority="25" stopIfTrue="1">
      <formula>OR(C$22="Free",C$22="Telenor",C$22="Mtel",C$22="Telenor&amp;Mtel")</formula>
    </cfRule>
  </conditionalFormatting>
  <conditionalFormatting sqref="F22:G22">
    <cfRule type="cellIs" dxfId="121" priority="24" operator="greaterThan">
      <formula>0</formula>
    </cfRule>
  </conditionalFormatting>
  <conditionalFormatting sqref="F21:G21">
    <cfRule type="expression" dxfId="120" priority="23">
      <formula>ISERROR(F21)</formula>
    </cfRule>
  </conditionalFormatting>
  <conditionalFormatting sqref="F21:G21">
    <cfRule type="cellIs" dxfId="119" priority="22" operator="equal">
      <formula>0</formula>
    </cfRule>
  </conditionalFormatting>
  <conditionalFormatting sqref="F21:G21">
    <cfRule type="cellIs" dxfId="118" priority="21" operator="greaterThan">
      <formula>0</formula>
    </cfRule>
  </conditionalFormatting>
  <conditionalFormatting sqref="C19">
    <cfRule type="cellIs" dxfId="117" priority="19" operator="equal">
      <formula>0</formula>
    </cfRule>
    <cfRule type="expression" dxfId="116" priority="20">
      <formula>ISERROR(C19)</formula>
    </cfRule>
  </conditionalFormatting>
  <conditionalFormatting sqref="D19:O19">
    <cfRule type="cellIs" dxfId="115" priority="17" operator="equal">
      <formula>0</formula>
    </cfRule>
    <cfRule type="expression" dxfId="114" priority="18">
      <formula>ISERROR(D19)</formula>
    </cfRule>
  </conditionalFormatting>
  <conditionalFormatting sqref="P22">
    <cfRule type="cellIs" dxfId="113" priority="11" operator="greaterThan">
      <formula>0</formula>
    </cfRule>
  </conditionalFormatting>
  <conditionalFormatting sqref="P21">
    <cfRule type="expression" dxfId="112" priority="10">
      <formula>ISERROR(P21)</formula>
    </cfRule>
  </conditionalFormatting>
  <conditionalFormatting sqref="P21">
    <cfRule type="cellIs" dxfId="111" priority="9" operator="equal">
      <formula>0</formula>
    </cfRule>
  </conditionalFormatting>
  <conditionalFormatting sqref="P21">
    <cfRule type="cellIs" dxfId="110" priority="8" operator="greaterThan">
      <formula>0</formula>
    </cfRule>
  </conditionalFormatting>
  <conditionalFormatting sqref="P27 P29 P33">
    <cfRule type="cellIs" dxfId="109" priority="7" operator="notEqual">
      <formula>VALUE(P26)</formula>
    </cfRule>
  </conditionalFormatting>
  <conditionalFormatting sqref="P8 P10 P12 P14 P16 P27 P29 P31 P33 P35 P37 P25 P39 P41">
    <cfRule type="expression" dxfId="108" priority="5">
      <formula>ISBLANK(P8)</formula>
    </cfRule>
  </conditionalFormatting>
  <conditionalFormatting sqref="P8 P10 P12 P14 P16 P31 P35 P37 P25 P39 P41">
    <cfRule type="cellIs" dxfId="107" priority="6" operator="notEqual">
      <formula>P7</formula>
    </cfRule>
  </conditionalFormatting>
  <conditionalFormatting sqref="P24:P41">
    <cfRule type="expression" dxfId="106" priority="4" stopIfTrue="1">
      <formula>OR(P$22="Free",P$22="Telenor",P$22="Mtel",P$22="Telenor&amp;Mtel")</formula>
    </cfRule>
  </conditionalFormatting>
  <conditionalFormatting sqref="P19">
    <cfRule type="cellIs" dxfId="105" priority="2" operator="equal">
      <formula>0</formula>
    </cfRule>
    <cfRule type="expression" dxfId="104" priority="3">
      <formula>ISERROR(P19)</formula>
    </cfRule>
  </conditionalFormatting>
  <conditionalFormatting sqref="C23:P23">
    <cfRule type="cellIs" dxfId="10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width="10.265625" style="8" bestFit="1" customWidth="1"/>
    <col min="2" max="2" width="40.1328125" style="9" bestFit="1" customWidth="1"/>
    <col min="3" max="7" width="9.1328125" style="23"/>
    <col min="8" max="8" width="9.3984375" style="23" bestFit="1" customWidth="1"/>
    <col min="9" max="16384" width="9.1328125" style="23"/>
  </cols>
  <sheetData>
    <row r="1" spans="1:16" ht="25.15" customHeight="1" thickBot="1">
      <c r="A1" s="236"/>
      <c r="B1" s="237"/>
      <c r="C1" s="254" t="s">
        <v>276</v>
      </c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</row>
    <row r="2" spans="1:16" ht="18" thickBot="1">
      <c r="A2" s="35"/>
      <c r="B2" s="16" t="s">
        <v>1</v>
      </c>
      <c r="C2" s="221">
        <v>1</v>
      </c>
      <c r="D2" s="260"/>
      <c r="E2" s="260"/>
      <c r="F2" s="260"/>
      <c r="G2" s="260"/>
      <c r="H2" s="223"/>
      <c r="I2" s="261">
        <v>2</v>
      </c>
      <c r="J2" s="262"/>
      <c r="K2" s="262"/>
      <c r="L2" s="263"/>
      <c r="M2" s="261">
        <v>3</v>
      </c>
      <c r="N2" s="262"/>
      <c r="O2" s="264"/>
      <c r="P2" s="74">
        <v>4</v>
      </c>
    </row>
    <row r="3" spans="1:16" ht="17.25">
      <c r="A3" s="205"/>
      <c r="B3" s="14" t="s">
        <v>460</v>
      </c>
      <c r="C3" s="208"/>
      <c r="D3" s="206"/>
      <c r="E3" s="206"/>
      <c r="F3" s="206"/>
      <c r="G3" s="206"/>
      <c r="H3" s="206"/>
      <c r="I3" s="206"/>
      <c r="J3" s="206"/>
      <c r="K3" s="206"/>
      <c r="L3" s="206"/>
      <c r="M3" s="206"/>
      <c r="N3" s="206"/>
      <c r="O3" s="206"/>
      <c r="P3" s="207"/>
    </row>
    <row r="4" spans="1:16" s="24" customFormat="1" ht="25.15" thickBot="1">
      <c r="A4" s="205"/>
      <c r="B4" s="11" t="s">
        <v>450</v>
      </c>
      <c r="C4" s="272"/>
      <c r="D4" s="273"/>
      <c r="E4" s="273"/>
      <c r="F4" s="273"/>
      <c r="G4" s="273"/>
      <c r="H4" s="273"/>
      <c r="I4" s="273"/>
      <c r="J4" s="273"/>
      <c r="K4" s="273"/>
      <c r="L4" s="273"/>
      <c r="M4" s="273"/>
      <c r="N4" s="273"/>
      <c r="O4" s="273"/>
      <c r="P4" s="274"/>
    </row>
    <row r="5" spans="1:16" ht="24.75">
      <c r="A5" s="205"/>
      <c r="B5" s="15" t="s">
        <v>461</v>
      </c>
      <c r="C5" s="266"/>
      <c r="D5" s="267"/>
      <c r="E5" s="267"/>
      <c r="F5" s="267"/>
      <c r="G5" s="267"/>
      <c r="H5" s="267"/>
      <c r="I5" s="267"/>
      <c r="J5" s="267"/>
      <c r="K5" s="267"/>
      <c r="L5" s="267"/>
      <c r="M5" s="267"/>
      <c r="N5" s="267"/>
      <c r="O5" s="267"/>
      <c r="P5" s="268"/>
    </row>
    <row r="6" spans="1:16" s="24" customFormat="1" ht="25.15" thickBot="1">
      <c r="A6" s="205"/>
      <c r="B6" s="34" t="s">
        <v>451</v>
      </c>
      <c r="C6" s="215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  <c r="O6" s="216"/>
      <c r="P6" s="217"/>
    </row>
    <row r="7" spans="1:16" ht="17.25">
      <c r="A7" s="205"/>
      <c r="B7" s="10" t="s">
        <v>462</v>
      </c>
      <c r="C7" s="230"/>
      <c r="D7" s="231"/>
      <c r="E7" s="231"/>
      <c r="F7" s="231"/>
      <c r="G7" s="231"/>
      <c r="H7" s="232"/>
      <c r="I7" s="231"/>
      <c r="J7" s="231"/>
      <c r="K7" s="231"/>
      <c r="L7" s="232"/>
      <c r="M7" s="231"/>
      <c r="N7" s="231"/>
      <c r="O7" s="232"/>
      <c r="P7" s="96"/>
    </row>
    <row r="8" spans="1:16" s="24" customFormat="1" ht="17.649999999999999" thickBot="1">
      <c r="A8" s="205"/>
      <c r="B8" s="11" t="s">
        <v>452</v>
      </c>
      <c r="C8" s="218"/>
      <c r="D8" s="219"/>
      <c r="E8" s="219"/>
      <c r="F8" s="219"/>
      <c r="G8" s="219"/>
      <c r="H8" s="220"/>
      <c r="I8" s="218"/>
      <c r="J8" s="219"/>
      <c r="K8" s="219"/>
      <c r="L8" s="220"/>
      <c r="M8" s="218"/>
      <c r="N8" s="219"/>
      <c r="O8" s="220"/>
      <c r="P8" s="97"/>
    </row>
    <row r="9" spans="1:16" ht="17.25">
      <c r="A9" s="205"/>
      <c r="B9" s="10" t="s">
        <v>2</v>
      </c>
      <c r="C9" s="208"/>
      <c r="D9" s="206"/>
      <c r="E9" s="206"/>
      <c r="F9" s="206"/>
      <c r="G9" s="206"/>
      <c r="H9" s="207"/>
      <c r="I9" s="206"/>
      <c r="J9" s="206"/>
      <c r="K9" s="206"/>
      <c r="L9" s="207"/>
      <c r="M9" s="206"/>
      <c r="N9" s="206"/>
      <c r="O9" s="207"/>
      <c r="P9" s="96"/>
    </row>
    <row r="10" spans="1:16" s="24" customFormat="1" ht="17.649999999999999" thickBot="1">
      <c r="A10" s="205"/>
      <c r="B10" s="12" t="s">
        <v>3</v>
      </c>
      <c r="C10" s="218"/>
      <c r="D10" s="219"/>
      <c r="E10" s="219"/>
      <c r="F10" s="219"/>
      <c r="G10" s="219"/>
      <c r="H10" s="220"/>
      <c r="I10" s="218"/>
      <c r="J10" s="219"/>
      <c r="K10" s="219"/>
      <c r="L10" s="220"/>
      <c r="M10" s="218"/>
      <c r="N10" s="219"/>
      <c r="O10" s="220"/>
      <c r="P10" s="97"/>
    </row>
    <row r="11" spans="1:16" ht="17.25">
      <c r="A11" s="205"/>
      <c r="B11" s="10" t="s">
        <v>470</v>
      </c>
      <c r="C11" s="208"/>
      <c r="D11" s="206"/>
      <c r="E11" s="206"/>
      <c r="F11" s="206"/>
      <c r="G11" s="206"/>
      <c r="H11" s="207"/>
      <c r="I11" s="206"/>
      <c r="J11" s="206"/>
      <c r="K11" s="206"/>
      <c r="L11" s="207"/>
      <c r="M11" s="206"/>
      <c r="N11" s="206"/>
      <c r="O11" s="207"/>
      <c r="P11" s="96"/>
    </row>
    <row r="12" spans="1:16" s="24" customFormat="1" ht="17.649999999999999" thickBot="1">
      <c r="A12" s="205"/>
      <c r="B12" s="12" t="s">
        <v>471</v>
      </c>
      <c r="C12" s="250"/>
      <c r="D12" s="251"/>
      <c r="E12" s="251"/>
      <c r="F12" s="251"/>
      <c r="G12" s="251"/>
      <c r="H12" s="252"/>
      <c r="I12" s="250"/>
      <c r="J12" s="251"/>
      <c r="K12" s="251"/>
      <c r="L12" s="252"/>
      <c r="M12" s="250"/>
      <c r="N12" s="251"/>
      <c r="O12" s="252"/>
      <c r="P12" s="97"/>
    </row>
    <row r="13" spans="1:16" ht="17.25">
      <c r="A13" s="205"/>
      <c r="B13" s="10" t="s">
        <v>4</v>
      </c>
      <c r="C13" s="208"/>
      <c r="D13" s="206"/>
      <c r="E13" s="206"/>
      <c r="F13" s="206"/>
      <c r="G13" s="206"/>
      <c r="H13" s="207"/>
      <c r="I13" s="206"/>
      <c r="J13" s="206"/>
      <c r="K13" s="206"/>
      <c r="L13" s="207"/>
      <c r="M13" s="206"/>
      <c r="N13" s="206"/>
      <c r="O13" s="207"/>
      <c r="P13" s="96"/>
    </row>
    <row r="14" spans="1:16" s="24" customFormat="1" ht="17.649999999999999" thickBot="1">
      <c r="A14" s="205"/>
      <c r="B14" s="12" t="s">
        <v>453</v>
      </c>
      <c r="C14" s="247"/>
      <c r="D14" s="248"/>
      <c r="E14" s="248"/>
      <c r="F14" s="248"/>
      <c r="G14" s="248"/>
      <c r="H14" s="249"/>
      <c r="I14" s="247"/>
      <c r="J14" s="248"/>
      <c r="K14" s="248"/>
      <c r="L14" s="249"/>
      <c r="M14" s="247"/>
      <c r="N14" s="248"/>
      <c r="O14" s="249"/>
      <c r="P14" s="98"/>
    </row>
    <row r="15" spans="1:16" ht="17.25">
      <c r="A15" s="205"/>
      <c r="B15" s="10" t="s">
        <v>463</v>
      </c>
      <c r="C15" s="208"/>
      <c r="D15" s="206"/>
      <c r="E15" s="206"/>
      <c r="F15" s="206"/>
      <c r="G15" s="206"/>
      <c r="H15" s="207"/>
      <c r="I15" s="206"/>
      <c r="J15" s="206"/>
      <c r="K15" s="206"/>
      <c r="L15" s="207"/>
      <c r="M15" s="206"/>
      <c r="N15" s="206"/>
      <c r="O15" s="207"/>
      <c r="P15" s="99"/>
    </row>
    <row r="16" spans="1:16" s="24" customFormat="1" ht="17.25">
      <c r="A16" s="205"/>
      <c r="B16" s="70" t="s">
        <v>454</v>
      </c>
      <c r="C16" s="238"/>
      <c r="D16" s="239"/>
      <c r="E16" s="239"/>
      <c r="F16" s="239"/>
      <c r="G16" s="239"/>
      <c r="H16" s="240"/>
      <c r="I16" s="241"/>
      <c r="J16" s="242"/>
      <c r="K16" s="242"/>
      <c r="L16" s="243"/>
      <c r="M16" s="241"/>
      <c r="N16" s="242"/>
      <c r="O16" s="243"/>
      <c r="P16" s="100"/>
    </row>
    <row r="17" spans="1:18" ht="17.25">
      <c r="A17" s="259"/>
      <c r="B17" s="72" t="s">
        <v>5</v>
      </c>
      <c r="C17" s="65" t="s">
        <v>6</v>
      </c>
      <c r="D17" s="66" t="s">
        <v>7</v>
      </c>
      <c r="E17" s="66" t="s">
        <v>8</v>
      </c>
      <c r="F17" s="66" t="s">
        <v>9</v>
      </c>
      <c r="G17" s="66" t="s">
        <v>10</v>
      </c>
      <c r="H17" s="67" t="s">
        <v>278</v>
      </c>
      <c r="I17" s="65" t="s">
        <v>6</v>
      </c>
      <c r="J17" s="66" t="s">
        <v>7</v>
      </c>
      <c r="K17" s="66" t="s">
        <v>8</v>
      </c>
      <c r="L17" s="67" t="s">
        <v>9</v>
      </c>
      <c r="M17" s="65" t="s">
        <v>6</v>
      </c>
      <c r="N17" s="66" t="s">
        <v>7</v>
      </c>
      <c r="O17" s="67" t="s">
        <v>8</v>
      </c>
      <c r="P17" s="78" t="s">
        <v>6</v>
      </c>
    </row>
    <row r="18" spans="1:18" ht="17.25">
      <c r="A18" s="259"/>
      <c r="B18" s="72" t="s">
        <v>410</v>
      </c>
      <c r="C18" s="65"/>
      <c r="D18" s="66"/>
      <c r="E18" s="66"/>
      <c r="F18" s="66"/>
      <c r="G18" s="66"/>
      <c r="H18" s="67"/>
      <c r="I18" s="65"/>
      <c r="J18" s="66"/>
      <c r="K18" s="66"/>
      <c r="L18" s="67"/>
      <c r="M18" s="65"/>
      <c r="N18" s="66"/>
      <c r="O18" s="67"/>
      <c r="P18" s="79"/>
    </row>
    <row r="19" spans="1:18" ht="17.25">
      <c r="A19" s="259"/>
      <c r="B19" s="73" t="s">
        <v>411</v>
      </c>
      <c r="C19" s="107"/>
      <c r="D19" s="107"/>
      <c r="E19" s="107"/>
      <c r="F19" s="107"/>
      <c r="G19" s="107"/>
      <c r="H19" s="107"/>
      <c r="I19" s="107"/>
      <c r="J19" s="107"/>
      <c r="K19" s="107"/>
      <c r="L19" s="107"/>
      <c r="M19" s="107"/>
      <c r="N19" s="107"/>
      <c r="O19" s="107"/>
      <c r="P19" s="107"/>
      <c r="Q19" s="108"/>
    </row>
    <row r="20" spans="1:18" ht="17.25">
      <c r="A20" s="205"/>
      <c r="B20" s="71" t="s">
        <v>58</v>
      </c>
      <c r="C20" s="63"/>
      <c r="D20" s="64"/>
      <c r="E20" s="64"/>
      <c r="F20" s="64"/>
      <c r="G20" s="64"/>
      <c r="H20" s="64"/>
      <c r="I20" s="63"/>
      <c r="J20" s="64"/>
      <c r="K20" s="64"/>
      <c r="L20" s="68"/>
      <c r="M20" s="69"/>
      <c r="N20" s="64"/>
      <c r="O20" s="68"/>
      <c r="P20" s="68"/>
    </row>
    <row r="21" spans="1:18" ht="17.649999999999999" thickBot="1">
      <c r="A21" s="205"/>
      <c r="B21" s="20" t="s">
        <v>59</v>
      </c>
      <c r="C21" s="44"/>
      <c r="D21" s="45"/>
      <c r="E21" s="45"/>
      <c r="F21" s="45"/>
      <c r="G21" s="45"/>
      <c r="H21" s="45"/>
      <c r="I21" s="45"/>
      <c r="J21" s="45"/>
      <c r="K21" s="45"/>
      <c r="L21" s="46"/>
      <c r="M21" s="47"/>
      <c r="N21" s="45"/>
      <c r="O21" s="44"/>
      <c r="P21" s="44"/>
      <c r="R21" s="19"/>
    </row>
    <row r="22" spans="1:18" s="24" customFormat="1" ht="17.649999999999999" thickBot="1">
      <c r="A22" s="205"/>
      <c r="B22" s="30" t="s">
        <v>469</v>
      </c>
      <c r="C22" s="48"/>
      <c r="D22" s="49"/>
      <c r="E22" s="49"/>
      <c r="F22" s="49"/>
      <c r="G22" s="49"/>
      <c r="H22" s="49"/>
      <c r="I22" s="49"/>
      <c r="J22" s="49"/>
      <c r="K22" s="49"/>
      <c r="L22" s="50"/>
      <c r="M22" s="51"/>
      <c r="N22" s="49"/>
      <c r="O22" s="52"/>
      <c r="P22" s="52"/>
    </row>
    <row r="23" spans="1:18" s="24" customFormat="1" ht="17.649999999999999" thickBot="1">
      <c r="A23" s="205"/>
      <c r="B23" s="30" t="s">
        <v>270</v>
      </c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</row>
    <row r="24" spans="1:18" ht="17.25">
      <c r="A24" s="205"/>
      <c r="B24" s="13" t="s">
        <v>11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</row>
    <row r="25" spans="1:18" s="24" customFormat="1" ht="17.649999999999999" thickBot="1">
      <c r="A25" s="205"/>
      <c r="B25" s="31" t="s">
        <v>12</v>
      </c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80"/>
    </row>
    <row r="26" spans="1:18" ht="17.25">
      <c r="A26" s="205"/>
      <c r="B26" s="29" t="s">
        <v>13</v>
      </c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</row>
    <row r="27" spans="1:18" s="24" customFormat="1" ht="17.649999999999999" thickBot="1">
      <c r="A27" s="205"/>
      <c r="B27" s="32" t="s">
        <v>14</v>
      </c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</row>
    <row r="28" spans="1:18" ht="17.25">
      <c r="A28" s="205"/>
      <c r="B28" s="13" t="s">
        <v>15</v>
      </c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</row>
    <row r="29" spans="1:18" s="24" customFormat="1" ht="17.649999999999999" thickBot="1">
      <c r="A29" s="205"/>
      <c r="B29" s="33" t="s">
        <v>16</v>
      </c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80"/>
    </row>
    <row r="30" spans="1:18" ht="17.25">
      <c r="A30" s="205"/>
      <c r="B30" s="29" t="s">
        <v>464</v>
      </c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</row>
    <row r="31" spans="1:18" s="24" customFormat="1" ht="17.649999999999999" thickBot="1">
      <c r="A31" s="205"/>
      <c r="B31" s="32" t="s">
        <v>455</v>
      </c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81"/>
    </row>
    <row r="32" spans="1:18" ht="17.25">
      <c r="A32" s="205"/>
      <c r="B32" s="13" t="s">
        <v>465</v>
      </c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</row>
    <row r="33" spans="1:21" s="24" customFormat="1" ht="17.649999999999999" thickBot="1">
      <c r="A33" s="205"/>
      <c r="B33" s="32" t="s">
        <v>456</v>
      </c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80"/>
    </row>
    <row r="34" spans="1:21" ht="17.25">
      <c r="A34" s="205"/>
      <c r="B34" s="29" t="s">
        <v>466</v>
      </c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U34" s="24"/>
    </row>
    <row r="35" spans="1:21" s="24" customFormat="1" ht="17.649999999999999" thickBot="1">
      <c r="A35" s="205"/>
      <c r="B35" s="30" t="s">
        <v>457</v>
      </c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80"/>
      <c r="U35" s="23"/>
    </row>
    <row r="36" spans="1:21" ht="17.25">
      <c r="A36" s="205"/>
      <c r="B36" s="13" t="s">
        <v>17</v>
      </c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</row>
    <row r="37" spans="1:21" s="24" customFormat="1" ht="17.649999999999999" thickBot="1">
      <c r="A37" s="205"/>
      <c r="B37" s="30" t="s">
        <v>18</v>
      </c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80"/>
    </row>
    <row r="38" spans="1:21" ht="17.25">
      <c r="A38" s="205"/>
      <c r="B38" s="13" t="s">
        <v>467</v>
      </c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</row>
    <row r="39" spans="1:21" s="24" customFormat="1" ht="17.649999999999999" thickBot="1">
      <c r="A39" s="205"/>
      <c r="B39" s="30" t="s">
        <v>458</v>
      </c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80"/>
    </row>
    <row r="40" spans="1:21" ht="17.25">
      <c r="A40" s="205"/>
      <c r="B40" s="13" t="s">
        <v>468</v>
      </c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</row>
    <row r="41" spans="1:21" s="24" customFormat="1" ht="17.649999999999999" thickBot="1">
      <c r="A41" s="205"/>
      <c r="B41" s="31" t="s">
        <v>459</v>
      </c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80"/>
    </row>
    <row r="42" spans="1:21" ht="12.75" customHeight="1">
      <c r="A42" s="227" t="s">
        <v>63</v>
      </c>
      <c r="B42" s="196"/>
      <c r="C42" s="197"/>
      <c r="D42" s="197"/>
      <c r="E42" s="197"/>
      <c r="F42" s="197"/>
      <c r="G42" s="197"/>
      <c r="H42" s="197"/>
      <c r="I42" s="197"/>
      <c r="J42" s="197"/>
      <c r="K42" s="197"/>
      <c r="L42" s="197"/>
      <c r="M42" s="197"/>
      <c r="N42" s="197"/>
      <c r="O42" s="197"/>
      <c r="P42" s="198"/>
      <c r="Q42" s="24"/>
      <c r="R42" s="24"/>
      <c r="S42" s="24"/>
    </row>
    <row r="43" spans="1:21" ht="13.15" customHeight="1">
      <c r="A43" s="228"/>
      <c r="B43" s="199"/>
      <c r="C43" s="200"/>
      <c r="D43" s="200"/>
      <c r="E43" s="200"/>
      <c r="F43" s="200"/>
      <c r="G43" s="200"/>
      <c r="H43" s="200"/>
      <c r="I43" s="200"/>
      <c r="J43" s="200"/>
      <c r="K43" s="200"/>
      <c r="L43" s="200"/>
      <c r="M43" s="200"/>
      <c r="N43" s="200"/>
      <c r="O43" s="200"/>
      <c r="P43" s="201"/>
      <c r="Q43" s="24"/>
      <c r="R43" s="24"/>
      <c r="S43" s="24"/>
    </row>
    <row r="44" spans="1:21" ht="13.15" customHeight="1">
      <c r="A44" s="228"/>
      <c r="B44" s="199"/>
      <c r="C44" s="200"/>
      <c r="D44" s="200"/>
      <c r="E44" s="200"/>
      <c r="F44" s="200"/>
      <c r="G44" s="200"/>
      <c r="H44" s="200"/>
      <c r="I44" s="200"/>
      <c r="J44" s="200"/>
      <c r="K44" s="200"/>
      <c r="L44" s="200"/>
      <c r="M44" s="200"/>
      <c r="N44" s="200"/>
      <c r="O44" s="200"/>
      <c r="P44" s="201"/>
      <c r="Q44" s="24"/>
      <c r="R44" s="24"/>
      <c r="S44" s="24"/>
    </row>
    <row r="45" spans="1:21" ht="13.9" customHeight="1" thickBot="1">
      <c r="A45" s="229"/>
      <c r="B45" s="202"/>
      <c r="C45" s="203"/>
      <c r="D45" s="203"/>
      <c r="E45" s="203"/>
      <c r="F45" s="203"/>
      <c r="G45" s="203"/>
      <c r="H45" s="203"/>
      <c r="I45" s="203"/>
      <c r="J45" s="203"/>
      <c r="K45" s="203"/>
      <c r="L45" s="203"/>
      <c r="M45" s="203"/>
      <c r="N45" s="203"/>
      <c r="O45" s="203"/>
      <c r="P45" s="204"/>
      <c r="Q45" s="24"/>
      <c r="R45" s="24"/>
      <c r="S45" s="24"/>
    </row>
  </sheetData>
  <mergeCells count="44">
    <mergeCell ref="A1:B1"/>
    <mergeCell ref="C2:H2"/>
    <mergeCell ref="I2:L2"/>
    <mergeCell ref="M2:O2"/>
    <mergeCell ref="C1:P1"/>
    <mergeCell ref="M10:O10"/>
    <mergeCell ref="C7:H7"/>
    <mergeCell ref="I7:L7"/>
    <mergeCell ref="M7:O7"/>
    <mergeCell ref="C8:H8"/>
    <mergeCell ref="I8:L8"/>
    <mergeCell ref="M8:O8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</mergeCells>
  <conditionalFormatting sqref="C22:E22 C4 H22:O22">
    <cfRule type="cellIs" dxfId="102" priority="47" operator="greaterThan">
      <formula>0</formula>
    </cfRule>
  </conditionalFormatting>
  <conditionalFormatting sqref="C21:E21 H21:O21">
    <cfRule type="expression" dxfId="101" priority="46">
      <formula>ISERROR(C21)</formula>
    </cfRule>
  </conditionalFormatting>
  <conditionalFormatting sqref="C21:E21 H21:O21">
    <cfRule type="cellIs" dxfId="100" priority="45" operator="equal">
      <formula>0</formula>
    </cfRule>
  </conditionalFormatting>
  <conditionalFormatting sqref="C21:E21 H21:O21">
    <cfRule type="cellIs" dxfId="99" priority="44" operator="greaterThan">
      <formula>0</formula>
    </cfRule>
  </conditionalFormatting>
  <conditionalFormatting sqref="C27:O27 D29:O29 D33:O33">
    <cfRule type="cellIs" dxfId="98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97" priority="39">
      <formula>ISBLANK(C8)</formula>
    </cfRule>
  </conditionalFormatting>
  <conditionalFormatting sqref="C29">
    <cfRule type="cellIs" dxfId="96" priority="41" operator="notEqual">
      <formula>VALUE(C28)</formula>
    </cfRule>
  </conditionalFormatting>
  <conditionalFormatting sqref="C29">
    <cfRule type="expression" dxfId="95" priority="40">
      <formula>ISBLANK(C29)</formula>
    </cfRule>
  </conditionalFormatting>
  <conditionalFormatting sqref="C8:O8 C10:O10 C12:O12 C14:O14 C16:O16 C31:O31 D35:O35 D37:O37 D25:O25 D39:O39 D41:O41">
    <cfRule type="cellIs" dxfId="94" priority="42" operator="notEqual">
      <formula>C7</formula>
    </cfRule>
  </conditionalFormatting>
  <conditionalFormatting sqref="C31">
    <cfRule type="expression" dxfId="93" priority="38">
      <formula>ISBLANK(C31)</formula>
    </cfRule>
  </conditionalFormatting>
  <conditionalFormatting sqref="C33">
    <cfRule type="cellIs" dxfId="92" priority="37" operator="notEqual">
      <formula>VALUE(C32)</formula>
    </cfRule>
  </conditionalFormatting>
  <conditionalFormatting sqref="C33">
    <cfRule type="expression" dxfId="91" priority="36">
      <formula>ISBLANK(C33)</formula>
    </cfRule>
  </conditionalFormatting>
  <conditionalFormatting sqref="C35">
    <cfRule type="cellIs" dxfId="90" priority="35" operator="notEqual">
      <formula>C34</formula>
    </cfRule>
  </conditionalFormatting>
  <conditionalFormatting sqref="C35">
    <cfRule type="expression" dxfId="89" priority="34">
      <formula>ISBLANK(C35)</formula>
    </cfRule>
  </conditionalFormatting>
  <conditionalFormatting sqref="C37">
    <cfRule type="cellIs" dxfId="88" priority="33" operator="notEqual">
      <formula>C36</formula>
    </cfRule>
  </conditionalFormatting>
  <conditionalFormatting sqref="C37">
    <cfRule type="expression" dxfId="87" priority="32">
      <formula>ISBLANK(C37)</formula>
    </cfRule>
  </conditionalFormatting>
  <conditionalFormatting sqref="C6">
    <cfRule type="expression" dxfId="86" priority="30">
      <formula>ISBLANK(C6)</formula>
    </cfRule>
    <cfRule type="cellIs" dxfId="85" priority="31" operator="notEqual">
      <formula>C5</formula>
    </cfRule>
  </conditionalFormatting>
  <conditionalFormatting sqref="C25">
    <cfRule type="cellIs" dxfId="84" priority="29" operator="notEqual">
      <formula>C24</formula>
    </cfRule>
  </conditionalFormatting>
  <conditionalFormatting sqref="C25">
    <cfRule type="expression" dxfId="83" priority="28">
      <formula>ISBLANK(C25)</formula>
    </cfRule>
  </conditionalFormatting>
  <conditionalFormatting sqref="C39">
    <cfRule type="cellIs" dxfId="82" priority="27" operator="notEqual">
      <formula>C38</formula>
    </cfRule>
  </conditionalFormatting>
  <conditionalFormatting sqref="C39">
    <cfRule type="expression" dxfId="81" priority="26">
      <formula>ISBLANK(C39)</formula>
    </cfRule>
  </conditionalFormatting>
  <conditionalFormatting sqref="C41">
    <cfRule type="cellIs" dxfId="80" priority="25" operator="notEqual">
      <formula>C40</formula>
    </cfRule>
  </conditionalFormatting>
  <conditionalFormatting sqref="C41">
    <cfRule type="expression" dxfId="79" priority="24">
      <formula>ISBLANK(C41)</formula>
    </cfRule>
  </conditionalFormatting>
  <conditionalFormatting sqref="C24:O41">
    <cfRule type="expression" dxfId="78" priority="23" stopIfTrue="1">
      <formula>OR(C$22="Free",C$22="Telenor",C$22="Mtel",C$22="Telenor&amp;Mtel")</formula>
    </cfRule>
  </conditionalFormatting>
  <conditionalFormatting sqref="F22:G22">
    <cfRule type="cellIs" dxfId="77" priority="22" operator="greaterThan">
      <formula>0</formula>
    </cfRule>
  </conditionalFormatting>
  <conditionalFormatting sqref="F21:G21">
    <cfRule type="expression" dxfId="76" priority="21">
      <formula>ISERROR(F21)</formula>
    </cfRule>
  </conditionalFormatting>
  <conditionalFormatting sqref="F21:G21">
    <cfRule type="cellIs" dxfId="75" priority="20" operator="equal">
      <formula>0</formula>
    </cfRule>
  </conditionalFormatting>
  <conditionalFormatting sqref="F21:G21">
    <cfRule type="cellIs" dxfId="74" priority="19" operator="greaterThan">
      <formula>0</formula>
    </cfRule>
  </conditionalFormatting>
  <conditionalFormatting sqref="P22">
    <cfRule type="cellIs" dxfId="73" priority="18" operator="greaterThan">
      <formula>0</formula>
    </cfRule>
  </conditionalFormatting>
  <conditionalFormatting sqref="P27 P29 P33">
    <cfRule type="cellIs" dxfId="72" priority="14" operator="notEqual">
      <formula>VALUE(P26)</formula>
    </cfRule>
  </conditionalFormatting>
  <conditionalFormatting sqref="P8 P10 P12 P14 P16 P27 P29 P31 P33 P35 P37 P25 P39 P41">
    <cfRule type="expression" dxfId="71" priority="12">
      <formula>ISBLANK(P8)</formula>
    </cfRule>
  </conditionalFormatting>
  <conditionalFormatting sqref="P8 P10 P12 P14 P16 P31 P35 P37 P25 P39 P41">
    <cfRule type="cellIs" dxfId="70" priority="13" operator="notEqual">
      <formula>P7</formula>
    </cfRule>
  </conditionalFormatting>
  <conditionalFormatting sqref="P24:P41">
    <cfRule type="expression" dxfId="69" priority="11" stopIfTrue="1">
      <formula>OR(P$22="Free",P$22="Telenor",P$22="Mtel",P$22="Telenor&amp;Mtel")</formula>
    </cfRule>
  </conditionalFormatting>
  <conditionalFormatting sqref="C19">
    <cfRule type="expression" dxfId="68" priority="7">
      <formula>ISERROR(C19)</formula>
    </cfRule>
    <cfRule type="cellIs" dxfId="67" priority="8" operator="equal">
      <formula>0</formula>
    </cfRule>
  </conditionalFormatting>
  <conditionalFormatting sqref="D19:P19">
    <cfRule type="expression" dxfId="66" priority="5">
      <formula>ISERROR(D19)</formula>
    </cfRule>
    <cfRule type="cellIs" dxfId="65" priority="6" operator="equal">
      <formula>0</formula>
    </cfRule>
  </conditionalFormatting>
  <conditionalFormatting sqref="P21">
    <cfRule type="expression" dxfId="64" priority="4">
      <formula>ISERROR(P21)</formula>
    </cfRule>
  </conditionalFormatting>
  <conditionalFormatting sqref="P21">
    <cfRule type="cellIs" dxfId="63" priority="3" operator="equal">
      <formula>0</formula>
    </cfRule>
  </conditionalFormatting>
  <conditionalFormatting sqref="P21">
    <cfRule type="cellIs" dxfId="62" priority="2" operator="greaterThan">
      <formula>0</formula>
    </cfRule>
  </conditionalFormatting>
  <conditionalFormatting sqref="C23:P23">
    <cfRule type="cellIs" dxfId="61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width="10.265625" style="8" bestFit="1" customWidth="1"/>
    <col min="2" max="2" width="40.1328125" style="9" bestFit="1" customWidth="1"/>
    <col min="3" max="7" width="9.1328125" style="23"/>
    <col min="8" max="8" width="9.3984375" style="23" bestFit="1" customWidth="1"/>
    <col min="9" max="16384" width="9.1328125" style="23"/>
  </cols>
  <sheetData>
    <row r="1" spans="1:16" ht="25.15" customHeight="1" thickBot="1">
      <c r="A1" s="236"/>
      <c r="B1" s="237"/>
      <c r="C1" s="254" t="s">
        <v>277</v>
      </c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</row>
    <row r="2" spans="1:16" ht="18" thickBot="1">
      <c r="A2" s="35"/>
      <c r="B2" s="16" t="s">
        <v>1</v>
      </c>
      <c r="C2" s="221">
        <v>1</v>
      </c>
      <c r="D2" s="260"/>
      <c r="E2" s="260"/>
      <c r="F2" s="260"/>
      <c r="G2" s="260"/>
      <c r="H2" s="223"/>
      <c r="I2" s="261">
        <v>2</v>
      </c>
      <c r="J2" s="262"/>
      <c r="K2" s="262"/>
      <c r="L2" s="263"/>
      <c r="M2" s="261">
        <v>3</v>
      </c>
      <c r="N2" s="262"/>
      <c r="O2" s="264"/>
      <c r="P2" s="74">
        <v>4</v>
      </c>
    </row>
    <row r="3" spans="1:16" ht="17.25">
      <c r="A3" s="205"/>
      <c r="B3" s="14" t="s">
        <v>460</v>
      </c>
      <c r="C3" s="208"/>
      <c r="D3" s="206"/>
      <c r="E3" s="206"/>
      <c r="F3" s="206"/>
      <c r="G3" s="206"/>
      <c r="H3" s="206"/>
      <c r="I3" s="206"/>
      <c r="J3" s="206"/>
      <c r="K3" s="206"/>
      <c r="L3" s="206"/>
      <c r="M3" s="206"/>
      <c r="N3" s="206"/>
      <c r="O3" s="206"/>
      <c r="P3" s="207"/>
    </row>
    <row r="4" spans="1:16" s="24" customFormat="1" ht="25.15" thickBot="1">
      <c r="A4" s="205"/>
      <c r="B4" s="11" t="s">
        <v>450</v>
      </c>
      <c r="C4" s="272"/>
      <c r="D4" s="273"/>
      <c r="E4" s="273"/>
      <c r="F4" s="273"/>
      <c r="G4" s="273"/>
      <c r="H4" s="273"/>
      <c r="I4" s="273"/>
      <c r="J4" s="273"/>
      <c r="K4" s="273"/>
      <c r="L4" s="273"/>
      <c r="M4" s="273"/>
      <c r="N4" s="273"/>
      <c r="O4" s="273"/>
      <c r="P4" s="274"/>
    </row>
    <row r="5" spans="1:16" ht="24.75">
      <c r="A5" s="205"/>
      <c r="B5" s="15" t="s">
        <v>461</v>
      </c>
      <c r="C5" s="212"/>
      <c r="D5" s="213"/>
      <c r="E5" s="213"/>
      <c r="F5" s="213"/>
      <c r="G5" s="213"/>
      <c r="H5" s="213"/>
      <c r="I5" s="213"/>
      <c r="J5" s="213"/>
      <c r="K5" s="213"/>
      <c r="L5" s="213"/>
      <c r="M5" s="213"/>
      <c r="N5" s="213"/>
      <c r="O5" s="213"/>
      <c r="P5" s="214"/>
    </row>
    <row r="6" spans="1:16" s="24" customFormat="1" ht="25.15" thickBot="1">
      <c r="A6" s="205"/>
      <c r="B6" s="34" t="s">
        <v>451</v>
      </c>
      <c r="C6" s="215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  <c r="O6" s="216"/>
      <c r="P6" s="217"/>
    </row>
    <row r="7" spans="1:16" ht="17.25">
      <c r="A7" s="205"/>
      <c r="B7" s="10" t="s">
        <v>462</v>
      </c>
      <c r="C7" s="230"/>
      <c r="D7" s="231"/>
      <c r="E7" s="231"/>
      <c r="F7" s="231"/>
      <c r="G7" s="231"/>
      <c r="H7" s="232"/>
      <c r="I7" s="231"/>
      <c r="J7" s="231"/>
      <c r="K7" s="231"/>
      <c r="L7" s="232"/>
      <c r="M7" s="231"/>
      <c r="N7" s="231"/>
      <c r="O7" s="232"/>
      <c r="P7" s="96"/>
    </row>
    <row r="8" spans="1:16" s="24" customFormat="1" ht="17.649999999999999" thickBot="1">
      <c r="A8" s="205"/>
      <c r="B8" s="11" t="s">
        <v>452</v>
      </c>
      <c r="C8" s="218"/>
      <c r="D8" s="219"/>
      <c r="E8" s="219"/>
      <c r="F8" s="219"/>
      <c r="G8" s="219"/>
      <c r="H8" s="220"/>
      <c r="I8" s="218"/>
      <c r="J8" s="219"/>
      <c r="K8" s="219"/>
      <c r="L8" s="220"/>
      <c r="M8" s="218"/>
      <c r="N8" s="219"/>
      <c r="O8" s="220"/>
      <c r="P8" s="97"/>
    </row>
    <row r="9" spans="1:16" ht="17.25">
      <c r="A9" s="205"/>
      <c r="B9" s="10" t="s">
        <v>2</v>
      </c>
      <c r="C9" s="208"/>
      <c r="D9" s="206"/>
      <c r="E9" s="206"/>
      <c r="F9" s="206"/>
      <c r="G9" s="206"/>
      <c r="H9" s="207"/>
      <c r="I9" s="206"/>
      <c r="J9" s="206"/>
      <c r="K9" s="206"/>
      <c r="L9" s="207"/>
      <c r="M9" s="206"/>
      <c r="N9" s="206"/>
      <c r="O9" s="207"/>
      <c r="P9" s="96"/>
    </row>
    <row r="10" spans="1:16" s="24" customFormat="1" ht="17.649999999999999" thickBot="1">
      <c r="A10" s="205"/>
      <c r="B10" s="12" t="s">
        <v>3</v>
      </c>
      <c r="C10" s="218"/>
      <c r="D10" s="219"/>
      <c r="E10" s="219"/>
      <c r="F10" s="219"/>
      <c r="G10" s="219"/>
      <c r="H10" s="220"/>
      <c r="I10" s="218"/>
      <c r="J10" s="219"/>
      <c r="K10" s="219"/>
      <c r="L10" s="220"/>
      <c r="M10" s="218"/>
      <c r="N10" s="219"/>
      <c r="O10" s="220"/>
      <c r="P10" s="97"/>
    </row>
    <row r="11" spans="1:16" ht="17.25">
      <c r="A11" s="205"/>
      <c r="B11" s="10" t="s">
        <v>470</v>
      </c>
      <c r="C11" s="208"/>
      <c r="D11" s="206"/>
      <c r="E11" s="206"/>
      <c r="F11" s="206"/>
      <c r="G11" s="206"/>
      <c r="H11" s="207"/>
      <c r="I11" s="206"/>
      <c r="J11" s="206"/>
      <c r="K11" s="206"/>
      <c r="L11" s="207"/>
      <c r="M11" s="206"/>
      <c r="N11" s="206"/>
      <c r="O11" s="207"/>
      <c r="P11" s="96"/>
    </row>
    <row r="12" spans="1:16" s="24" customFormat="1" ht="17.649999999999999" thickBot="1">
      <c r="A12" s="205"/>
      <c r="B12" s="12" t="s">
        <v>471</v>
      </c>
      <c r="C12" s="250"/>
      <c r="D12" s="251"/>
      <c r="E12" s="251"/>
      <c r="F12" s="251"/>
      <c r="G12" s="251"/>
      <c r="H12" s="252"/>
      <c r="I12" s="250"/>
      <c r="J12" s="251"/>
      <c r="K12" s="251"/>
      <c r="L12" s="252"/>
      <c r="M12" s="250"/>
      <c r="N12" s="251"/>
      <c r="O12" s="252"/>
      <c r="P12" s="97"/>
    </row>
    <row r="13" spans="1:16" ht="17.25">
      <c r="A13" s="205"/>
      <c r="B13" s="10" t="s">
        <v>4</v>
      </c>
      <c r="C13" s="208"/>
      <c r="D13" s="206"/>
      <c r="E13" s="206"/>
      <c r="F13" s="206"/>
      <c r="G13" s="206"/>
      <c r="H13" s="207"/>
      <c r="I13" s="206"/>
      <c r="J13" s="206"/>
      <c r="K13" s="206"/>
      <c r="L13" s="207"/>
      <c r="M13" s="206"/>
      <c r="N13" s="206"/>
      <c r="O13" s="207"/>
      <c r="P13" s="96"/>
    </row>
    <row r="14" spans="1:16" s="24" customFormat="1" ht="17.649999999999999" thickBot="1">
      <c r="A14" s="205"/>
      <c r="B14" s="12" t="s">
        <v>453</v>
      </c>
      <c r="C14" s="247"/>
      <c r="D14" s="248"/>
      <c r="E14" s="248"/>
      <c r="F14" s="248"/>
      <c r="G14" s="248"/>
      <c r="H14" s="249"/>
      <c r="I14" s="247"/>
      <c r="J14" s="248"/>
      <c r="K14" s="248"/>
      <c r="L14" s="249"/>
      <c r="M14" s="247"/>
      <c r="N14" s="248"/>
      <c r="O14" s="249"/>
      <c r="P14" s="98"/>
    </row>
    <row r="15" spans="1:16" ht="17.25">
      <c r="A15" s="205"/>
      <c r="B15" s="10" t="s">
        <v>463</v>
      </c>
      <c r="C15" s="208"/>
      <c r="D15" s="206"/>
      <c r="E15" s="206"/>
      <c r="F15" s="206"/>
      <c r="G15" s="206"/>
      <c r="H15" s="207"/>
      <c r="I15" s="206"/>
      <c r="J15" s="206"/>
      <c r="K15" s="206"/>
      <c r="L15" s="207"/>
      <c r="M15" s="206"/>
      <c r="N15" s="206"/>
      <c r="O15" s="207"/>
      <c r="P15" s="99"/>
    </row>
    <row r="16" spans="1:16" s="24" customFormat="1" ht="17.25">
      <c r="A16" s="205"/>
      <c r="B16" s="70" t="s">
        <v>454</v>
      </c>
      <c r="C16" s="238"/>
      <c r="D16" s="275"/>
      <c r="E16" s="275"/>
      <c r="F16" s="275"/>
      <c r="G16" s="275"/>
      <c r="H16" s="276"/>
      <c r="I16" s="244"/>
      <c r="J16" s="245"/>
      <c r="K16" s="245"/>
      <c r="L16" s="246"/>
      <c r="M16" s="244"/>
      <c r="N16" s="245"/>
      <c r="O16" s="246"/>
      <c r="P16" s="100"/>
    </row>
    <row r="17" spans="1:18" ht="17.25">
      <c r="A17" s="259"/>
      <c r="B17" s="72" t="s">
        <v>5</v>
      </c>
      <c r="C17" s="65" t="s">
        <v>6</v>
      </c>
      <c r="D17" s="66" t="s">
        <v>7</v>
      </c>
      <c r="E17" s="66" t="s">
        <v>8</v>
      </c>
      <c r="F17" s="66" t="s">
        <v>9</v>
      </c>
      <c r="G17" s="66" t="s">
        <v>10</v>
      </c>
      <c r="H17" s="67" t="s">
        <v>278</v>
      </c>
      <c r="I17" s="65" t="s">
        <v>6</v>
      </c>
      <c r="J17" s="66" t="s">
        <v>7</v>
      </c>
      <c r="K17" s="66" t="s">
        <v>8</v>
      </c>
      <c r="L17" s="67" t="s">
        <v>9</v>
      </c>
      <c r="M17" s="65" t="s">
        <v>6</v>
      </c>
      <c r="N17" s="66" t="s">
        <v>7</v>
      </c>
      <c r="O17" s="67" t="s">
        <v>8</v>
      </c>
      <c r="P17" s="78" t="s">
        <v>6</v>
      </c>
    </row>
    <row r="18" spans="1:18" ht="17.25">
      <c r="A18" s="259"/>
      <c r="B18" s="72" t="s">
        <v>410</v>
      </c>
      <c r="C18" s="65"/>
      <c r="D18" s="66"/>
      <c r="E18" s="66"/>
      <c r="F18" s="66"/>
      <c r="G18" s="66"/>
      <c r="H18" s="67"/>
      <c r="I18" s="65"/>
      <c r="J18" s="66"/>
      <c r="K18" s="66"/>
      <c r="L18" s="67"/>
      <c r="M18" s="65"/>
      <c r="N18" s="66"/>
      <c r="O18" s="67"/>
      <c r="P18" s="79"/>
    </row>
    <row r="19" spans="1:18" ht="17.25">
      <c r="A19" s="259"/>
      <c r="B19" s="73" t="s">
        <v>411</v>
      </c>
      <c r="C19" s="107"/>
      <c r="D19" s="107"/>
      <c r="E19" s="107"/>
      <c r="F19" s="107"/>
      <c r="G19" s="107"/>
      <c r="H19" s="107"/>
      <c r="I19" s="107"/>
      <c r="J19" s="107"/>
      <c r="K19" s="107"/>
      <c r="L19" s="107"/>
      <c r="M19" s="107"/>
      <c r="N19" s="107"/>
      <c r="O19" s="107"/>
      <c r="P19" s="107"/>
      <c r="Q19" s="108"/>
    </row>
    <row r="20" spans="1:18" ht="17.25">
      <c r="A20" s="205"/>
      <c r="B20" s="71" t="s">
        <v>58</v>
      </c>
      <c r="C20" s="63"/>
      <c r="D20" s="64"/>
      <c r="E20" s="64"/>
      <c r="F20" s="64"/>
      <c r="G20" s="64"/>
      <c r="H20" s="64"/>
      <c r="I20" s="63"/>
      <c r="J20" s="64"/>
      <c r="K20" s="64"/>
      <c r="L20" s="68"/>
      <c r="M20" s="69"/>
      <c r="N20" s="64"/>
      <c r="O20" s="68"/>
      <c r="P20" s="68"/>
    </row>
    <row r="21" spans="1:18" ht="17.649999999999999" thickBot="1">
      <c r="A21" s="205"/>
      <c r="B21" s="20" t="s">
        <v>59</v>
      </c>
      <c r="C21" s="44"/>
      <c r="D21" s="45"/>
      <c r="E21" s="45"/>
      <c r="F21" s="45"/>
      <c r="G21" s="45"/>
      <c r="H21" s="45"/>
      <c r="I21" s="45"/>
      <c r="J21" s="45"/>
      <c r="K21" s="45"/>
      <c r="L21" s="46"/>
      <c r="M21" s="47"/>
      <c r="N21" s="45"/>
      <c r="O21" s="44"/>
      <c r="P21" s="44"/>
      <c r="R21" s="19"/>
    </row>
    <row r="22" spans="1:18" s="24" customFormat="1" ht="17.649999999999999" thickBot="1">
      <c r="A22" s="205"/>
      <c r="B22" s="30" t="s">
        <v>469</v>
      </c>
      <c r="C22" s="48"/>
      <c r="D22" s="49"/>
      <c r="E22" s="49"/>
      <c r="F22" s="49"/>
      <c r="G22" s="49"/>
      <c r="H22" s="49"/>
      <c r="I22" s="49"/>
      <c r="J22" s="49"/>
      <c r="K22" s="49"/>
      <c r="L22" s="50"/>
      <c r="M22" s="51"/>
      <c r="N22" s="49"/>
      <c r="O22" s="52"/>
      <c r="P22" s="52"/>
    </row>
    <row r="23" spans="1:18" s="24" customFormat="1" ht="17.649999999999999" thickBot="1">
      <c r="A23" s="205"/>
      <c r="B23" s="30" t="s">
        <v>270</v>
      </c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</row>
    <row r="24" spans="1:18" ht="17.25">
      <c r="A24" s="205"/>
      <c r="B24" s="13" t="s">
        <v>11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</row>
    <row r="25" spans="1:18" s="24" customFormat="1" ht="17.649999999999999" thickBot="1">
      <c r="A25" s="205"/>
      <c r="B25" s="31" t="s">
        <v>12</v>
      </c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80"/>
    </row>
    <row r="26" spans="1:18" ht="17.25">
      <c r="A26" s="205"/>
      <c r="B26" s="29" t="s">
        <v>13</v>
      </c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</row>
    <row r="27" spans="1:18" s="24" customFormat="1" ht="17.649999999999999" thickBot="1">
      <c r="A27" s="205"/>
      <c r="B27" s="32" t="s">
        <v>14</v>
      </c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</row>
    <row r="28" spans="1:18" ht="17.25">
      <c r="A28" s="205"/>
      <c r="B28" s="13" t="s">
        <v>15</v>
      </c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</row>
    <row r="29" spans="1:18" s="24" customFormat="1" ht="17.649999999999999" thickBot="1">
      <c r="A29" s="205"/>
      <c r="B29" s="33" t="s">
        <v>16</v>
      </c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80"/>
    </row>
    <row r="30" spans="1:18" ht="17.25">
      <c r="A30" s="205"/>
      <c r="B30" s="29" t="s">
        <v>464</v>
      </c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</row>
    <row r="31" spans="1:18" s="24" customFormat="1" ht="17.649999999999999" thickBot="1">
      <c r="A31" s="205"/>
      <c r="B31" s="32" t="s">
        <v>455</v>
      </c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81"/>
    </row>
    <row r="32" spans="1:18" ht="17.25">
      <c r="A32" s="205"/>
      <c r="B32" s="13" t="s">
        <v>465</v>
      </c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</row>
    <row r="33" spans="1:21" s="24" customFormat="1" ht="17.649999999999999" thickBot="1">
      <c r="A33" s="205"/>
      <c r="B33" s="32" t="s">
        <v>456</v>
      </c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80"/>
    </row>
    <row r="34" spans="1:21" ht="17.25">
      <c r="A34" s="205"/>
      <c r="B34" s="29" t="s">
        <v>466</v>
      </c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U34" s="24"/>
    </row>
    <row r="35" spans="1:21" s="24" customFormat="1" ht="17.649999999999999" thickBot="1">
      <c r="A35" s="205"/>
      <c r="B35" s="30" t="s">
        <v>457</v>
      </c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80"/>
      <c r="U35" s="23"/>
    </row>
    <row r="36" spans="1:21" ht="17.25">
      <c r="A36" s="205"/>
      <c r="B36" s="13" t="s">
        <v>17</v>
      </c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</row>
    <row r="37" spans="1:21" s="24" customFormat="1" ht="17.649999999999999" thickBot="1">
      <c r="A37" s="205"/>
      <c r="B37" s="30" t="s">
        <v>18</v>
      </c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80"/>
    </row>
    <row r="38" spans="1:21" ht="17.25">
      <c r="A38" s="205"/>
      <c r="B38" s="13" t="s">
        <v>467</v>
      </c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</row>
    <row r="39" spans="1:21" s="24" customFormat="1" ht="17.649999999999999" thickBot="1">
      <c r="A39" s="205"/>
      <c r="B39" s="30" t="s">
        <v>458</v>
      </c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80"/>
    </row>
    <row r="40" spans="1:21" ht="17.25">
      <c r="A40" s="205"/>
      <c r="B40" s="13" t="s">
        <v>468</v>
      </c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</row>
    <row r="41" spans="1:21" s="24" customFormat="1" ht="17.649999999999999" thickBot="1">
      <c r="A41" s="205"/>
      <c r="B41" s="31" t="s">
        <v>459</v>
      </c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80"/>
    </row>
    <row r="42" spans="1:21" ht="12.75" customHeight="1">
      <c r="A42" s="227" t="s">
        <v>63</v>
      </c>
      <c r="B42" s="196"/>
      <c r="C42" s="197"/>
      <c r="D42" s="197"/>
      <c r="E42" s="197"/>
      <c r="F42" s="197"/>
      <c r="G42" s="197"/>
      <c r="H42" s="197"/>
      <c r="I42" s="197"/>
      <c r="J42" s="197"/>
      <c r="K42" s="197"/>
      <c r="L42" s="197"/>
      <c r="M42" s="197"/>
      <c r="N42" s="197"/>
      <c r="O42" s="197"/>
      <c r="P42" s="198"/>
      <c r="Q42" s="24"/>
      <c r="R42" s="24"/>
      <c r="S42" s="24"/>
    </row>
    <row r="43" spans="1:21" ht="13.15" customHeight="1">
      <c r="A43" s="228"/>
      <c r="B43" s="199"/>
      <c r="C43" s="200"/>
      <c r="D43" s="200"/>
      <c r="E43" s="200"/>
      <c r="F43" s="200"/>
      <c r="G43" s="200"/>
      <c r="H43" s="200"/>
      <c r="I43" s="200"/>
      <c r="J43" s="200"/>
      <c r="K43" s="200"/>
      <c r="L43" s="200"/>
      <c r="M43" s="200"/>
      <c r="N43" s="200"/>
      <c r="O43" s="200"/>
      <c r="P43" s="201"/>
      <c r="Q43" s="24"/>
      <c r="R43" s="24"/>
      <c r="S43" s="24"/>
    </row>
    <row r="44" spans="1:21" ht="13.15" customHeight="1">
      <c r="A44" s="228"/>
      <c r="B44" s="199"/>
      <c r="C44" s="200"/>
      <c r="D44" s="200"/>
      <c r="E44" s="200"/>
      <c r="F44" s="200"/>
      <c r="G44" s="200"/>
      <c r="H44" s="200"/>
      <c r="I44" s="200"/>
      <c r="J44" s="200"/>
      <c r="K44" s="200"/>
      <c r="L44" s="200"/>
      <c r="M44" s="200"/>
      <c r="N44" s="200"/>
      <c r="O44" s="200"/>
      <c r="P44" s="201"/>
      <c r="Q44" s="24"/>
      <c r="R44" s="24"/>
      <c r="S44" s="24"/>
    </row>
    <row r="45" spans="1:21" ht="13.9" customHeight="1" thickBot="1">
      <c r="A45" s="229"/>
      <c r="B45" s="202"/>
      <c r="C45" s="203"/>
      <c r="D45" s="203"/>
      <c r="E45" s="203"/>
      <c r="F45" s="203"/>
      <c r="G45" s="203"/>
      <c r="H45" s="203"/>
      <c r="I45" s="203"/>
      <c r="J45" s="203"/>
      <c r="K45" s="203"/>
      <c r="L45" s="203"/>
      <c r="M45" s="203"/>
      <c r="N45" s="203"/>
      <c r="O45" s="203"/>
      <c r="P45" s="204"/>
      <c r="Q45" s="24"/>
      <c r="R45" s="24"/>
      <c r="S45" s="24"/>
    </row>
  </sheetData>
  <mergeCells count="44">
    <mergeCell ref="A1:B1"/>
    <mergeCell ref="C2:H2"/>
    <mergeCell ref="I2:L2"/>
    <mergeCell ref="M2:O2"/>
    <mergeCell ref="C1:P1"/>
    <mergeCell ref="M10:O10"/>
    <mergeCell ref="C7:H7"/>
    <mergeCell ref="I7:L7"/>
    <mergeCell ref="M7:O7"/>
    <mergeCell ref="C8:H8"/>
    <mergeCell ref="I8:L8"/>
    <mergeCell ref="M8:O8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</mergeCells>
  <conditionalFormatting sqref="C22:E22 C4 H22:O22">
    <cfRule type="cellIs" dxfId="60" priority="49" operator="greaterThan">
      <formula>0</formula>
    </cfRule>
  </conditionalFormatting>
  <conditionalFormatting sqref="C21:E21 H21:O21">
    <cfRule type="expression" dxfId="59" priority="48">
      <formula>ISERROR(C21)</formula>
    </cfRule>
  </conditionalFormatting>
  <conditionalFormatting sqref="C21:E21 H21:O21">
    <cfRule type="cellIs" dxfId="58" priority="47" operator="equal">
      <formula>0</formula>
    </cfRule>
  </conditionalFormatting>
  <conditionalFormatting sqref="C21:E21 H21:O21">
    <cfRule type="cellIs" dxfId="57" priority="46" operator="greaterThan">
      <formula>0</formula>
    </cfRule>
  </conditionalFormatting>
  <conditionalFormatting sqref="C27:O27 D29:O29 D33:O33">
    <cfRule type="cellIs" dxfId="56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55" priority="41">
      <formula>ISBLANK(C8)</formula>
    </cfRule>
  </conditionalFormatting>
  <conditionalFormatting sqref="C29">
    <cfRule type="cellIs" dxfId="54" priority="43" operator="notEqual">
      <formula>VALUE(C28)</formula>
    </cfRule>
  </conditionalFormatting>
  <conditionalFormatting sqref="C29">
    <cfRule type="expression" dxfId="53" priority="42">
      <formula>ISBLANK(C29)</formula>
    </cfRule>
  </conditionalFormatting>
  <conditionalFormatting sqref="C8:O8 C10:O10 C12:O12 C14:O14 C16:O16 C31:O31 D35:O35 D37:O37 D25:O25 D39:O39 D41:O41">
    <cfRule type="cellIs" dxfId="52" priority="44" operator="notEqual">
      <formula>C7</formula>
    </cfRule>
  </conditionalFormatting>
  <conditionalFormatting sqref="C31">
    <cfRule type="expression" dxfId="51" priority="40">
      <formula>ISBLANK(C31)</formula>
    </cfRule>
  </conditionalFormatting>
  <conditionalFormatting sqref="C33">
    <cfRule type="cellIs" dxfId="50" priority="39" operator="notEqual">
      <formula>VALUE(C32)</formula>
    </cfRule>
  </conditionalFormatting>
  <conditionalFormatting sqref="C33">
    <cfRule type="expression" dxfId="49" priority="38">
      <formula>ISBLANK(C33)</formula>
    </cfRule>
  </conditionalFormatting>
  <conditionalFormatting sqref="C35">
    <cfRule type="cellIs" dxfId="48" priority="37" operator="notEqual">
      <formula>C34</formula>
    </cfRule>
  </conditionalFormatting>
  <conditionalFormatting sqref="C35">
    <cfRule type="expression" dxfId="47" priority="36">
      <formula>ISBLANK(C35)</formula>
    </cfRule>
  </conditionalFormatting>
  <conditionalFormatting sqref="C37">
    <cfRule type="cellIs" dxfId="46" priority="35" operator="notEqual">
      <formula>C36</formula>
    </cfRule>
  </conditionalFormatting>
  <conditionalFormatting sqref="C37">
    <cfRule type="expression" dxfId="45" priority="34">
      <formula>ISBLANK(C37)</formula>
    </cfRule>
  </conditionalFormatting>
  <conditionalFormatting sqref="C6">
    <cfRule type="expression" dxfId="44" priority="32">
      <formula>ISBLANK(C6)</formula>
    </cfRule>
    <cfRule type="cellIs" dxfId="43" priority="33" operator="notEqual">
      <formula>C5</formula>
    </cfRule>
  </conditionalFormatting>
  <conditionalFormatting sqref="C25">
    <cfRule type="cellIs" dxfId="42" priority="31" operator="notEqual">
      <formula>C24</formula>
    </cfRule>
  </conditionalFormatting>
  <conditionalFormatting sqref="C25">
    <cfRule type="expression" dxfId="41" priority="30">
      <formula>ISBLANK(C25)</formula>
    </cfRule>
  </conditionalFormatting>
  <conditionalFormatting sqref="C39">
    <cfRule type="cellIs" dxfId="40" priority="29" operator="notEqual">
      <formula>C38</formula>
    </cfRule>
  </conditionalFormatting>
  <conditionalFormatting sqref="C39">
    <cfRule type="expression" dxfId="39" priority="28">
      <formula>ISBLANK(C39)</formula>
    </cfRule>
  </conditionalFormatting>
  <conditionalFormatting sqref="C41">
    <cfRule type="cellIs" dxfId="38" priority="27" operator="notEqual">
      <formula>C40</formula>
    </cfRule>
  </conditionalFormatting>
  <conditionalFormatting sqref="C41">
    <cfRule type="expression" dxfId="37" priority="26">
      <formula>ISBLANK(C41)</formula>
    </cfRule>
  </conditionalFormatting>
  <conditionalFormatting sqref="C24:O41">
    <cfRule type="expression" dxfId="36" priority="25" stopIfTrue="1">
      <formula>OR(C$22="Free",C$22="Telenor",C$22="Mtel",C$22="Telenor&amp;Mtel")</formula>
    </cfRule>
  </conditionalFormatting>
  <conditionalFormatting sqref="F22:G22">
    <cfRule type="cellIs" dxfId="35" priority="24" operator="greaterThan">
      <formula>0</formula>
    </cfRule>
  </conditionalFormatting>
  <conditionalFormatting sqref="F21:G21">
    <cfRule type="expression" dxfId="34" priority="23">
      <formula>ISERROR(F21)</formula>
    </cfRule>
  </conditionalFormatting>
  <conditionalFormatting sqref="F21:G21">
    <cfRule type="cellIs" dxfId="33" priority="22" operator="equal">
      <formula>0</formula>
    </cfRule>
  </conditionalFormatting>
  <conditionalFormatting sqref="F21:G21">
    <cfRule type="cellIs" dxfId="32" priority="21" operator="greaterThan">
      <formula>0</formula>
    </cfRule>
  </conditionalFormatting>
  <conditionalFormatting sqref="P22">
    <cfRule type="cellIs" dxfId="31" priority="20" operator="greaterThan">
      <formula>0</formula>
    </cfRule>
  </conditionalFormatting>
  <conditionalFormatting sqref="P27 P29 P33">
    <cfRule type="cellIs" dxfId="30" priority="16" operator="notEqual">
      <formula>VALUE(P26)</formula>
    </cfRule>
  </conditionalFormatting>
  <conditionalFormatting sqref="P8 P10 P12 P14 P16 P27 P29 P31 P33 P35 P37 P25 P39 P41">
    <cfRule type="expression" dxfId="29" priority="14">
      <formula>ISBLANK(P8)</formula>
    </cfRule>
  </conditionalFormatting>
  <conditionalFormatting sqref="P8 P10 P12 P14 P16 P31 P35 P37 P25 P39 P41">
    <cfRule type="cellIs" dxfId="28" priority="15" operator="notEqual">
      <formula>P7</formula>
    </cfRule>
  </conditionalFormatting>
  <conditionalFormatting sqref="P24:P41">
    <cfRule type="expression" dxfId="27" priority="13" stopIfTrue="1">
      <formula>OR(P$22="Free",P$22="Telenor",P$22="Mtel",P$22="Telenor&amp;Mtel")</formula>
    </cfRule>
  </conditionalFormatting>
  <conditionalFormatting sqref="C19">
    <cfRule type="expression" dxfId="26" priority="9">
      <formula>ISERROR(C19)</formula>
    </cfRule>
    <cfRule type="cellIs" dxfId="25" priority="10" operator="equal">
      <formula>0</formula>
    </cfRule>
  </conditionalFormatting>
  <conditionalFormatting sqref="P21">
    <cfRule type="expression" dxfId="24" priority="6">
      <formula>ISERROR(P21)</formula>
    </cfRule>
  </conditionalFormatting>
  <conditionalFormatting sqref="P21">
    <cfRule type="cellIs" dxfId="23" priority="5" operator="equal">
      <formula>0</formula>
    </cfRule>
  </conditionalFormatting>
  <conditionalFormatting sqref="P21">
    <cfRule type="cellIs" dxfId="22" priority="4" operator="greaterThan">
      <formula>0</formula>
    </cfRule>
  </conditionalFormatting>
  <conditionalFormatting sqref="D19:P19">
    <cfRule type="expression" dxfId="21" priority="2">
      <formula>ISERROR(D19)</formula>
    </cfRule>
    <cfRule type="cellIs" dxfId="20" priority="3" operator="equal">
      <formula>0</formula>
    </cfRule>
  </conditionalFormatting>
  <conditionalFormatting sqref="C23:P23">
    <cfRule type="cellIs" dxfId="19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240"/>
  <sheetViews>
    <sheetView topLeftCell="A139" workbookViewId="0">
      <selection activeCell="C157" sqref="C157"/>
    </sheetView>
  </sheetViews>
  <sheetFormatPr defaultColWidth="8.86328125" defaultRowHeight="12.75"/>
  <cols>
    <col min="1" max="1" width="44.1328125" style="23" bestFit="1" customWidth="1"/>
    <col min="2" max="2" width="8.19921875" style="23" bestFit="1" customWidth="1"/>
    <col min="3" max="3" width="63.3984375" style="23" bestFit="1" customWidth="1"/>
    <col min="4" max="4" width="8.796875" style="23" bestFit="1" customWidth="1"/>
    <col min="5" max="16384" width="8.86328125" style="23"/>
  </cols>
  <sheetData>
    <row r="1" spans="1:4" ht="14.65" thickBot="1">
      <c r="A1" s="146"/>
      <c r="B1" s="147" t="s">
        <v>65</v>
      </c>
      <c r="C1" s="148" t="s">
        <v>66</v>
      </c>
      <c r="D1" s="149" t="s">
        <v>67</v>
      </c>
    </row>
    <row r="2" spans="1:4" ht="14.25">
      <c r="A2" s="150" t="s">
        <v>68</v>
      </c>
      <c r="B2" s="151">
        <v>10026893</v>
      </c>
      <c r="C2" s="152" t="s">
        <v>69</v>
      </c>
      <c r="D2" s="153"/>
    </row>
    <row r="3" spans="1:4" ht="14.25">
      <c r="A3" s="154" t="s">
        <v>68</v>
      </c>
      <c r="B3" s="155">
        <v>10027419</v>
      </c>
      <c r="C3" s="156" t="s">
        <v>70</v>
      </c>
      <c r="D3" s="157"/>
    </row>
    <row r="4" spans="1:4" ht="14.25">
      <c r="A4" s="154" t="s">
        <v>68</v>
      </c>
      <c r="B4" s="155">
        <v>10026032</v>
      </c>
      <c r="C4" s="156" t="s">
        <v>71</v>
      </c>
      <c r="D4" s="157"/>
    </row>
    <row r="5" spans="1:4" ht="14.25">
      <c r="A5" s="154" t="s">
        <v>68</v>
      </c>
      <c r="B5" s="155">
        <v>10026035</v>
      </c>
      <c r="C5" s="156" t="s">
        <v>72</v>
      </c>
      <c r="D5" s="157"/>
    </row>
    <row r="6" spans="1:4" ht="14.65" thickBot="1">
      <c r="A6" s="158" t="s">
        <v>68</v>
      </c>
      <c r="B6" s="159">
        <v>10027363</v>
      </c>
      <c r="C6" s="160" t="s">
        <v>73</v>
      </c>
      <c r="D6" s="161"/>
    </row>
    <row r="7" spans="1:4" ht="14.25">
      <c r="A7" s="150" t="s">
        <v>74</v>
      </c>
      <c r="B7" s="151">
        <v>10027278</v>
      </c>
      <c r="C7" s="152" t="s">
        <v>75</v>
      </c>
      <c r="D7" s="153"/>
    </row>
    <row r="8" spans="1:4" ht="14.25">
      <c r="A8" s="154" t="s">
        <v>76</v>
      </c>
      <c r="B8" s="155">
        <v>10027361</v>
      </c>
      <c r="C8" s="156" t="s">
        <v>77</v>
      </c>
      <c r="D8" s="157"/>
    </row>
    <row r="9" spans="1:4" ht="14.65" thickBot="1">
      <c r="A9" s="158" t="s">
        <v>78</v>
      </c>
      <c r="B9" s="159">
        <v>10027360</v>
      </c>
      <c r="C9" s="160" t="s">
        <v>79</v>
      </c>
      <c r="D9" s="161"/>
    </row>
    <row r="10" spans="1:4" ht="14.25">
      <c r="A10" s="150" t="s">
        <v>80</v>
      </c>
      <c r="B10" s="151">
        <v>10027352</v>
      </c>
      <c r="C10" s="152" t="s">
        <v>81</v>
      </c>
      <c r="D10" s="153"/>
    </row>
    <row r="11" spans="1:4" ht="14.25">
      <c r="A11" s="154" t="s">
        <v>80</v>
      </c>
      <c r="B11" s="155">
        <v>10027510</v>
      </c>
      <c r="C11" s="156" t="s">
        <v>82</v>
      </c>
      <c r="D11" s="157"/>
    </row>
    <row r="12" spans="1:4" ht="14.25">
      <c r="A12" s="154" t="s">
        <v>80</v>
      </c>
      <c r="B12" s="155">
        <v>10027508</v>
      </c>
      <c r="C12" s="156" t="s">
        <v>83</v>
      </c>
      <c r="D12" s="157"/>
    </row>
    <row r="13" spans="1:4" ht="14.25">
      <c r="A13" s="154" t="s">
        <v>84</v>
      </c>
      <c r="B13" s="155">
        <v>10027269</v>
      </c>
      <c r="C13" s="156" t="s">
        <v>85</v>
      </c>
      <c r="D13" s="157"/>
    </row>
    <row r="14" spans="1:4" ht="14.25">
      <c r="A14" s="154" t="s">
        <v>86</v>
      </c>
      <c r="B14" s="155">
        <v>10029116</v>
      </c>
      <c r="C14" s="156" t="s">
        <v>87</v>
      </c>
      <c r="D14" s="157"/>
    </row>
    <row r="15" spans="1:4" ht="14.25">
      <c r="A15" s="154" t="s">
        <v>399</v>
      </c>
      <c r="B15" s="155">
        <v>10031384</v>
      </c>
      <c r="C15" s="156" t="s">
        <v>399</v>
      </c>
      <c r="D15" s="157"/>
    </row>
    <row r="16" spans="1:4" ht="14.25">
      <c r="A16" s="154" t="s">
        <v>88</v>
      </c>
      <c r="B16" s="155">
        <v>10031147</v>
      </c>
      <c r="C16" s="156" t="s">
        <v>412</v>
      </c>
      <c r="D16" s="157"/>
    </row>
    <row r="17" spans="1:4" ht="14.25">
      <c r="A17" s="154" t="s">
        <v>88</v>
      </c>
      <c r="B17" s="155">
        <v>10031386</v>
      </c>
      <c r="C17" s="156" t="s">
        <v>413</v>
      </c>
      <c r="D17" s="157"/>
    </row>
    <row r="18" spans="1:4" ht="14.25">
      <c r="A18" s="154" t="s">
        <v>88</v>
      </c>
      <c r="B18" s="155">
        <v>10022756</v>
      </c>
      <c r="C18" s="156" t="s">
        <v>89</v>
      </c>
      <c r="D18" s="157"/>
    </row>
    <row r="19" spans="1:4" ht="14.25">
      <c r="A19" s="154" t="s">
        <v>88</v>
      </c>
      <c r="B19" s="155">
        <v>10022753</v>
      </c>
      <c r="C19" s="156" t="s">
        <v>90</v>
      </c>
      <c r="D19" s="157"/>
    </row>
    <row r="20" spans="1:4" ht="14.25">
      <c r="A20" s="154" t="s">
        <v>88</v>
      </c>
      <c r="B20" s="155">
        <v>10022754</v>
      </c>
      <c r="C20" s="156" t="s">
        <v>91</v>
      </c>
      <c r="D20" s="157"/>
    </row>
    <row r="21" spans="1:4" ht="14.25">
      <c r="A21" s="154" t="s">
        <v>88</v>
      </c>
      <c r="B21" s="155">
        <v>10022757</v>
      </c>
      <c r="C21" s="156" t="s">
        <v>92</v>
      </c>
      <c r="D21" s="157"/>
    </row>
    <row r="22" spans="1:4" ht="14.25">
      <c r="A22" s="154" t="s">
        <v>88</v>
      </c>
      <c r="B22" s="155">
        <v>10026413</v>
      </c>
      <c r="C22" s="156" t="s">
        <v>93</v>
      </c>
      <c r="D22" s="157"/>
    </row>
    <row r="23" spans="1:4" ht="14.25">
      <c r="A23" s="154" t="s">
        <v>88</v>
      </c>
      <c r="B23" s="155">
        <v>10027273</v>
      </c>
      <c r="C23" s="156" t="s">
        <v>94</v>
      </c>
      <c r="D23" s="157"/>
    </row>
    <row r="24" spans="1:4" ht="14.25">
      <c r="A24" s="154" t="s">
        <v>95</v>
      </c>
      <c r="B24" s="155">
        <v>10025643</v>
      </c>
      <c r="C24" s="156" t="s">
        <v>96</v>
      </c>
      <c r="D24" s="157"/>
    </row>
    <row r="25" spans="1:4" ht="14.25">
      <c r="A25" s="154" t="s">
        <v>97</v>
      </c>
      <c r="B25" s="155">
        <v>10028663</v>
      </c>
      <c r="C25" s="156" t="s">
        <v>98</v>
      </c>
      <c r="D25" s="157"/>
    </row>
    <row r="26" spans="1:4" ht="14.25">
      <c r="A26" s="154" t="s">
        <v>414</v>
      </c>
      <c r="B26" s="155">
        <v>10031088</v>
      </c>
      <c r="C26" s="156" t="s">
        <v>400</v>
      </c>
      <c r="D26" s="157"/>
    </row>
    <row r="27" spans="1:4" ht="14.25">
      <c r="A27" s="154" t="s">
        <v>414</v>
      </c>
      <c r="B27" s="155">
        <v>10031387</v>
      </c>
      <c r="C27" s="156" t="s">
        <v>415</v>
      </c>
      <c r="D27" s="157"/>
    </row>
    <row r="28" spans="1:4" ht="14.25">
      <c r="A28" s="154" t="s">
        <v>99</v>
      </c>
      <c r="B28" s="155">
        <v>10027270</v>
      </c>
      <c r="C28" s="156" t="s">
        <v>100</v>
      </c>
      <c r="D28" s="157"/>
    </row>
    <row r="29" spans="1:4" ht="14.25">
      <c r="A29" s="154" t="s">
        <v>99</v>
      </c>
      <c r="B29" s="155">
        <v>10022130</v>
      </c>
      <c r="C29" s="156" t="s">
        <v>101</v>
      </c>
      <c r="D29" s="157"/>
    </row>
    <row r="30" spans="1:4" ht="14.25">
      <c r="A30" s="154" t="s">
        <v>99</v>
      </c>
      <c r="B30" s="155">
        <v>10024385</v>
      </c>
      <c r="C30" s="156" t="s">
        <v>102</v>
      </c>
      <c r="D30" s="157"/>
    </row>
    <row r="31" spans="1:4" ht="14.25">
      <c r="A31" s="154" t="s">
        <v>99</v>
      </c>
      <c r="B31" s="155">
        <v>10027340</v>
      </c>
      <c r="C31" s="156" t="s">
        <v>103</v>
      </c>
      <c r="D31" s="157"/>
    </row>
    <row r="32" spans="1:4" ht="14.25">
      <c r="A32" s="154" t="s">
        <v>99</v>
      </c>
      <c r="B32" s="155">
        <v>10027271</v>
      </c>
      <c r="C32" s="156" t="s">
        <v>104</v>
      </c>
      <c r="D32" s="157"/>
    </row>
    <row r="33" spans="1:4" ht="14.25">
      <c r="A33" s="162" t="s">
        <v>99</v>
      </c>
      <c r="B33" s="155">
        <v>10026709</v>
      </c>
      <c r="C33" s="156" t="s">
        <v>105</v>
      </c>
      <c r="D33" s="157"/>
    </row>
    <row r="34" spans="1:4" ht="14.25">
      <c r="A34" s="162" t="s">
        <v>99</v>
      </c>
      <c r="B34" s="155">
        <v>10031393</v>
      </c>
      <c r="C34" s="156" t="s">
        <v>443</v>
      </c>
      <c r="D34" s="157"/>
    </row>
    <row r="35" spans="1:4" ht="14.25">
      <c r="A35" s="162" t="s">
        <v>99</v>
      </c>
      <c r="B35" s="155">
        <v>10031089</v>
      </c>
      <c r="C35" s="156" t="s">
        <v>416</v>
      </c>
      <c r="D35" s="157"/>
    </row>
    <row r="36" spans="1:4" ht="14.65" thickBot="1">
      <c r="A36" s="163" t="s">
        <v>99</v>
      </c>
      <c r="B36" s="164">
        <v>10031385</v>
      </c>
      <c r="C36" s="165" t="s">
        <v>417</v>
      </c>
      <c r="D36" s="166"/>
    </row>
    <row r="37" spans="1:4" ht="14.65" thickBot="1">
      <c r="A37" s="167" t="s">
        <v>106</v>
      </c>
      <c r="B37" s="168">
        <v>10027656</v>
      </c>
      <c r="C37" s="169" t="s">
        <v>107</v>
      </c>
      <c r="D37" s="170"/>
    </row>
    <row r="38" spans="1:4" ht="14.25">
      <c r="A38" s="150" t="s">
        <v>108</v>
      </c>
      <c r="B38" s="151">
        <v>10026879</v>
      </c>
      <c r="C38" s="152" t="s">
        <v>109</v>
      </c>
      <c r="D38" s="153"/>
    </row>
    <row r="39" spans="1:4" ht="14.25">
      <c r="A39" s="171" t="s">
        <v>108</v>
      </c>
      <c r="B39" s="172"/>
      <c r="C39" s="173" t="s">
        <v>401</v>
      </c>
      <c r="D39" s="174"/>
    </row>
    <row r="40" spans="1:4" ht="14.25">
      <c r="A40" s="171" t="s">
        <v>108</v>
      </c>
      <c r="B40" s="172"/>
      <c r="C40" s="173" t="s">
        <v>418</v>
      </c>
      <c r="D40" s="174"/>
    </row>
    <row r="41" spans="1:4" ht="14.25">
      <c r="A41" s="171" t="s">
        <v>108</v>
      </c>
      <c r="B41" s="172"/>
      <c r="C41" s="173" t="s">
        <v>444</v>
      </c>
      <c r="D41" s="174"/>
    </row>
    <row r="42" spans="1:4" ht="14.25">
      <c r="A42" s="154" t="s">
        <v>108</v>
      </c>
      <c r="B42" s="155">
        <v>10026880</v>
      </c>
      <c r="C42" s="156" t="s">
        <v>110</v>
      </c>
      <c r="D42" s="157"/>
    </row>
    <row r="43" spans="1:4" ht="14.25">
      <c r="A43" s="154" t="s">
        <v>108</v>
      </c>
      <c r="B43" s="155">
        <v>10026881</v>
      </c>
      <c r="C43" s="156" t="s">
        <v>111</v>
      </c>
      <c r="D43" s="157"/>
    </row>
    <row r="44" spans="1:4" ht="14.25">
      <c r="A44" s="154" t="s">
        <v>108</v>
      </c>
      <c r="B44" s="155">
        <v>10026882</v>
      </c>
      <c r="C44" s="156" t="s">
        <v>112</v>
      </c>
      <c r="D44" s="157"/>
    </row>
    <row r="45" spans="1:4" ht="14.25">
      <c r="A45" s="154" t="s">
        <v>108</v>
      </c>
      <c r="B45" s="155">
        <v>10026883</v>
      </c>
      <c r="C45" s="156" t="s">
        <v>113</v>
      </c>
      <c r="D45" s="157"/>
    </row>
    <row r="46" spans="1:4" ht="14.65" thickBot="1">
      <c r="A46" s="158" t="s">
        <v>108</v>
      </c>
      <c r="B46" s="159">
        <v>10026884</v>
      </c>
      <c r="C46" s="160" t="s">
        <v>114</v>
      </c>
      <c r="D46" s="161"/>
    </row>
    <row r="47" spans="1:4" ht="14.25">
      <c r="A47" s="154" t="s">
        <v>43</v>
      </c>
      <c r="B47" s="155">
        <v>10031395</v>
      </c>
      <c r="C47" s="156" t="s">
        <v>419</v>
      </c>
      <c r="D47" s="157"/>
    </row>
    <row r="48" spans="1:4" ht="14.25">
      <c r="A48" s="154" t="s">
        <v>43</v>
      </c>
      <c r="B48" s="155">
        <v>10031394</v>
      </c>
      <c r="C48" s="156" t="s">
        <v>420</v>
      </c>
      <c r="D48" s="157"/>
    </row>
    <row r="49" spans="1:4" ht="14.25">
      <c r="A49" s="154" t="s">
        <v>43</v>
      </c>
      <c r="B49" s="155">
        <v>10023733</v>
      </c>
      <c r="C49" s="156" t="s">
        <v>115</v>
      </c>
      <c r="D49" s="157"/>
    </row>
    <row r="50" spans="1:4" ht="14.25">
      <c r="A50" s="154" t="s">
        <v>43</v>
      </c>
      <c r="B50" s="155">
        <v>10024251</v>
      </c>
      <c r="C50" s="156" t="s">
        <v>116</v>
      </c>
      <c r="D50" s="157"/>
    </row>
    <row r="51" spans="1:4" ht="14.25">
      <c r="A51" s="154" t="s">
        <v>43</v>
      </c>
      <c r="B51" s="155">
        <v>10027275</v>
      </c>
      <c r="C51" s="156" t="s">
        <v>117</v>
      </c>
      <c r="D51" s="157"/>
    </row>
    <row r="52" spans="1:4" ht="14.25">
      <c r="A52" s="154" t="s">
        <v>43</v>
      </c>
      <c r="B52" s="155">
        <v>10030661</v>
      </c>
      <c r="C52" s="156" t="s">
        <v>421</v>
      </c>
      <c r="D52" s="157"/>
    </row>
    <row r="53" spans="1:4" ht="14.25">
      <c r="A53" s="154" t="s">
        <v>43</v>
      </c>
      <c r="B53" s="155">
        <v>10027274</v>
      </c>
      <c r="C53" s="156" t="s">
        <v>118</v>
      </c>
      <c r="D53" s="157"/>
    </row>
    <row r="54" spans="1:4" ht="14.25">
      <c r="A54" s="154" t="s">
        <v>43</v>
      </c>
      <c r="B54" s="155">
        <v>10027276</v>
      </c>
      <c r="C54" s="156" t="s">
        <v>119</v>
      </c>
      <c r="D54" s="157"/>
    </row>
    <row r="55" spans="1:4" ht="14.25">
      <c r="A55" s="154" t="s">
        <v>43</v>
      </c>
      <c r="B55" s="155">
        <v>10030662</v>
      </c>
      <c r="C55" s="156" t="s">
        <v>422</v>
      </c>
      <c r="D55" s="157"/>
    </row>
    <row r="56" spans="1:4" ht="14.25">
      <c r="A56" s="154" t="s">
        <v>43</v>
      </c>
      <c r="B56" s="155">
        <v>10031146</v>
      </c>
      <c r="C56" s="156" t="s">
        <v>423</v>
      </c>
      <c r="D56" s="157"/>
    </row>
    <row r="57" spans="1:4" ht="14.25">
      <c r="A57" s="154" t="s">
        <v>43</v>
      </c>
      <c r="B57" s="155">
        <v>10031396</v>
      </c>
      <c r="C57" s="156" t="s">
        <v>424</v>
      </c>
      <c r="D57" s="157"/>
    </row>
    <row r="58" spans="1:4" ht="14.25">
      <c r="A58" s="154" t="s">
        <v>43</v>
      </c>
      <c r="B58" s="155">
        <v>10023703</v>
      </c>
      <c r="C58" s="156" t="s">
        <v>120</v>
      </c>
      <c r="D58" s="157"/>
    </row>
    <row r="59" spans="1:4" ht="14.25">
      <c r="A59" s="154" t="s">
        <v>383</v>
      </c>
      <c r="B59" s="155">
        <v>10027420</v>
      </c>
      <c r="C59" s="156" t="s">
        <v>121</v>
      </c>
      <c r="D59" s="157"/>
    </row>
    <row r="60" spans="1:4" ht="14.25">
      <c r="A60" s="154" t="s">
        <v>396</v>
      </c>
      <c r="B60" s="155">
        <v>10023494</v>
      </c>
      <c r="C60" s="156" t="s">
        <v>384</v>
      </c>
      <c r="D60" s="157"/>
    </row>
    <row r="61" spans="1:4" ht="14.25">
      <c r="A61" s="154" t="s">
        <v>43</v>
      </c>
      <c r="B61" s="155">
        <v>10029705</v>
      </c>
      <c r="C61" s="156" t="s">
        <v>122</v>
      </c>
      <c r="D61" s="157"/>
    </row>
    <row r="62" spans="1:4" ht="14.25">
      <c r="A62" s="154" t="s">
        <v>43</v>
      </c>
      <c r="B62" s="155">
        <v>10030914</v>
      </c>
      <c r="C62" s="156" t="s">
        <v>425</v>
      </c>
      <c r="D62" s="157"/>
    </row>
    <row r="63" spans="1:4" ht="14.25">
      <c r="A63" s="154" t="s">
        <v>43</v>
      </c>
      <c r="B63" s="155"/>
      <c r="C63" s="156" t="s">
        <v>426</v>
      </c>
      <c r="D63" s="157"/>
    </row>
    <row r="64" spans="1:4" ht="14.25">
      <c r="A64" s="154" t="s">
        <v>43</v>
      </c>
      <c r="B64" s="155">
        <v>10030566</v>
      </c>
      <c r="C64" s="156" t="s">
        <v>325</v>
      </c>
      <c r="D64" s="157"/>
    </row>
    <row r="65" spans="1:8" ht="14.25">
      <c r="A65" s="154" t="s">
        <v>43</v>
      </c>
      <c r="B65" s="190">
        <v>10032823</v>
      </c>
      <c r="C65" s="156" t="s">
        <v>448</v>
      </c>
      <c r="D65" s="157"/>
      <c r="E65" s="145"/>
      <c r="F65" s="145"/>
      <c r="G65" s="145"/>
      <c r="H65" s="145"/>
    </row>
    <row r="66" spans="1:8" ht="14.25">
      <c r="A66" s="154" t="s">
        <v>123</v>
      </c>
      <c r="B66" s="155">
        <v>10023684</v>
      </c>
      <c r="C66" s="156" t="s">
        <v>124</v>
      </c>
      <c r="D66" s="157"/>
      <c r="E66" s="145"/>
      <c r="F66" s="145"/>
      <c r="G66" s="145"/>
      <c r="H66" s="145"/>
    </row>
    <row r="67" spans="1:8" ht="14.25">
      <c r="A67" s="154" t="s">
        <v>125</v>
      </c>
      <c r="B67" s="155">
        <v>10027546</v>
      </c>
      <c r="C67" s="156" t="s">
        <v>126</v>
      </c>
      <c r="D67" s="157"/>
      <c r="E67" s="145"/>
      <c r="F67" s="175"/>
      <c r="G67" s="145"/>
      <c r="H67" s="175"/>
    </row>
    <row r="68" spans="1:8" ht="14.25">
      <c r="A68" s="154" t="s">
        <v>127</v>
      </c>
      <c r="B68" s="155">
        <v>10028353</v>
      </c>
      <c r="C68" s="156" t="s">
        <v>128</v>
      </c>
      <c r="D68" s="157"/>
      <c r="E68" s="145"/>
      <c r="F68" s="175"/>
      <c r="G68" s="145"/>
      <c r="H68" s="175"/>
    </row>
    <row r="69" spans="1:8" ht="14.25">
      <c r="A69" s="154" t="s">
        <v>127</v>
      </c>
      <c r="B69" s="155">
        <v>10026455</v>
      </c>
      <c r="C69" s="156" t="s">
        <v>385</v>
      </c>
      <c r="D69" s="157"/>
      <c r="E69" s="145"/>
      <c r="F69" s="175"/>
      <c r="G69" s="145"/>
      <c r="H69" s="175"/>
    </row>
    <row r="70" spans="1:8" ht="14.25">
      <c r="A70" s="154" t="s">
        <v>129</v>
      </c>
      <c r="B70" s="155">
        <v>10026454</v>
      </c>
      <c r="C70" s="156" t="s">
        <v>130</v>
      </c>
      <c r="D70" s="157"/>
      <c r="E70" s="145"/>
      <c r="F70" s="175"/>
      <c r="G70" s="145"/>
      <c r="H70" s="175"/>
    </row>
    <row r="71" spans="1:8" ht="14.25">
      <c r="A71" s="154" t="s">
        <v>43</v>
      </c>
      <c r="B71" s="155"/>
      <c r="C71" s="156" t="s">
        <v>132</v>
      </c>
      <c r="D71" s="157"/>
      <c r="E71" s="145"/>
      <c r="F71" s="175"/>
      <c r="G71" s="145"/>
      <c r="H71" s="175"/>
    </row>
    <row r="72" spans="1:8" ht="14.25">
      <c r="A72" s="154" t="s">
        <v>43</v>
      </c>
      <c r="B72" s="155"/>
      <c r="C72" s="156" t="s">
        <v>133</v>
      </c>
      <c r="D72" s="157"/>
      <c r="E72" s="145"/>
      <c r="F72" s="175"/>
      <c r="G72" s="145"/>
      <c r="H72" s="175"/>
    </row>
    <row r="73" spans="1:8" ht="14.25">
      <c r="A73" s="154" t="s">
        <v>43</v>
      </c>
      <c r="B73" s="155">
        <v>10027511</v>
      </c>
      <c r="C73" s="156" t="s">
        <v>134</v>
      </c>
      <c r="D73" s="157"/>
      <c r="E73" s="145"/>
      <c r="F73" s="175"/>
      <c r="G73" s="145"/>
      <c r="H73" s="175"/>
    </row>
    <row r="74" spans="1:8" ht="14.25">
      <c r="A74" s="154" t="s">
        <v>43</v>
      </c>
      <c r="B74" s="155"/>
      <c r="C74" s="156" t="s">
        <v>135</v>
      </c>
      <c r="D74" s="157"/>
      <c r="E74" s="145"/>
      <c r="F74" s="175"/>
      <c r="G74" s="145"/>
      <c r="H74" s="175"/>
    </row>
    <row r="75" spans="1:8" ht="14.25">
      <c r="A75" s="154" t="s">
        <v>43</v>
      </c>
      <c r="B75" s="155"/>
      <c r="C75" s="156" t="s">
        <v>326</v>
      </c>
      <c r="D75" s="157"/>
      <c r="E75" s="145"/>
      <c r="F75" s="175"/>
      <c r="G75" s="145"/>
      <c r="H75" s="175"/>
    </row>
    <row r="76" spans="1:8" ht="14.25">
      <c r="A76" s="154" t="s">
        <v>43</v>
      </c>
      <c r="B76" s="155"/>
      <c r="C76" s="156" t="s">
        <v>449</v>
      </c>
      <c r="D76" s="157"/>
      <c r="E76" s="145"/>
      <c r="F76" s="175"/>
      <c r="G76" s="145"/>
      <c r="H76" s="175"/>
    </row>
    <row r="77" spans="1:8" ht="14.65" thickBot="1">
      <c r="A77" s="154" t="s">
        <v>386</v>
      </c>
      <c r="B77" s="155"/>
      <c r="C77" s="156" t="s">
        <v>131</v>
      </c>
      <c r="D77" s="157"/>
      <c r="E77" s="145"/>
      <c r="F77" s="175"/>
      <c r="G77" s="145"/>
      <c r="H77" s="175"/>
    </row>
    <row r="78" spans="1:8" ht="14.25">
      <c r="A78" s="150" t="s">
        <v>387</v>
      </c>
      <c r="B78" s="151"/>
      <c r="C78" s="152" t="s">
        <v>279</v>
      </c>
      <c r="D78" s="153"/>
      <c r="E78" s="145"/>
      <c r="F78" s="175"/>
      <c r="G78" s="145"/>
      <c r="H78" s="175"/>
    </row>
    <row r="79" spans="1:8" ht="14.25">
      <c r="A79" s="162" t="s">
        <v>388</v>
      </c>
      <c r="B79" s="155"/>
      <c r="C79" s="156" t="s">
        <v>327</v>
      </c>
      <c r="D79" s="157"/>
      <c r="E79" s="145"/>
      <c r="F79" s="145"/>
      <c r="G79" s="145"/>
      <c r="H79" s="145"/>
    </row>
    <row r="80" spans="1:8" ht="14.25">
      <c r="A80" s="162" t="s">
        <v>389</v>
      </c>
      <c r="B80" s="155"/>
      <c r="C80" s="156" t="s">
        <v>390</v>
      </c>
      <c r="D80" s="157"/>
      <c r="E80" s="145"/>
      <c r="F80" s="145"/>
      <c r="G80" s="145"/>
      <c r="H80" s="145"/>
    </row>
    <row r="81" spans="1:4" ht="14.65" thickBot="1">
      <c r="A81" s="176" t="s">
        <v>391</v>
      </c>
      <c r="B81" s="177"/>
      <c r="C81" s="178" t="s">
        <v>392</v>
      </c>
      <c r="D81" s="179"/>
    </row>
    <row r="82" spans="1:4" ht="14.25">
      <c r="A82" s="150" t="s">
        <v>136</v>
      </c>
      <c r="B82" s="151">
        <v>10027470</v>
      </c>
      <c r="C82" s="152" t="s">
        <v>137</v>
      </c>
      <c r="D82" s="153"/>
    </row>
    <row r="83" spans="1:4" ht="14.25">
      <c r="A83" s="154" t="s">
        <v>136</v>
      </c>
      <c r="B83" s="155">
        <v>10027473</v>
      </c>
      <c r="C83" s="156" t="s">
        <v>138</v>
      </c>
      <c r="D83" s="157"/>
    </row>
    <row r="84" spans="1:4" ht="14.25">
      <c r="A84" s="154" t="s">
        <v>136</v>
      </c>
      <c r="B84" s="155">
        <v>10027472</v>
      </c>
      <c r="C84" s="156" t="s">
        <v>139</v>
      </c>
      <c r="D84" s="157"/>
    </row>
    <row r="85" spans="1:4" ht="14.65" thickBot="1">
      <c r="A85" s="158" t="s">
        <v>140</v>
      </c>
      <c r="B85" s="159">
        <v>10028664</v>
      </c>
      <c r="C85" s="160" t="s">
        <v>141</v>
      </c>
      <c r="D85" s="161"/>
    </row>
    <row r="86" spans="1:4" ht="14.25">
      <c r="A86" s="150" t="s">
        <v>142</v>
      </c>
      <c r="B86" s="151">
        <v>10027451</v>
      </c>
      <c r="C86" s="152" t="s">
        <v>143</v>
      </c>
      <c r="D86" s="153"/>
    </row>
    <row r="87" spans="1:4" ht="14.25">
      <c r="A87" s="154" t="s">
        <v>142</v>
      </c>
      <c r="B87" s="155">
        <v>10027453</v>
      </c>
      <c r="C87" s="156" t="s">
        <v>144</v>
      </c>
      <c r="D87" s="157"/>
    </row>
    <row r="88" spans="1:4" ht="14.25">
      <c r="A88" s="154" t="s">
        <v>142</v>
      </c>
      <c r="B88" s="155">
        <v>10027455</v>
      </c>
      <c r="C88" s="156" t="s">
        <v>91</v>
      </c>
      <c r="D88" s="157"/>
    </row>
    <row r="89" spans="1:4" ht="14.25">
      <c r="A89" s="154" t="s">
        <v>142</v>
      </c>
      <c r="B89" s="155">
        <v>10028708</v>
      </c>
      <c r="C89" s="156" t="s">
        <v>145</v>
      </c>
      <c r="D89" s="157"/>
    </row>
    <row r="90" spans="1:4" ht="14.25">
      <c r="A90" s="154" t="s">
        <v>146</v>
      </c>
      <c r="B90" s="155"/>
      <c r="C90" s="156" t="s">
        <v>147</v>
      </c>
      <c r="D90" s="157"/>
    </row>
    <row r="91" spans="1:4" ht="14.65" thickBot="1">
      <c r="A91" s="158" t="s">
        <v>148</v>
      </c>
      <c r="B91" s="159">
        <v>10028665</v>
      </c>
      <c r="C91" s="160" t="s">
        <v>149</v>
      </c>
      <c r="D91" s="161"/>
    </row>
    <row r="92" spans="1:4" ht="14.25">
      <c r="A92" s="154" t="s">
        <v>150</v>
      </c>
      <c r="B92" s="155">
        <v>10023117</v>
      </c>
      <c r="C92" s="156" t="s">
        <v>151</v>
      </c>
      <c r="D92" s="157"/>
    </row>
    <row r="93" spans="1:4" ht="14.25">
      <c r="A93" s="180" t="s">
        <v>280</v>
      </c>
      <c r="B93" s="164">
        <v>10022081</v>
      </c>
      <c r="C93" s="165" t="s">
        <v>281</v>
      </c>
      <c r="D93" s="166"/>
    </row>
    <row r="94" spans="1:4" ht="14.25">
      <c r="A94" s="180" t="s">
        <v>282</v>
      </c>
      <c r="B94" s="164">
        <v>10029943</v>
      </c>
      <c r="C94" s="165" t="s">
        <v>283</v>
      </c>
      <c r="D94" s="166"/>
    </row>
    <row r="95" spans="1:4" ht="14.25">
      <c r="A95" s="180" t="s">
        <v>427</v>
      </c>
      <c r="B95" s="164">
        <v>10031510</v>
      </c>
      <c r="C95" s="165" t="s">
        <v>428</v>
      </c>
      <c r="D95" s="166"/>
    </row>
    <row r="96" spans="1:4" ht="14.25">
      <c r="A96" s="180" t="s">
        <v>328</v>
      </c>
      <c r="B96" s="164">
        <v>10030034</v>
      </c>
      <c r="C96" s="165" t="s">
        <v>329</v>
      </c>
      <c r="D96" s="166"/>
    </row>
    <row r="97" spans="1:4" ht="14.25">
      <c r="A97" s="180" t="s">
        <v>686</v>
      </c>
      <c r="B97" s="164">
        <v>10033081</v>
      </c>
      <c r="C97" s="165" t="s">
        <v>687</v>
      </c>
      <c r="D97" s="166"/>
    </row>
    <row r="98" spans="1:4" ht="14.25">
      <c r="A98" s="180" t="s">
        <v>404</v>
      </c>
      <c r="B98" s="164">
        <v>10030949</v>
      </c>
      <c r="C98" s="165" t="s">
        <v>405</v>
      </c>
      <c r="D98" s="166"/>
    </row>
    <row r="99" spans="1:4" ht="14.25">
      <c r="A99" s="180" t="s">
        <v>152</v>
      </c>
      <c r="B99" s="164">
        <v>10021933</v>
      </c>
      <c r="C99" s="165" t="s">
        <v>153</v>
      </c>
      <c r="D99" s="166"/>
    </row>
    <row r="100" spans="1:4" ht="14.25">
      <c r="A100" s="180" t="s">
        <v>154</v>
      </c>
      <c r="B100" s="164">
        <v>10026568</v>
      </c>
      <c r="C100" s="165" t="s">
        <v>155</v>
      </c>
      <c r="D100" s="166"/>
    </row>
    <row r="101" spans="1:4" ht="14.25">
      <c r="A101" s="180" t="s">
        <v>284</v>
      </c>
      <c r="B101" s="164">
        <v>10029831</v>
      </c>
      <c r="C101" s="165" t="s">
        <v>285</v>
      </c>
      <c r="D101" s="166"/>
    </row>
    <row r="102" spans="1:4" ht="14.25">
      <c r="A102" s="180" t="s">
        <v>156</v>
      </c>
      <c r="B102" s="164">
        <v>10027558</v>
      </c>
      <c r="C102" s="165" t="s">
        <v>157</v>
      </c>
      <c r="D102" s="166"/>
    </row>
    <row r="103" spans="1:4" ht="14.25">
      <c r="A103" s="180" t="s">
        <v>286</v>
      </c>
      <c r="B103" s="164">
        <v>10029642</v>
      </c>
      <c r="C103" s="165" t="s">
        <v>287</v>
      </c>
      <c r="D103" s="166"/>
    </row>
    <row r="104" spans="1:4" ht="14.25">
      <c r="A104" s="180" t="s">
        <v>330</v>
      </c>
      <c r="B104" s="164">
        <v>10030100</v>
      </c>
      <c r="C104" s="165" t="s">
        <v>331</v>
      </c>
      <c r="D104" s="166"/>
    </row>
    <row r="105" spans="1:4" ht="14.25">
      <c r="A105" s="180" t="s">
        <v>158</v>
      </c>
      <c r="B105" s="164">
        <v>10021347</v>
      </c>
      <c r="C105" s="165" t="s">
        <v>159</v>
      </c>
      <c r="D105" s="166"/>
    </row>
    <row r="106" spans="1:4" ht="14.25">
      <c r="A106" s="180" t="s">
        <v>406</v>
      </c>
      <c r="B106" s="164">
        <v>10031030</v>
      </c>
      <c r="C106" s="165" t="s">
        <v>407</v>
      </c>
      <c r="D106" s="166"/>
    </row>
    <row r="107" spans="1:4" ht="14.25">
      <c r="A107" s="180" t="s">
        <v>408</v>
      </c>
      <c r="B107" s="164">
        <v>10031031</v>
      </c>
      <c r="C107" s="165" t="s">
        <v>409</v>
      </c>
      <c r="D107" s="166"/>
    </row>
    <row r="108" spans="1:4" ht="14.25">
      <c r="A108" s="180" t="s">
        <v>688</v>
      </c>
      <c r="B108" s="164">
        <v>10032530</v>
      </c>
      <c r="C108" s="165" t="s">
        <v>689</v>
      </c>
      <c r="D108" s="166"/>
    </row>
    <row r="109" spans="1:4" ht="14.25">
      <c r="A109" s="180" t="s">
        <v>160</v>
      </c>
      <c r="B109" s="164">
        <v>10013256</v>
      </c>
      <c r="C109" s="165" t="s">
        <v>161</v>
      </c>
      <c r="D109" s="166"/>
    </row>
    <row r="110" spans="1:4" ht="14.25">
      <c r="A110" s="180" t="s">
        <v>162</v>
      </c>
      <c r="B110" s="164">
        <v>10023086</v>
      </c>
      <c r="C110" s="165" t="s">
        <v>163</v>
      </c>
      <c r="D110" s="166"/>
    </row>
    <row r="111" spans="1:4" ht="14.25">
      <c r="A111" s="180" t="s">
        <v>164</v>
      </c>
      <c r="B111" s="164">
        <v>10022092</v>
      </c>
      <c r="C111" s="165" t="s">
        <v>165</v>
      </c>
      <c r="D111" s="166"/>
    </row>
    <row r="112" spans="1:4" ht="14.25">
      <c r="A112" s="180" t="s">
        <v>166</v>
      </c>
      <c r="B112" s="164">
        <v>10022093</v>
      </c>
      <c r="C112" s="165" t="s">
        <v>167</v>
      </c>
      <c r="D112" s="166"/>
    </row>
    <row r="113" spans="1:4" ht="14.25">
      <c r="A113" s="180" t="s">
        <v>288</v>
      </c>
      <c r="B113" s="164">
        <v>10029911</v>
      </c>
      <c r="C113" s="165" t="s">
        <v>289</v>
      </c>
      <c r="D113" s="166"/>
    </row>
    <row r="114" spans="1:4" ht="14.25">
      <c r="A114" s="180" t="s">
        <v>332</v>
      </c>
      <c r="B114" s="164">
        <v>10030405</v>
      </c>
      <c r="C114" s="165" t="s">
        <v>333</v>
      </c>
      <c r="D114" s="166"/>
    </row>
    <row r="115" spans="1:4" ht="14.25">
      <c r="A115" s="180" t="s">
        <v>402</v>
      </c>
      <c r="B115" s="164">
        <v>10030986</v>
      </c>
      <c r="C115" s="165" t="s">
        <v>429</v>
      </c>
      <c r="D115" s="166"/>
    </row>
    <row r="116" spans="1:4" ht="14.25">
      <c r="A116" s="180" t="s">
        <v>397</v>
      </c>
      <c r="B116" s="164">
        <v>10030809</v>
      </c>
      <c r="C116" s="165" t="s">
        <v>398</v>
      </c>
      <c r="D116" s="166"/>
    </row>
    <row r="117" spans="1:4" ht="14.25">
      <c r="A117" s="180" t="s">
        <v>690</v>
      </c>
      <c r="B117" s="164">
        <v>10031596</v>
      </c>
      <c r="C117" s="165" t="s">
        <v>691</v>
      </c>
      <c r="D117" s="166"/>
    </row>
    <row r="118" spans="1:4" ht="14.25">
      <c r="A118" s="180" t="s">
        <v>692</v>
      </c>
      <c r="B118" s="164">
        <v>10032286</v>
      </c>
      <c r="C118" s="165" t="s">
        <v>693</v>
      </c>
      <c r="D118" s="166"/>
    </row>
    <row r="119" spans="1:4" ht="14.25">
      <c r="A119" s="180" t="s">
        <v>694</v>
      </c>
      <c r="B119" s="164">
        <v>10032287</v>
      </c>
      <c r="C119" s="165" t="s">
        <v>695</v>
      </c>
      <c r="D119" s="166"/>
    </row>
    <row r="120" spans="1:4" ht="14.25">
      <c r="A120" s="180" t="s">
        <v>430</v>
      </c>
      <c r="B120" s="164">
        <v>10031597</v>
      </c>
      <c r="C120" s="165" t="s">
        <v>431</v>
      </c>
      <c r="D120" s="166"/>
    </row>
    <row r="121" spans="1:4" ht="14.25">
      <c r="A121" s="180" t="s">
        <v>168</v>
      </c>
      <c r="B121" s="164">
        <v>10027557</v>
      </c>
      <c r="C121" s="165" t="s">
        <v>169</v>
      </c>
      <c r="D121" s="166"/>
    </row>
    <row r="122" spans="1:4" ht="14.25">
      <c r="A122" s="180" t="s">
        <v>170</v>
      </c>
      <c r="B122" s="164">
        <v>10021306</v>
      </c>
      <c r="C122" s="165" t="s">
        <v>171</v>
      </c>
      <c r="D122" s="166"/>
    </row>
    <row r="123" spans="1:4" ht="14.25">
      <c r="A123" s="180" t="s">
        <v>403</v>
      </c>
      <c r="B123" s="164">
        <v>10030821</v>
      </c>
      <c r="C123" s="165" t="s">
        <v>432</v>
      </c>
      <c r="D123" s="166"/>
    </row>
    <row r="124" spans="1:4" ht="14.25">
      <c r="A124" s="180" t="s">
        <v>172</v>
      </c>
      <c r="B124" s="164">
        <v>10027555</v>
      </c>
      <c r="C124" s="165" t="s">
        <v>173</v>
      </c>
      <c r="D124" s="166"/>
    </row>
    <row r="125" spans="1:4" ht="14.65" thickBot="1">
      <c r="A125" s="180" t="s">
        <v>174</v>
      </c>
      <c r="B125" s="164">
        <v>10027556</v>
      </c>
      <c r="C125" s="165" t="s">
        <v>175</v>
      </c>
      <c r="D125" s="166"/>
    </row>
    <row r="126" spans="1:4" ht="14.25">
      <c r="A126" s="181" t="s">
        <v>334</v>
      </c>
      <c r="B126" s="182">
        <v>10026565</v>
      </c>
      <c r="C126" s="183" t="s">
        <v>176</v>
      </c>
      <c r="D126" s="184"/>
    </row>
    <row r="127" spans="1:4" ht="14.25">
      <c r="A127" s="162" t="s">
        <v>335</v>
      </c>
      <c r="B127" s="155">
        <v>10030033</v>
      </c>
      <c r="C127" s="156" t="s">
        <v>336</v>
      </c>
      <c r="D127" s="157"/>
    </row>
    <row r="128" spans="1:4" ht="14.25">
      <c r="A128" s="162" t="s">
        <v>394</v>
      </c>
      <c r="B128" s="155">
        <v>10022107</v>
      </c>
      <c r="C128" s="156" t="s">
        <v>395</v>
      </c>
      <c r="D128" s="166"/>
    </row>
    <row r="129" spans="1:4" ht="14.25">
      <c r="A129" s="162" t="s">
        <v>433</v>
      </c>
      <c r="B129" s="155">
        <v>10031511</v>
      </c>
      <c r="C129" s="156" t="s">
        <v>434</v>
      </c>
      <c r="D129" s="166"/>
    </row>
    <row r="130" spans="1:4" ht="14.25">
      <c r="A130" s="162" t="s">
        <v>711</v>
      </c>
      <c r="B130" s="155">
        <v>10032941</v>
      </c>
      <c r="C130" s="156" t="s">
        <v>712</v>
      </c>
      <c r="D130" s="166"/>
    </row>
    <row r="131" spans="1:4" ht="14.25">
      <c r="A131" s="162" t="s">
        <v>696</v>
      </c>
      <c r="B131" s="155">
        <v>10017344</v>
      </c>
      <c r="C131" s="156" t="s">
        <v>697</v>
      </c>
      <c r="D131" s="166"/>
    </row>
    <row r="132" spans="1:4" ht="14.65" thickBot="1">
      <c r="A132" s="185" t="s">
        <v>698</v>
      </c>
      <c r="B132" s="155">
        <v>10032809</v>
      </c>
      <c r="C132" s="186" t="s">
        <v>699</v>
      </c>
      <c r="D132" s="161"/>
    </row>
    <row r="133" spans="1:4" ht="14.65" thickBot="1">
      <c r="A133" s="167" t="s">
        <v>290</v>
      </c>
      <c r="B133" s="168">
        <v>10029819</v>
      </c>
      <c r="C133" s="169" t="s">
        <v>291</v>
      </c>
      <c r="D133" s="170"/>
    </row>
    <row r="134" spans="1:4" ht="14.25">
      <c r="A134" s="171" t="s">
        <v>177</v>
      </c>
      <c r="B134" s="172">
        <v>10029408</v>
      </c>
      <c r="C134" s="173" t="s">
        <v>178</v>
      </c>
      <c r="D134" s="174"/>
    </row>
    <row r="135" spans="1:4" ht="14.25">
      <c r="A135" s="171" t="s">
        <v>179</v>
      </c>
      <c r="B135" s="172">
        <v>10028459</v>
      </c>
      <c r="C135" s="173" t="s">
        <v>180</v>
      </c>
      <c r="D135" s="174"/>
    </row>
    <row r="136" spans="1:4" ht="14.25">
      <c r="A136" s="171" t="s">
        <v>181</v>
      </c>
      <c r="B136" s="172">
        <v>10028489</v>
      </c>
      <c r="C136" s="173" t="s">
        <v>182</v>
      </c>
      <c r="D136" s="174"/>
    </row>
    <row r="137" spans="1:4" ht="14.25">
      <c r="A137" s="154" t="s">
        <v>183</v>
      </c>
      <c r="B137" s="155">
        <v>10028467</v>
      </c>
      <c r="C137" s="156" t="s">
        <v>292</v>
      </c>
      <c r="D137" s="157"/>
    </row>
    <row r="138" spans="1:4" ht="14.25">
      <c r="A138" s="154" t="s">
        <v>183</v>
      </c>
      <c r="B138" s="164">
        <v>10028468</v>
      </c>
      <c r="C138" s="165" t="s">
        <v>293</v>
      </c>
      <c r="D138" s="166"/>
    </row>
    <row r="139" spans="1:4" ht="52.9" thickBot="1">
      <c r="A139" s="187" t="s">
        <v>183</v>
      </c>
      <c r="B139" s="159"/>
      <c r="C139" s="160" t="s">
        <v>184</v>
      </c>
      <c r="D139" s="188" t="s">
        <v>185</v>
      </c>
    </row>
    <row r="140" spans="1:4" ht="14.25">
      <c r="A140" s="171" t="s">
        <v>190</v>
      </c>
      <c r="B140" s="172">
        <v>10023102</v>
      </c>
      <c r="C140" s="173" t="s">
        <v>191</v>
      </c>
      <c r="D140" s="174"/>
    </row>
    <row r="141" spans="1:4" ht="14.25">
      <c r="A141" s="171" t="s">
        <v>206</v>
      </c>
      <c r="B141" s="172">
        <v>10021514</v>
      </c>
      <c r="C141" s="173" t="s">
        <v>207</v>
      </c>
      <c r="D141" s="174"/>
    </row>
    <row r="142" spans="1:4" ht="14.25">
      <c r="A142" s="171" t="s">
        <v>186</v>
      </c>
      <c r="B142" s="172">
        <v>10027548</v>
      </c>
      <c r="C142" s="173" t="s">
        <v>187</v>
      </c>
      <c r="D142" s="174"/>
    </row>
    <row r="143" spans="1:4" ht="14.25">
      <c r="A143" s="154" t="s">
        <v>188</v>
      </c>
      <c r="B143" s="155">
        <v>10026564</v>
      </c>
      <c r="C143" s="156" t="s">
        <v>189</v>
      </c>
      <c r="D143" s="157"/>
    </row>
    <row r="144" spans="1:4" ht="14.25">
      <c r="A144" s="180" t="s">
        <v>208</v>
      </c>
      <c r="B144" s="164">
        <v>10022424</v>
      </c>
      <c r="C144" s="165" t="s">
        <v>209</v>
      </c>
      <c r="D144" s="166"/>
    </row>
    <row r="145" spans="1:4" ht="14.25">
      <c r="A145" s="154" t="s">
        <v>196</v>
      </c>
      <c r="B145" s="155">
        <v>10028420</v>
      </c>
      <c r="C145" s="156" t="s">
        <v>197</v>
      </c>
      <c r="D145" s="157"/>
    </row>
    <row r="146" spans="1:4" ht="14.25">
      <c r="A146" s="154" t="s">
        <v>294</v>
      </c>
      <c r="B146" s="155">
        <v>10023104</v>
      </c>
      <c r="C146" s="156" t="s">
        <v>255</v>
      </c>
      <c r="D146" s="157"/>
    </row>
    <row r="147" spans="1:4" ht="14.25">
      <c r="A147" s="154" t="s">
        <v>337</v>
      </c>
      <c r="B147" s="155">
        <v>10029818</v>
      </c>
      <c r="C147" s="156" t="s">
        <v>338</v>
      </c>
      <c r="D147" s="157"/>
    </row>
    <row r="148" spans="1:4" ht="14.25">
      <c r="A148" s="154" t="s">
        <v>435</v>
      </c>
      <c r="B148" s="155">
        <v>10032364</v>
      </c>
      <c r="C148" s="156" t="s">
        <v>436</v>
      </c>
      <c r="D148" s="157"/>
    </row>
    <row r="149" spans="1:4" ht="14.25">
      <c r="A149" s="154" t="s">
        <v>200</v>
      </c>
      <c r="B149" s="155">
        <v>10028458</v>
      </c>
      <c r="C149" s="156" t="s">
        <v>201</v>
      </c>
      <c r="D149" s="157"/>
    </row>
    <row r="150" spans="1:4" ht="14.25">
      <c r="A150" s="154" t="s">
        <v>192</v>
      </c>
      <c r="B150" s="155">
        <v>10026368</v>
      </c>
      <c r="C150" s="156" t="s">
        <v>193</v>
      </c>
      <c r="D150" s="157"/>
    </row>
    <row r="151" spans="1:4" ht="14.25">
      <c r="A151" s="154" t="s">
        <v>194</v>
      </c>
      <c r="B151" s="155">
        <v>10026366</v>
      </c>
      <c r="C151" s="156" t="s">
        <v>195</v>
      </c>
      <c r="D151" s="157"/>
    </row>
    <row r="152" spans="1:4" ht="14.25">
      <c r="A152" s="154" t="s">
        <v>198</v>
      </c>
      <c r="B152" s="155">
        <v>10022550</v>
      </c>
      <c r="C152" s="156" t="s">
        <v>199</v>
      </c>
      <c r="D152" s="157"/>
    </row>
    <row r="153" spans="1:4" ht="14.25">
      <c r="A153" s="154" t="s">
        <v>295</v>
      </c>
      <c r="B153" s="155">
        <v>10023609</v>
      </c>
      <c r="C153" s="156" t="s">
        <v>296</v>
      </c>
      <c r="D153" s="157"/>
    </row>
    <row r="154" spans="1:4" ht="14.25">
      <c r="A154" s="154" t="s">
        <v>297</v>
      </c>
      <c r="B154" s="155">
        <v>10023610</v>
      </c>
      <c r="C154" s="156" t="s">
        <v>298</v>
      </c>
      <c r="D154" s="157"/>
    </row>
    <row r="155" spans="1:4" ht="14.25">
      <c r="A155" s="154" t="s">
        <v>202</v>
      </c>
      <c r="B155" s="155">
        <v>10023902</v>
      </c>
      <c r="C155" s="156" t="s">
        <v>203</v>
      </c>
      <c r="D155" s="157"/>
    </row>
    <row r="156" spans="1:4" ht="14.25">
      <c r="A156" s="154" t="s">
        <v>204</v>
      </c>
      <c r="B156" s="155">
        <v>10026566</v>
      </c>
      <c r="C156" s="156" t="s">
        <v>205</v>
      </c>
      <c r="D156" s="157"/>
    </row>
    <row r="157" spans="1:4" ht="14.25">
      <c r="A157" s="171" t="s">
        <v>339</v>
      </c>
      <c r="B157" s="172">
        <v>10030356</v>
      </c>
      <c r="C157" s="173" t="s">
        <v>340</v>
      </c>
      <c r="D157" s="174"/>
    </row>
    <row r="158" spans="1:4" ht="14.25">
      <c r="A158" s="171" t="s">
        <v>341</v>
      </c>
      <c r="B158" s="172">
        <v>10030384</v>
      </c>
      <c r="C158" s="173" t="s">
        <v>342</v>
      </c>
      <c r="D158" s="174"/>
    </row>
    <row r="159" spans="1:4" ht="14.25">
      <c r="A159" s="154" t="s">
        <v>343</v>
      </c>
      <c r="B159" s="155">
        <v>10030278</v>
      </c>
      <c r="C159" s="156" t="s">
        <v>344</v>
      </c>
      <c r="D159" s="157"/>
    </row>
    <row r="160" spans="1:4" ht="14.25">
      <c r="A160" s="154" t="s">
        <v>713</v>
      </c>
      <c r="B160" s="155" t="s">
        <v>714</v>
      </c>
      <c r="C160" s="156" t="s">
        <v>715</v>
      </c>
      <c r="D160" s="157"/>
    </row>
    <row r="161" spans="1:4" ht="14.25">
      <c r="A161" s="154" t="s">
        <v>716</v>
      </c>
      <c r="B161" s="155" t="s">
        <v>717</v>
      </c>
      <c r="C161" s="156" t="s">
        <v>718</v>
      </c>
      <c r="D161" s="157"/>
    </row>
    <row r="162" spans="1:4" ht="14.65" thickBot="1">
      <c r="A162" s="154" t="s">
        <v>345</v>
      </c>
      <c r="B162" s="155">
        <v>10030620</v>
      </c>
      <c r="C162" s="156" t="s">
        <v>393</v>
      </c>
      <c r="D162" s="157"/>
    </row>
    <row r="163" spans="1:4" ht="14.25">
      <c r="A163" s="150" t="s">
        <v>223</v>
      </c>
      <c r="B163" s="151">
        <v>10028421</v>
      </c>
      <c r="C163" s="152" t="s">
        <v>224</v>
      </c>
      <c r="D163" s="153"/>
    </row>
    <row r="164" spans="1:4" ht="14.25">
      <c r="A164" s="171" t="s">
        <v>213</v>
      </c>
      <c r="B164" s="172">
        <v>10027465</v>
      </c>
      <c r="C164" s="173" t="s">
        <v>214</v>
      </c>
      <c r="D164" s="174"/>
    </row>
    <row r="165" spans="1:4" ht="14.25">
      <c r="A165" s="154" t="s">
        <v>215</v>
      </c>
      <c r="B165" s="155">
        <v>10027549</v>
      </c>
      <c r="C165" s="156" t="s">
        <v>216</v>
      </c>
      <c r="D165" s="157"/>
    </row>
    <row r="166" spans="1:4" ht="14.25">
      <c r="A166" s="154" t="s">
        <v>217</v>
      </c>
      <c r="B166" s="155">
        <v>10024424</v>
      </c>
      <c r="C166" s="156" t="s">
        <v>218</v>
      </c>
      <c r="D166" s="157"/>
    </row>
    <row r="167" spans="1:4" ht="14.25">
      <c r="A167" s="154" t="s">
        <v>225</v>
      </c>
      <c r="B167" s="155">
        <v>10017992</v>
      </c>
      <c r="C167" s="156" t="s">
        <v>226</v>
      </c>
      <c r="D167" s="157"/>
    </row>
    <row r="168" spans="1:4" ht="14.25">
      <c r="A168" s="154" t="s">
        <v>227</v>
      </c>
      <c r="B168" s="155">
        <v>10024393</v>
      </c>
      <c r="C168" s="156" t="s">
        <v>228</v>
      </c>
      <c r="D168" s="157"/>
    </row>
    <row r="169" spans="1:4" ht="14.25">
      <c r="A169" s="154" t="s">
        <v>219</v>
      </c>
      <c r="B169" s="155">
        <v>10024394</v>
      </c>
      <c r="C169" s="156" t="s">
        <v>220</v>
      </c>
      <c r="D169" s="157"/>
    </row>
    <row r="170" spans="1:4" ht="14.65" thickBot="1">
      <c r="A170" s="154" t="s">
        <v>221</v>
      </c>
      <c r="B170" s="155">
        <v>10022531</v>
      </c>
      <c r="C170" s="156" t="s">
        <v>222</v>
      </c>
      <c r="D170" s="157"/>
    </row>
    <row r="171" spans="1:4" ht="14.25">
      <c r="A171" s="150" t="s">
        <v>230</v>
      </c>
      <c r="B171" s="151">
        <v>10027554</v>
      </c>
      <c r="C171" s="152" t="s">
        <v>231</v>
      </c>
      <c r="D171" s="153"/>
    </row>
    <row r="172" spans="1:4" ht="14.25">
      <c r="A172" s="154" t="s">
        <v>239</v>
      </c>
      <c r="B172" s="155">
        <v>10017994</v>
      </c>
      <c r="C172" s="156" t="s">
        <v>240</v>
      </c>
      <c r="D172" s="157"/>
    </row>
    <row r="173" spans="1:4" ht="14.25">
      <c r="A173" s="154" t="s">
        <v>241</v>
      </c>
      <c r="B173" s="155">
        <v>10024391</v>
      </c>
      <c r="C173" s="156" t="s">
        <v>242</v>
      </c>
      <c r="D173" s="157"/>
    </row>
    <row r="174" spans="1:4" ht="14.25">
      <c r="A174" s="154" t="s">
        <v>243</v>
      </c>
      <c r="B174" s="155">
        <v>10022423</v>
      </c>
      <c r="C174" s="156" t="s">
        <v>233</v>
      </c>
      <c r="D174" s="157"/>
    </row>
    <row r="175" spans="1:4" ht="14.25">
      <c r="A175" s="154" t="s">
        <v>232</v>
      </c>
      <c r="B175" s="155">
        <v>10024392</v>
      </c>
      <c r="C175" s="156" t="s">
        <v>233</v>
      </c>
      <c r="D175" s="157"/>
    </row>
    <row r="176" spans="1:4" ht="14.25">
      <c r="A176" s="154" t="s">
        <v>237</v>
      </c>
      <c r="B176" s="155">
        <v>10026567</v>
      </c>
      <c r="C176" s="156" t="s">
        <v>238</v>
      </c>
      <c r="D176" s="157"/>
    </row>
    <row r="177" spans="1:4" ht="14.25">
      <c r="A177" s="154" t="s">
        <v>346</v>
      </c>
      <c r="B177" s="155">
        <v>10030404</v>
      </c>
      <c r="C177" s="156" t="s">
        <v>347</v>
      </c>
      <c r="D177" s="157"/>
    </row>
    <row r="178" spans="1:4" ht="14.25">
      <c r="A178" s="154" t="s">
        <v>299</v>
      </c>
      <c r="B178" s="155">
        <v>10029910</v>
      </c>
      <c r="C178" s="156" t="s">
        <v>300</v>
      </c>
      <c r="D178" s="157"/>
    </row>
    <row r="179" spans="1:4" ht="14.25">
      <c r="A179" s="154" t="s">
        <v>348</v>
      </c>
      <c r="B179" s="155">
        <v>10030228</v>
      </c>
      <c r="C179" s="156" t="s">
        <v>349</v>
      </c>
      <c r="D179" s="157"/>
    </row>
    <row r="180" spans="1:4" ht="14.25">
      <c r="A180" s="154" t="s">
        <v>323</v>
      </c>
      <c r="B180" s="155">
        <v>10030229</v>
      </c>
      <c r="C180" s="156" t="s">
        <v>324</v>
      </c>
      <c r="D180" s="157"/>
    </row>
    <row r="181" spans="1:4" ht="14.25">
      <c r="A181" s="154" t="s">
        <v>234</v>
      </c>
      <c r="B181" s="155">
        <v>10024252</v>
      </c>
      <c r="C181" s="156" t="s">
        <v>235</v>
      </c>
      <c r="D181" s="157"/>
    </row>
    <row r="182" spans="1:4" ht="14.25">
      <c r="A182" s="180" t="s">
        <v>301</v>
      </c>
      <c r="B182" s="164">
        <v>10029817</v>
      </c>
      <c r="C182" s="165" t="s">
        <v>302</v>
      </c>
      <c r="D182" s="166"/>
    </row>
    <row r="183" spans="1:4" ht="14.25">
      <c r="A183" s="180" t="s">
        <v>303</v>
      </c>
      <c r="B183" s="164">
        <v>10029938</v>
      </c>
      <c r="C183" s="165" t="s">
        <v>304</v>
      </c>
      <c r="D183" s="166"/>
    </row>
    <row r="184" spans="1:4" ht="14.25">
      <c r="A184" s="180" t="s">
        <v>307</v>
      </c>
      <c r="B184" s="164">
        <v>10029896</v>
      </c>
      <c r="C184" s="165" t="s">
        <v>308</v>
      </c>
      <c r="D184" s="166"/>
    </row>
    <row r="185" spans="1:4" ht="14.25">
      <c r="A185" s="180" t="s">
        <v>445</v>
      </c>
      <c r="B185" s="164">
        <v>10030319</v>
      </c>
      <c r="C185" s="165" t="s">
        <v>446</v>
      </c>
      <c r="D185" s="166"/>
    </row>
    <row r="186" spans="1:4" ht="14.25">
      <c r="A186" s="180" t="s">
        <v>305</v>
      </c>
      <c r="B186" s="164">
        <v>10029895</v>
      </c>
      <c r="C186" s="165" t="s">
        <v>306</v>
      </c>
      <c r="D186" s="166"/>
    </row>
    <row r="187" spans="1:4" ht="14.25">
      <c r="A187" s="180" t="s">
        <v>700</v>
      </c>
      <c r="B187" s="164">
        <v>10032529</v>
      </c>
      <c r="C187" s="165" t="s">
        <v>701</v>
      </c>
      <c r="D187" s="166"/>
    </row>
    <row r="188" spans="1:4" ht="14.25">
      <c r="A188" s="180" t="s">
        <v>350</v>
      </c>
      <c r="B188" s="164">
        <v>10030373</v>
      </c>
      <c r="C188" s="165" t="s">
        <v>351</v>
      </c>
      <c r="D188" s="166"/>
    </row>
    <row r="189" spans="1:4" ht="14.25">
      <c r="A189" s="180" t="s">
        <v>352</v>
      </c>
      <c r="B189" s="164">
        <v>10030374</v>
      </c>
      <c r="C189" s="165" t="s">
        <v>353</v>
      </c>
      <c r="D189" s="166"/>
    </row>
    <row r="190" spans="1:4" ht="14.25">
      <c r="A190" s="180" t="s">
        <v>354</v>
      </c>
      <c r="B190" s="164">
        <v>10030371</v>
      </c>
      <c r="C190" s="165" t="s">
        <v>355</v>
      </c>
      <c r="D190" s="166"/>
    </row>
    <row r="191" spans="1:4" ht="14.25">
      <c r="A191" s="180" t="s">
        <v>442</v>
      </c>
      <c r="B191" s="164">
        <v>10031484</v>
      </c>
      <c r="C191" s="165" t="s">
        <v>441</v>
      </c>
      <c r="D191" s="166"/>
    </row>
    <row r="192" spans="1:4" ht="14.25">
      <c r="A192" s="180" t="s">
        <v>356</v>
      </c>
      <c r="B192" s="164">
        <v>10030372</v>
      </c>
      <c r="C192" s="165" t="s">
        <v>357</v>
      </c>
      <c r="D192" s="166"/>
    </row>
    <row r="193" spans="1:4" ht="14.25">
      <c r="A193" s="180" t="s">
        <v>437</v>
      </c>
      <c r="B193" s="164">
        <v>10031595</v>
      </c>
      <c r="C193" s="165" t="s">
        <v>438</v>
      </c>
      <c r="D193" s="166"/>
    </row>
    <row r="194" spans="1:4" ht="14.25">
      <c r="A194" s="180" t="s">
        <v>439</v>
      </c>
      <c r="B194" s="164">
        <v>10031482</v>
      </c>
      <c r="C194" s="165" t="s">
        <v>440</v>
      </c>
      <c r="D194" s="166"/>
    </row>
    <row r="195" spans="1:4" ht="14.25">
      <c r="A195" s="180" t="s">
        <v>702</v>
      </c>
      <c r="B195" s="164">
        <v>10031512</v>
      </c>
      <c r="C195" s="165" t="s">
        <v>703</v>
      </c>
      <c r="D195" s="166"/>
    </row>
    <row r="196" spans="1:4" ht="14.25">
      <c r="A196" s="180" t="s">
        <v>704</v>
      </c>
      <c r="B196" s="164">
        <v>10031483</v>
      </c>
      <c r="C196" s="165" t="s">
        <v>705</v>
      </c>
      <c r="D196" s="166"/>
    </row>
    <row r="197" spans="1:4" ht="14.25">
      <c r="A197" s="180" t="s">
        <v>706</v>
      </c>
      <c r="B197" s="164">
        <v>10031485</v>
      </c>
      <c r="C197" s="165" t="s">
        <v>707</v>
      </c>
      <c r="D197" s="166"/>
    </row>
    <row r="198" spans="1:4" ht="14.25">
      <c r="A198" s="180" t="s">
        <v>708</v>
      </c>
      <c r="B198" s="164">
        <v>10032291</v>
      </c>
      <c r="C198" s="165" t="s">
        <v>709</v>
      </c>
      <c r="D198" s="166"/>
    </row>
    <row r="199" spans="1:4" ht="14.25">
      <c r="A199" s="180" t="s">
        <v>710</v>
      </c>
      <c r="B199" s="164">
        <v>10032290</v>
      </c>
      <c r="C199" s="165" t="s">
        <v>709</v>
      </c>
      <c r="D199" s="166"/>
    </row>
    <row r="200" spans="1:4" ht="14.65" thickBot="1">
      <c r="A200" s="158" t="s">
        <v>358</v>
      </c>
      <c r="B200" s="159">
        <v>10030277</v>
      </c>
      <c r="C200" s="160" t="s">
        <v>359</v>
      </c>
      <c r="D200" s="161"/>
    </row>
    <row r="201" spans="1:4" ht="14.25">
      <c r="A201" s="154" t="s">
        <v>245</v>
      </c>
      <c r="B201" s="155">
        <v>10022362</v>
      </c>
      <c r="C201" s="156" t="s">
        <v>246</v>
      </c>
      <c r="D201" s="157"/>
    </row>
    <row r="202" spans="1:4" ht="14.25">
      <c r="A202" s="154" t="s">
        <v>247</v>
      </c>
      <c r="B202" s="155">
        <v>10027463</v>
      </c>
      <c r="C202" s="156" t="s">
        <v>248</v>
      </c>
      <c r="D202" s="157"/>
    </row>
    <row r="203" spans="1:4" ht="14.25">
      <c r="A203" s="154" t="s">
        <v>249</v>
      </c>
      <c r="B203" s="155">
        <v>10026563</v>
      </c>
      <c r="C203" s="156" t="s">
        <v>250</v>
      </c>
      <c r="D203" s="157"/>
    </row>
    <row r="204" spans="1:4" ht="14.25">
      <c r="A204" s="154" t="s">
        <v>251</v>
      </c>
      <c r="B204" s="155">
        <v>10027462</v>
      </c>
      <c r="C204" s="156" t="s">
        <v>252</v>
      </c>
      <c r="D204" s="157"/>
    </row>
    <row r="205" spans="1:4" ht="14.25">
      <c r="A205" s="154" t="s">
        <v>253</v>
      </c>
      <c r="B205" s="155">
        <v>10022513</v>
      </c>
      <c r="C205" s="156" t="s">
        <v>254</v>
      </c>
      <c r="D205" s="157"/>
    </row>
    <row r="206" spans="1:4" ht="14.25">
      <c r="A206" s="154" t="s">
        <v>256</v>
      </c>
      <c r="B206" s="155">
        <v>10027464</v>
      </c>
      <c r="C206" s="156" t="s">
        <v>257</v>
      </c>
      <c r="D206" s="157"/>
    </row>
    <row r="207" spans="1:4" ht="14.25">
      <c r="A207" s="154" t="s">
        <v>258</v>
      </c>
      <c r="B207" s="155">
        <v>10026371</v>
      </c>
      <c r="C207" s="156" t="s">
        <v>259</v>
      </c>
      <c r="D207" s="157"/>
    </row>
    <row r="208" spans="1:4" ht="14.25">
      <c r="A208" s="154" t="s">
        <v>309</v>
      </c>
      <c r="B208" s="155">
        <v>10017996</v>
      </c>
      <c r="C208" s="156" t="s">
        <v>229</v>
      </c>
      <c r="D208" s="157"/>
    </row>
    <row r="209" spans="1:4" ht="14.65" thickBot="1">
      <c r="A209" s="176" t="s">
        <v>360</v>
      </c>
      <c r="B209" s="177">
        <v>10029397</v>
      </c>
      <c r="C209" s="178" t="s">
        <v>361</v>
      </c>
      <c r="D209" s="179"/>
    </row>
    <row r="210" spans="1:4" ht="14.25">
      <c r="A210" s="181" t="s">
        <v>260</v>
      </c>
      <c r="B210" s="182">
        <v>10027550</v>
      </c>
      <c r="C210" s="183" t="s">
        <v>261</v>
      </c>
      <c r="D210" s="184"/>
    </row>
    <row r="211" spans="1:4" ht="14.25">
      <c r="A211" s="180" t="s">
        <v>262</v>
      </c>
      <c r="B211" s="164">
        <v>10025645</v>
      </c>
      <c r="C211" s="165" t="s">
        <v>263</v>
      </c>
      <c r="D211" s="166"/>
    </row>
    <row r="212" spans="1:4" ht="14.25">
      <c r="A212" s="180" t="s">
        <v>362</v>
      </c>
      <c r="B212" s="164">
        <v>10025644</v>
      </c>
      <c r="C212" s="165" t="s">
        <v>244</v>
      </c>
      <c r="D212" s="166"/>
    </row>
    <row r="213" spans="1:4" ht="14.25">
      <c r="A213" s="180" t="s">
        <v>264</v>
      </c>
      <c r="B213" s="164">
        <v>10023904</v>
      </c>
      <c r="C213" s="165" t="s">
        <v>265</v>
      </c>
      <c r="D213" s="166"/>
    </row>
    <row r="214" spans="1:4" ht="14.25">
      <c r="A214" s="154" t="s">
        <v>310</v>
      </c>
      <c r="B214" s="155">
        <v>10023128</v>
      </c>
      <c r="C214" s="156" t="s">
        <v>236</v>
      </c>
      <c r="D214" s="157"/>
    </row>
    <row r="215" spans="1:4" ht="14.25">
      <c r="A215" s="154" t="s">
        <v>266</v>
      </c>
      <c r="B215" s="155">
        <v>10026369</v>
      </c>
      <c r="C215" s="156" t="s">
        <v>267</v>
      </c>
      <c r="D215" s="157"/>
    </row>
    <row r="216" spans="1:4" ht="14.25">
      <c r="A216" s="180" t="s">
        <v>363</v>
      </c>
      <c r="B216" s="164">
        <v>10030232</v>
      </c>
      <c r="C216" s="165" t="s">
        <v>364</v>
      </c>
      <c r="D216" s="166"/>
    </row>
    <row r="217" spans="1:4" ht="14.25">
      <c r="A217" s="180" t="s">
        <v>365</v>
      </c>
      <c r="B217" s="164">
        <v>10030233</v>
      </c>
      <c r="C217" s="165" t="s">
        <v>366</v>
      </c>
      <c r="D217" s="166"/>
    </row>
    <row r="218" spans="1:4" ht="14.25">
      <c r="A218" s="180" t="s">
        <v>268</v>
      </c>
      <c r="B218" s="164">
        <v>10026370</v>
      </c>
      <c r="C218" s="165" t="s">
        <v>269</v>
      </c>
      <c r="D218" s="166"/>
    </row>
    <row r="219" spans="1:4" ht="14.25">
      <c r="A219" s="180" t="s">
        <v>367</v>
      </c>
      <c r="B219" s="164">
        <v>10030231</v>
      </c>
      <c r="C219" s="165" t="s">
        <v>368</v>
      </c>
      <c r="D219" s="166"/>
    </row>
    <row r="220" spans="1:4" ht="14.25">
      <c r="A220" s="180" t="s">
        <v>369</v>
      </c>
      <c r="B220" s="164">
        <v>10030427</v>
      </c>
      <c r="C220" s="165" t="s">
        <v>370</v>
      </c>
      <c r="D220" s="166"/>
    </row>
    <row r="221" spans="1:4" ht="14.25">
      <c r="A221" s="180" t="s">
        <v>369</v>
      </c>
      <c r="B221" s="164">
        <v>10030385</v>
      </c>
      <c r="C221" s="165" t="s">
        <v>371</v>
      </c>
      <c r="D221" s="166"/>
    </row>
    <row r="222" spans="1:4" ht="14.25">
      <c r="A222" s="180" t="s">
        <v>369</v>
      </c>
      <c r="B222" s="164">
        <v>10030230</v>
      </c>
      <c r="C222" s="165" t="s">
        <v>372</v>
      </c>
      <c r="D222" s="166"/>
    </row>
    <row r="223" spans="1:4" ht="14.65" thickBot="1">
      <c r="A223" s="180" t="s">
        <v>373</v>
      </c>
      <c r="B223" s="164">
        <v>10030386</v>
      </c>
      <c r="C223" s="165" t="s">
        <v>374</v>
      </c>
      <c r="D223" s="166"/>
    </row>
    <row r="224" spans="1:4" ht="14.25">
      <c r="A224" s="150" t="s">
        <v>313</v>
      </c>
      <c r="B224" s="151">
        <v>10025853</v>
      </c>
      <c r="C224" s="152" t="s">
        <v>212</v>
      </c>
      <c r="D224" s="153"/>
    </row>
    <row r="225" spans="1:4" ht="14.25">
      <c r="A225" s="154" t="s">
        <v>312</v>
      </c>
      <c r="B225" s="155">
        <v>10023103</v>
      </c>
      <c r="C225" s="156" t="s">
        <v>211</v>
      </c>
      <c r="D225" s="157"/>
    </row>
    <row r="226" spans="1:4" ht="14.25">
      <c r="A226" s="154" t="s">
        <v>311</v>
      </c>
      <c r="B226" s="155">
        <v>10022357</v>
      </c>
      <c r="C226" s="156" t="s">
        <v>210</v>
      </c>
      <c r="D226" s="157"/>
    </row>
    <row r="227" spans="1:4" ht="14.25">
      <c r="A227" s="154" t="s">
        <v>375</v>
      </c>
      <c r="B227" s="155">
        <v>10029406</v>
      </c>
      <c r="C227" s="156" t="s">
        <v>376</v>
      </c>
      <c r="D227" s="157"/>
    </row>
    <row r="228" spans="1:4" ht="14.25">
      <c r="A228" s="154" t="s">
        <v>314</v>
      </c>
      <c r="B228" s="155">
        <v>10027551</v>
      </c>
      <c r="C228" s="156" t="s">
        <v>315</v>
      </c>
      <c r="D228" s="157"/>
    </row>
    <row r="229" spans="1:4" ht="14.65" thickBot="1">
      <c r="A229" s="154" t="s">
        <v>377</v>
      </c>
      <c r="B229" s="155">
        <v>10029407</v>
      </c>
      <c r="C229" s="156" t="s">
        <v>378</v>
      </c>
      <c r="D229" s="157"/>
    </row>
    <row r="230" spans="1:4" ht="14.25">
      <c r="A230" s="150" t="s">
        <v>319</v>
      </c>
      <c r="B230" s="151">
        <v>10029751</v>
      </c>
      <c r="C230" s="152" t="s">
        <v>320</v>
      </c>
      <c r="D230" s="153"/>
    </row>
    <row r="231" spans="1:4" ht="14.25">
      <c r="A231" s="171" t="s">
        <v>321</v>
      </c>
      <c r="B231" s="172">
        <v>10029752</v>
      </c>
      <c r="C231" s="173" t="s">
        <v>322</v>
      </c>
      <c r="D231" s="174"/>
    </row>
    <row r="232" spans="1:4" ht="14.25">
      <c r="A232" s="171" t="s">
        <v>321</v>
      </c>
      <c r="B232" s="172">
        <v>10029754</v>
      </c>
      <c r="C232" s="173" t="s">
        <v>379</v>
      </c>
      <c r="D232" s="174"/>
    </row>
    <row r="233" spans="1:4" ht="14.25">
      <c r="A233" s="171" t="s">
        <v>321</v>
      </c>
      <c r="B233" s="172">
        <v>10030383</v>
      </c>
      <c r="C233" s="173" t="s">
        <v>380</v>
      </c>
      <c r="D233" s="174"/>
    </row>
    <row r="234" spans="1:4" ht="14.25">
      <c r="A234" s="171" t="s">
        <v>316</v>
      </c>
      <c r="B234" s="172">
        <v>10029750</v>
      </c>
      <c r="C234" s="173" t="s">
        <v>317</v>
      </c>
      <c r="D234" s="174"/>
    </row>
    <row r="235" spans="1:4" ht="14.65" thickBot="1">
      <c r="A235" s="158" t="s">
        <v>316</v>
      </c>
      <c r="B235" s="159">
        <v>10029864</v>
      </c>
      <c r="C235" s="160" t="s">
        <v>318</v>
      </c>
      <c r="D235" s="161"/>
    </row>
    <row r="239" spans="1:4" ht="14.25">
      <c r="A239" s="144"/>
      <c r="B239" s="143"/>
      <c r="C239" s="143"/>
      <c r="D239" s="143"/>
    </row>
    <row r="240" spans="1:4" ht="14.25">
      <c r="A240" s="189" t="s">
        <v>447</v>
      </c>
      <c r="B240" s="145"/>
      <c r="C240" s="145"/>
      <c r="D240" s="145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width="17.265625" bestFit="1" customWidth="1"/>
    <col min="3" max="3" width="14.3984375" bestFit="1" customWidth="1"/>
    <col min="4" max="4" width="39.59765625" customWidth="1"/>
    <col min="5" max="5" width="15.73046875" customWidth="1"/>
    <col min="6" max="6" width="59.86328125" bestFit="1" customWidth="1"/>
    <col min="7" max="7" width="21.265625" customWidth="1"/>
    <col min="8" max="8" width="19.1328125" customWidth="1"/>
    <col min="9" max="9" width="16.73046875" customWidth="1"/>
    <col min="10" max="10" width="54.1328125" bestFit="1" customWidth="1"/>
  </cols>
  <sheetData>
    <row r="1" spans="1:12" ht="14.25">
      <c r="A1" s="115" t="s">
        <v>474</v>
      </c>
      <c r="B1" s="119" t="s">
        <v>475</v>
      </c>
      <c r="C1" s="119" t="s">
        <v>476</v>
      </c>
      <c r="D1" s="119" t="s">
        <v>477</v>
      </c>
      <c r="E1" s="119" t="s">
        <v>478</v>
      </c>
      <c r="F1" s="119" t="s">
        <v>479</v>
      </c>
      <c r="G1" s="120" t="s">
        <v>480</v>
      </c>
      <c r="H1" s="119" t="s">
        <v>481</v>
      </c>
      <c r="I1" s="120" t="s">
        <v>482</v>
      </c>
      <c r="J1" s="132" t="s">
        <v>483</v>
      </c>
      <c r="K1" s="116"/>
      <c r="L1" s="116"/>
    </row>
    <row r="2" spans="1:12" ht="14.25">
      <c r="A2" s="114" t="s">
        <v>484</v>
      </c>
      <c r="B2" s="121">
        <v>10027276</v>
      </c>
      <c r="C2" s="121" t="s">
        <v>485</v>
      </c>
      <c r="D2" s="121" t="s">
        <v>486</v>
      </c>
      <c r="E2" s="121" t="s">
        <v>487</v>
      </c>
      <c r="F2" s="122" t="s">
        <v>488</v>
      </c>
      <c r="G2" s="121"/>
      <c r="H2" s="121"/>
      <c r="I2" s="121"/>
      <c r="J2" s="133" t="s">
        <v>489</v>
      </c>
      <c r="K2" s="116"/>
      <c r="L2" s="116"/>
    </row>
    <row r="3" spans="1:12" ht="14.25">
      <c r="A3" s="114" t="s">
        <v>490</v>
      </c>
      <c r="B3" s="121">
        <v>10030662</v>
      </c>
      <c r="C3" s="121" t="s">
        <v>485</v>
      </c>
      <c r="D3" s="121" t="s">
        <v>491</v>
      </c>
      <c r="E3" s="121" t="s">
        <v>487</v>
      </c>
      <c r="F3" s="122" t="s">
        <v>488</v>
      </c>
      <c r="G3" s="121"/>
      <c r="H3" s="121"/>
      <c r="I3" s="121"/>
      <c r="J3" s="133" t="s">
        <v>489</v>
      </c>
      <c r="K3" s="116"/>
      <c r="L3" s="116"/>
    </row>
    <row r="4" spans="1:12" ht="14.25">
      <c r="A4" s="114" t="s">
        <v>492</v>
      </c>
      <c r="B4" s="121">
        <v>10027272</v>
      </c>
      <c r="C4" s="121" t="s">
        <v>485</v>
      </c>
      <c r="D4" s="121" t="s">
        <v>493</v>
      </c>
      <c r="E4" s="121" t="s">
        <v>487</v>
      </c>
      <c r="F4" s="122" t="s">
        <v>488</v>
      </c>
      <c r="G4" s="121"/>
      <c r="H4" s="121"/>
      <c r="I4" s="121"/>
      <c r="J4" s="133" t="s">
        <v>489</v>
      </c>
      <c r="K4" s="116"/>
      <c r="L4" s="116"/>
    </row>
    <row r="5" spans="1:12" ht="14.25">
      <c r="A5" s="114" t="s">
        <v>494</v>
      </c>
      <c r="B5" s="121">
        <v>10030658</v>
      </c>
      <c r="C5" s="121" t="s">
        <v>485</v>
      </c>
      <c r="D5" s="121" t="s">
        <v>495</v>
      </c>
      <c r="E5" s="121" t="s">
        <v>487</v>
      </c>
      <c r="F5" s="122" t="s">
        <v>488</v>
      </c>
      <c r="G5" s="121"/>
      <c r="H5" s="121"/>
      <c r="I5" s="121"/>
      <c r="J5" s="133" t="s">
        <v>489</v>
      </c>
      <c r="K5" s="116"/>
      <c r="L5" s="116"/>
    </row>
    <row r="6" spans="1:12" ht="14.25">
      <c r="A6" s="114" t="s">
        <v>496</v>
      </c>
      <c r="B6" s="121">
        <v>10029705</v>
      </c>
      <c r="C6" s="121" t="s">
        <v>497</v>
      </c>
      <c r="D6" s="121" t="s">
        <v>486</v>
      </c>
      <c r="E6" s="121" t="s">
        <v>487</v>
      </c>
      <c r="F6" s="122" t="s">
        <v>488</v>
      </c>
      <c r="G6" s="121"/>
      <c r="H6" s="121"/>
      <c r="I6" s="121"/>
      <c r="J6" s="133" t="s">
        <v>489</v>
      </c>
      <c r="K6" s="116"/>
      <c r="L6" s="116"/>
    </row>
    <row r="7" spans="1:12" ht="14.25">
      <c r="A7" s="114" t="s">
        <v>498</v>
      </c>
      <c r="B7" s="121">
        <v>10030566</v>
      </c>
      <c r="C7" s="121" t="s">
        <v>499</v>
      </c>
      <c r="D7" s="121" t="s">
        <v>500</v>
      </c>
      <c r="E7" s="121" t="s">
        <v>487</v>
      </c>
      <c r="F7" s="122" t="s">
        <v>488</v>
      </c>
      <c r="G7" s="121"/>
      <c r="H7" s="121"/>
      <c r="I7" s="121"/>
      <c r="J7" s="133" t="s">
        <v>489</v>
      </c>
      <c r="K7" s="116"/>
      <c r="L7" s="116"/>
    </row>
    <row r="8" spans="1:12" ht="14.25">
      <c r="A8" s="114" t="s">
        <v>501</v>
      </c>
      <c r="B8" s="121">
        <v>10029714</v>
      </c>
      <c r="C8" s="121" t="s">
        <v>499</v>
      </c>
      <c r="D8" s="121" t="s">
        <v>502</v>
      </c>
      <c r="E8" s="121" t="s">
        <v>487</v>
      </c>
      <c r="F8" s="122" t="s">
        <v>488</v>
      </c>
      <c r="G8" s="121"/>
      <c r="H8" s="121"/>
      <c r="I8" s="121"/>
      <c r="J8" s="133" t="s">
        <v>489</v>
      </c>
      <c r="K8" s="116"/>
      <c r="L8" s="116"/>
    </row>
    <row r="9" spans="1:12" ht="14.25">
      <c r="A9" s="114" t="s">
        <v>503</v>
      </c>
      <c r="B9" s="121">
        <v>10029713</v>
      </c>
      <c r="C9" s="121" t="s">
        <v>499</v>
      </c>
      <c r="D9" s="121" t="s">
        <v>504</v>
      </c>
      <c r="E9" s="121" t="s">
        <v>487</v>
      </c>
      <c r="F9" s="122" t="s">
        <v>488</v>
      </c>
      <c r="G9" s="121"/>
      <c r="H9" s="121"/>
      <c r="I9" s="121"/>
      <c r="J9" s="133" t="s">
        <v>489</v>
      </c>
      <c r="K9" s="116"/>
      <c r="L9" s="116"/>
    </row>
    <row r="10" spans="1:12" ht="14.25">
      <c r="A10" s="114" t="s">
        <v>505</v>
      </c>
      <c r="B10" s="121">
        <v>10031468</v>
      </c>
      <c r="C10" s="121" t="s">
        <v>506</v>
      </c>
      <c r="D10" s="121" t="s">
        <v>507</v>
      </c>
      <c r="E10" s="121" t="s">
        <v>487</v>
      </c>
      <c r="F10" s="122" t="s">
        <v>488</v>
      </c>
      <c r="G10" s="121"/>
      <c r="H10" s="121"/>
      <c r="I10" s="121"/>
      <c r="J10" s="133"/>
      <c r="K10" s="116"/>
      <c r="L10" s="116"/>
    </row>
    <row r="11" spans="1:12" ht="14.25">
      <c r="A11" s="114" t="s">
        <v>508</v>
      </c>
      <c r="B11" s="121">
        <v>10031469</v>
      </c>
      <c r="C11" s="121" t="s">
        <v>506</v>
      </c>
      <c r="D11" s="121" t="s">
        <v>509</v>
      </c>
      <c r="E11" s="121" t="s">
        <v>487</v>
      </c>
      <c r="F11" s="122" t="s">
        <v>488</v>
      </c>
      <c r="G11" s="121"/>
      <c r="H11" s="121"/>
      <c r="I11" s="121"/>
      <c r="J11" s="133"/>
      <c r="K11" s="116"/>
      <c r="L11" s="116"/>
    </row>
    <row r="12" spans="1:12" ht="14.25">
      <c r="A12" s="114" t="s">
        <v>510</v>
      </c>
      <c r="B12" s="121">
        <v>10027275</v>
      </c>
      <c r="C12" s="121" t="s">
        <v>511</v>
      </c>
      <c r="D12" s="121" t="s">
        <v>486</v>
      </c>
      <c r="E12" s="121" t="s">
        <v>487</v>
      </c>
      <c r="F12" s="122" t="s">
        <v>488</v>
      </c>
      <c r="G12" s="121"/>
      <c r="H12" s="121"/>
      <c r="I12" s="121"/>
      <c r="J12" s="133"/>
      <c r="K12" s="116"/>
      <c r="L12" s="116"/>
    </row>
    <row r="13" spans="1:12" ht="14.25">
      <c r="A13" s="114" t="s">
        <v>512</v>
      </c>
      <c r="B13" s="121">
        <v>10024251</v>
      </c>
      <c r="C13" s="121" t="s">
        <v>511</v>
      </c>
      <c r="D13" s="121" t="s">
        <v>513</v>
      </c>
      <c r="E13" s="121" t="s">
        <v>487</v>
      </c>
      <c r="F13" s="122" t="s">
        <v>488</v>
      </c>
      <c r="G13" s="121"/>
      <c r="H13" s="121"/>
      <c r="I13" s="121"/>
      <c r="J13" s="133"/>
      <c r="K13" s="116"/>
      <c r="L13" s="116"/>
    </row>
    <row r="14" spans="1:12" ht="14.25">
      <c r="A14" s="114" t="s">
        <v>514</v>
      </c>
      <c r="B14" s="121">
        <v>10030661</v>
      </c>
      <c r="C14" s="121" t="s">
        <v>511</v>
      </c>
      <c r="D14" s="121" t="s">
        <v>491</v>
      </c>
      <c r="E14" s="121" t="s">
        <v>487</v>
      </c>
      <c r="F14" s="122" t="s">
        <v>488</v>
      </c>
      <c r="G14" s="121"/>
      <c r="H14" s="121"/>
      <c r="I14" s="121"/>
      <c r="J14" s="133"/>
      <c r="K14" s="116"/>
      <c r="L14" s="116"/>
    </row>
    <row r="15" spans="1:12" ht="14.25">
      <c r="A15" s="114" t="s">
        <v>515</v>
      </c>
      <c r="B15" s="121">
        <v>10026879</v>
      </c>
      <c r="C15" s="121" t="s">
        <v>516</v>
      </c>
      <c r="D15" s="121" t="s">
        <v>517</v>
      </c>
      <c r="E15" s="121" t="s">
        <v>487</v>
      </c>
      <c r="F15" s="122" t="s">
        <v>488</v>
      </c>
      <c r="G15" s="121"/>
      <c r="H15" s="121"/>
      <c r="I15" s="121"/>
      <c r="J15" s="133"/>
      <c r="K15" s="116"/>
      <c r="L15" s="117" t="s">
        <v>518</v>
      </c>
    </row>
    <row r="16" spans="1:12" ht="14.25">
      <c r="A16" s="113" t="s">
        <v>519</v>
      </c>
      <c r="B16" s="123">
        <v>10031088</v>
      </c>
      <c r="C16" s="121" t="s">
        <v>520</v>
      </c>
      <c r="D16" s="121" t="s">
        <v>400</v>
      </c>
      <c r="E16" s="121" t="s">
        <v>487</v>
      </c>
      <c r="F16" s="122" t="s">
        <v>488</v>
      </c>
      <c r="G16" s="121"/>
      <c r="H16" s="121"/>
      <c r="I16" s="121"/>
      <c r="J16" s="133"/>
      <c r="K16" s="116"/>
      <c r="L16" s="117" t="s">
        <v>521</v>
      </c>
    </row>
    <row r="17" spans="1:12" ht="28.5">
      <c r="A17" s="112" t="s">
        <v>522</v>
      </c>
      <c r="B17" s="124">
        <v>10027340</v>
      </c>
      <c r="C17" s="125" t="s">
        <v>520</v>
      </c>
      <c r="D17" s="125" t="s">
        <v>103</v>
      </c>
      <c r="E17" s="125" t="s">
        <v>487</v>
      </c>
      <c r="F17" s="126" t="s">
        <v>488</v>
      </c>
      <c r="G17" s="121"/>
      <c r="H17" s="121"/>
      <c r="I17" s="121"/>
      <c r="J17" s="133"/>
      <c r="K17" s="116"/>
      <c r="L17" s="118" t="s">
        <v>523</v>
      </c>
    </row>
    <row r="18" spans="1:12" ht="14.25">
      <c r="A18" s="112" t="s">
        <v>524</v>
      </c>
      <c r="B18" s="124">
        <v>10027271</v>
      </c>
      <c r="C18" s="125" t="s">
        <v>520</v>
      </c>
      <c r="D18" s="125" t="s">
        <v>104</v>
      </c>
      <c r="E18" s="125" t="s">
        <v>487</v>
      </c>
      <c r="F18" s="126" t="s">
        <v>488</v>
      </c>
      <c r="G18" s="121"/>
      <c r="H18" s="121"/>
      <c r="I18" s="121"/>
      <c r="J18" s="133"/>
      <c r="K18" s="116"/>
      <c r="L18" s="117" t="s">
        <v>525</v>
      </c>
    </row>
    <row r="19" spans="1:12" ht="14.25">
      <c r="A19" s="112" t="s">
        <v>526</v>
      </c>
      <c r="B19" s="124">
        <v>10026709</v>
      </c>
      <c r="C19" s="125" t="s">
        <v>520</v>
      </c>
      <c r="D19" s="125" t="s">
        <v>105</v>
      </c>
      <c r="E19" s="125" t="s">
        <v>487</v>
      </c>
      <c r="F19" s="126" t="s">
        <v>488</v>
      </c>
      <c r="G19" s="121"/>
      <c r="H19" s="121"/>
      <c r="I19" s="121"/>
      <c r="J19" s="133"/>
      <c r="K19" s="116"/>
      <c r="L19" s="117" t="s">
        <v>527</v>
      </c>
    </row>
    <row r="20" spans="1:12" ht="14.25">
      <c r="A20" s="112" t="s">
        <v>528</v>
      </c>
      <c r="B20" s="124">
        <v>10031385</v>
      </c>
      <c r="C20" s="125" t="s">
        <v>520</v>
      </c>
      <c r="D20" s="125" t="s">
        <v>417</v>
      </c>
      <c r="E20" s="125" t="s">
        <v>487</v>
      </c>
      <c r="F20" s="126" t="s">
        <v>488</v>
      </c>
      <c r="G20" s="121"/>
      <c r="H20" s="121"/>
      <c r="I20" s="121"/>
      <c r="J20" s="133"/>
      <c r="K20" s="116"/>
      <c r="L20" s="117" t="s">
        <v>529</v>
      </c>
    </row>
    <row r="21" spans="1:12" ht="14.25">
      <c r="A21" s="111" t="s">
        <v>530</v>
      </c>
      <c r="B21" s="125">
        <v>10027269</v>
      </c>
      <c r="C21" s="125" t="s">
        <v>88</v>
      </c>
      <c r="D21" s="125" t="s">
        <v>85</v>
      </c>
      <c r="E21" s="125" t="s">
        <v>487</v>
      </c>
      <c r="F21" s="126" t="s">
        <v>488</v>
      </c>
      <c r="G21" s="121"/>
      <c r="H21" s="121"/>
      <c r="I21" s="121"/>
      <c r="J21" s="133" t="s">
        <v>531</v>
      </c>
      <c r="K21" s="116"/>
      <c r="L21" s="117" t="s">
        <v>532</v>
      </c>
    </row>
    <row r="22" spans="1:12" ht="14.25">
      <c r="A22" s="111" t="s">
        <v>530</v>
      </c>
      <c r="B22" s="125" t="s">
        <v>533</v>
      </c>
      <c r="C22" s="125" t="s">
        <v>88</v>
      </c>
      <c r="D22" s="125" t="s">
        <v>85</v>
      </c>
      <c r="E22" s="125" t="s">
        <v>487</v>
      </c>
      <c r="F22" s="126" t="s">
        <v>534</v>
      </c>
      <c r="G22" s="121"/>
      <c r="H22" s="121"/>
      <c r="I22" s="121"/>
      <c r="J22" s="133" t="s">
        <v>535</v>
      </c>
      <c r="K22" s="116"/>
      <c r="L22" s="117" t="s">
        <v>536</v>
      </c>
    </row>
    <row r="23" spans="1:12" ht="14.25">
      <c r="A23" s="111" t="s">
        <v>537</v>
      </c>
      <c r="B23" s="125">
        <v>10031384</v>
      </c>
      <c r="C23" s="125" t="s">
        <v>88</v>
      </c>
      <c r="D23" s="125" t="s">
        <v>399</v>
      </c>
      <c r="E23" s="125" t="s">
        <v>487</v>
      </c>
      <c r="F23" s="126" t="s">
        <v>488</v>
      </c>
      <c r="G23" s="121"/>
      <c r="H23" s="121"/>
      <c r="I23" s="121"/>
      <c r="J23" s="133" t="s">
        <v>538</v>
      </c>
      <c r="K23" s="116"/>
      <c r="L23" s="117" t="s">
        <v>539</v>
      </c>
    </row>
    <row r="24" spans="1:12" ht="14.25">
      <c r="A24" s="111" t="s">
        <v>537</v>
      </c>
      <c r="B24" s="125" t="s">
        <v>533</v>
      </c>
      <c r="C24" s="125" t="s">
        <v>88</v>
      </c>
      <c r="D24" s="125" t="s">
        <v>399</v>
      </c>
      <c r="E24" s="125" t="s">
        <v>487</v>
      </c>
      <c r="F24" s="126" t="s">
        <v>534</v>
      </c>
      <c r="G24" s="121"/>
      <c r="H24" s="121"/>
      <c r="I24" s="121"/>
      <c r="J24" s="133" t="s">
        <v>540</v>
      </c>
      <c r="K24" s="116"/>
      <c r="L24" s="117" t="s">
        <v>541</v>
      </c>
    </row>
    <row r="25" spans="1:12" ht="14.25">
      <c r="A25" s="111" t="s">
        <v>542</v>
      </c>
      <c r="B25" s="125">
        <v>10027273</v>
      </c>
      <c r="C25" s="125"/>
      <c r="D25" s="125" t="s">
        <v>94</v>
      </c>
      <c r="E25" s="125" t="s">
        <v>487</v>
      </c>
      <c r="F25" s="126" t="s">
        <v>488</v>
      </c>
      <c r="G25" s="121"/>
      <c r="H25" s="121"/>
      <c r="I25" s="121"/>
      <c r="J25" s="133" t="s">
        <v>543</v>
      </c>
      <c r="K25" s="116"/>
      <c r="L25" s="116"/>
    </row>
    <row r="26" spans="1:12" ht="14.25">
      <c r="A26" s="111" t="s">
        <v>544</v>
      </c>
      <c r="B26" s="125"/>
      <c r="C26" s="125" t="s">
        <v>485</v>
      </c>
      <c r="D26" s="125" t="s">
        <v>513</v>
      </c>
      <c r="E26" s="125" t="s">
        <v>487</v>
      </c>
      <c r="F26" s="126" t="s">
        <v>488</v>
      </c>
      <c r="G26" s="121"/>
      <c r="H26" s="121"/>
      <c r="I26" s="121"/>
      <c r="J26" s="133"/>
      <c r="K26" s="116"/>
      <c r="L26" s="116"/>
    </row>
    <row r="27" spans="1:12" ht="14.25">
      <c r="A27" s="111" t="s">
        <v>545</v>
      </c>
      <c r="B27" s="125">
        <v>10027420</v>
      </c>
      <c r="C27" s="125" t="s">
        <v>497</v>
      </c>
      <c r="D27" s="125" t="s">
        <v>546</v>
      </c>
      <c r="E27" s="125" t="s">
        <v>487</v>
      </c>
      <c r="F27" s="126" t="s">
        <v>488</v>
      </c>
      <c r="G27" s="121"/>
      <c r="H27" s="121"/>
      <c r="I27" s="121"/>
      <c r="J27" s="133"/>
      <c r="K27" s="116"/>
      <c r="L27" s="116"/>
    </row>
    <row r="28" spans="1:12" ht="14.25">
      <c r="A28" s="111" t="s">
        <v>512</v>
      </c>
      <c r="B28" s="125">
        <v>10024251</v>
      </c>
      <c r="C28" s="125" t="s">
        <v>511</v>
      </c>
      <c r="D28" s="125" t="s">
        <v>513</v>
      </c>
      <c r="E28" s="125" t="s">
        <v>487</v>
      </c>
      <c r="F28" s="126" t="s">
        <v>488</v>
      </c>
      <c r="G28" s="121"/>
      <c r="H28" s="121"/>
      <c r="I28" s="121"/>
      <c r="J28" s="133"/>
      <c r="K28" s="116"/>
      <c r="L28" s="116"/>
    </row>
    <row r="29" spans="1:12" ht="14.25">
      <c r="A29" s="114" t="s">
        <v>547</v>
      </c>
      <c r="B29" s="121"/>
      <c r="C29" s="121"/>
      <c r="D29" s="121" t="s">
        <v>93</v>
      </c>
      <c r="E29" s="125" t="s">
        <v>487</v>
      </c>
      <c r="F29" s="126" t="s">
        <v>488</v>
      </c>
      <c r="G29" s="121"/>
      <c r="H29" s="121"/>
      <c r="I29" s="121"/>
      <c r="J29" s="133"/>
      <c r="K29" s="116"/>
      <c r="L29" s="116"/>
    </row>
    <row r="30" spans="1:12" ht="14.25">
      <c r="A30" s="114" t="s">
        <v>548</v>
      </c>
      <c r="B30" s="121"/>
      <c r="C30" s="121" t="s">
        <v>497</v>
      </c>
      <c r="D30" s="121" t="s">
        <v>546</v>
      </c>
      <c r="E30" s="125" t="s">
        <v>487</v>
      </c>
      <c r="F30" s="126" t="s">
        <v>488</v>
      </c>
      <c r="G30" s="121"/>
      <c r="H30" s="121"/>
      <c r="I30" s="121"/>
      <c r="J30" s="133"/>
      <c r="K30" s="116"/>
      <c r="L30" s="116"/>
    </row>
    <row r="31" spans="1:12" ht="14.25">
      <c r="A31" s="110" t="s">
        <v>549</v>
      </c>
      <c r="B31" s="127"/>
      <c r="C31" s="121" t="s">
        <v>497</v>
      </c>
      <c r="D31" s="121" t="s">
        <v>120</v>
      </c>
      <c r="E31" s="125" t="s">
        <v>487</v>
      </c>
      <c r="F31" s="126" t="s">
        <v>488</v>
      </c>
      <c r="G31" s="121"/>
      <c r="H31" s="121"/>
      <c r="I31" s="121"/>
      <c r="J31" s="133"/>
      <c r="K31" s="116"/>
      <c r="L31" s="116"/>
    </row>
    <row r="32" spans="1:12" ht="14.25">
      <c r="A32" s="114" t="s">
        <v>550</v>
      </c>
      <c r="B32" s="121"/>
      <c r="C32" s="121" t="s">
        <v>497</v>
      </c>
      <c r="D32" s="121" t="s">
        <v>551</v>
      </c>
      <c r="E32" s="125" t="s">
        <v>487</v>
      </c>
      <c r="F32" s="126" t="s">
        <v>488</v>
      </c>
      <c r="G32" s="121"/>
      <c r="H32" s="121"/>
      <c r="I32" s="121"/>
      <c r="J32" s="133"/>
      <c r="K32" s="116"/>
      <c r="L32" s="116"/>
    </row>
    <row r="33" spans="1:10" ht="14.25">
      <c r="A33" s="114" t="s">
        <v>552</v>
      </c>
      <c r="B33" s="121"/>
      <c r="C33" s="121" t="s">
        <v>511</v>
      </c>
      <c r="D33" s="121" t="s">
        <v>553</v>
      </c>
      <c r="E33" s="125" t="s">
        <v>487</v>
      </c>
      <c r="F33" s="126" t="s">
        <v>488</v>
      </c>
      <c r="G33" s="121"/>
      <c r="H33" s="121"/>
      <c r="I33" s="121"/>
      <c r="J33" s="133"/>
    </row>
    <row r="34" spans="1:10" ht="14.25">
      <c r="A34" s="114" t="s">
        <v>554</v>
      </c>
      <c r="B34" s="121"/>
      <c r="C34" s="121" t="s">
        <v>555</v>
      </c>
      <c r="D34" s="121" t="s">
        <v>556</v>
      </c>
      <c r="E34" s="125" t="s">
        <v>487</v>
      </c>
      <c r="F34" s="126" t="s">
        <v>488</v>
      </c>
      <c r="G34" s="121"/>
      <c r="H34" s="121"/>
      <c r="I34" s="121"/>
      <c r="J34" s="133"/>
    </row>
    <row r="35" spans="1:10" ht="14.25">
      <c r="A35" s="114" t="s">
        <v>557</v>
      </c>
      <c r="B35" s="121"/>
      <c r="C35" s="121" t="s">
        <v>555</v>
      </c>
      <c r="D35" s="121" t="s">
        <v>98</v>
      </c>
      <c r="E35" s="125" t="s">
        <v>487</v>
      </c>
      <c r="F35" s="126" t="s">
        <v>488</v>
      </c>
      <c r="G35" s="121"/>
      <c r="H35" s="121"/>
      <c r="I35" s="121"/>
      <c r="J35" s="133"/>
    </row>
    <row r="36" spans="1:10" ht="14.25">
      <c r="A36" s="114" t="s">
        <v>558</v>
      </c>
      <c r="B36" s="121"/>
      <c r="C36" s="121" t="s">
        <v>559</v>
      </c>
      <c r="D36" s="121" t="s">
        <v>560</v>
      </c>
      <c r="E36" s="125" t="s">
        <v>487</v>
      </c>
      <c r="F36" s="126" t="s">
        <v>488</v>
      </c>
      <c r="G36" s="121"/>
      <c r="H36" s="121"/>
      <c r="I36" s="121"/>
      <c r="J36" s="133"/>
    </row>
    <row r="37" spans="1:10" ht="14.25">
      <c r="A37" s="109" t="s">
        <v>561</v>
      </c>
      <c r="B37" s="128"/>
      <c r="C37" s="128" t="s">
        <v>559</v>
      </c>
      <c r="D37" s="128" t="s">
        <v>101</v>
      </c>
      <c r="E37" s="129" t="s">
        <v>487</v>
      </c>
      <c r="F37" s="130" t="s">
        <v>488</v>
      </c>
      <c r="G37" s="128"/>
      <c r="H37" s="128"/>
      <c r="I37" s="128"/>
      <c r="J37" s="134"/>
    </row>
    <row r="38" spans="1:10" ht="14.25">
      <c r="A38" s="114" t="s">
        <v>562</v>
      </c>
      <c r="B38" s="121"/>
      <c r="C38" s="121" t="s">
        <v>559</v>
      </c>
      <c r="D38" s="121" t="s">
        <v>101</v>
      </c>
      <c r="E38" s="125" t="s">
        <v>487</v>
      </c>
      <c r="F38" s="131" t="s">
        <v>488</v>
      </c>
      <c r="G38" s="121"/>
      <c r="H38" s="121"/>
      <c r="I38" s="121"/>
      <c r="J38" s="133"/>
    </row>
    <row r="39" spans="1:10" ht="14.25">
      <c r="A39" s="114" t="s">
        <v>563</v>
      </c>
      <c r="B39" s="121"/>
      <c r="C39" s="121" t="s">
        <v>559</v>
      </c>
      <c r="D39" s="121" t="s">
        <v>102</v>
      </c>
      <c r="E39" s="125" t="s">
        <v>487</v>
      </c>
      <c r="F39" s="131" t="s">
        <v>488</v>
      </c>
      <c r="G39" s="121"/>
      <c r="H39" s="121"/>
      <c r="I39" s="121"/>
      <c r="J39" s="133"/>
    </row>
    <row r="40" spans="1:10" ht="14.25">
      <c r="A40" s="114" t="s">
        <v>564</v>
      </c>
      <c r="B40" s="121"/>
      <c r="C40" s="121" t="s">
        <v>88</v>
      </c>
      <c r="D40" s="121" t="s">
        <v>87</v>
      </c>
      <c r="E40" s="125" t="s">
        <v>487</v>
      </c>
      <c r="F40" s="131" t="s">
        <v>488</v>
      </c>
      <c r="G40" s="121"/>
      <c r="H40" s="121"/>
      <c r="I40" s="121"/>
      <c r="J40" s="133"/>
    </row>
    <row r="41" spans="1:10" ht="14.25">
      <c r="A41" s="114"/>
      <c r="B41" s="121"/>
      <c r="C41" s="121" t="s">
        <v>565</v>
      </c>
      <c r="D41" s="121" t="s">
        <v>565</v>
      </c>
      <c r="E41" s="125" t="s">
        <v>487</v>
      </c>
      <c r="F41" s="131" t="s">
        <v>488</v>
      </c>
      <c r="G41" s="121"/>
      <c r="H41" s="121"/>
      <c r="I41" s="121"/>
      <c r="J41" s="133"/>
    </row>
  </sheetData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188"/>
  <sheetViews>
    <sheetView workbookViewId="0">
      <selection activeCell="G54" sqref="G54"/>
    </sheetView>
  </sheetViews>
  <sheetFormatPr defaultRowHeight="12.75"/>
  <cols>
    <col min="1" max="1" width="25.73046875" bestFit="1" customWidth="1"/>
    <col min="2" max="2" width="10.265625" bestFit="1" customWidth="1"/>
  </cols>
  <sheetData>
    <row r="1" spans="1:2" ht="14.25">
      <c r="A1" s="137" t="s">
        <v>566</v>
      </c>
      <c r="B1" s="138" t="s">
        <v>567</v>
      </c>
    </row>
    <row r="2" spans="1:2" ht="14.25">
      <c r="A2" s="135">
        <v>736347</v>
      </c>
      <c r="B2" s="136" t="s">
        <v>568</v>
      </c>
    </row>
    <row r="3" spans="1:2" ht="14.25">
      <c r="A3" s="135">
        <v>736349</v>
      </c>
      <c r="B3" s="136" t="s">
        <v>569</v>
      </c>
    </row>
    <row r="4" spans="1:2" ht="14.25">
      <c r="A4" s="135">
        <v>736350</v>
      </c>
      <c r="B4" s="136" t="s">
        <v>568</v>
      </c>
    </row>
    <row r="5" spans="1:2" ht="14.25">
      <c r="A5" s="135">
        <v>736854</v>
      </c>
      <c r="B5" s="136" t="s">
        <v>568</v>
      </c>
    </row>
    <row r="6" spans="1:2" ht="14.25">
      <c r="A6" s="135">
        <v>737190</v>
      </c>
      <c r="B6" s="136" t="s">
        <v>569</v>
      </c>
    </row>
    <row r="7" spans="1:2" ht="14.25">
      <c r="A7" s="135">
        <v>738187</v>
      </c>
      <c r="B7" s="136" t="s">
        <v>569</v>
      </c>
    </row>
    <row r="8" spans="1:2" ht="14.25">
      <c r="A8" s="135">
        <v>738446</v>
      </c>
      <c r="B8" s="136" t="s">
        <v>568</v>
      </c>
    </row>
    <row r="9" spans="1:2" ht="14.25">
      <c r="A9" s="135">
        <v>738447</v>
      </c>
      <c r="B9" s="136" t="s">
        <v>569</v>
      </c>
    </row>
    <row r="10" spans="1:2" ht="14.25">
      <c r="A10" s="135">
        <v>738448</v>
      </c>
      <c r="B10" s="136" t="s">
        <v>569</v>
      </c>
    </row>
    <row r="11" spans="1:2" ht="14.25">
      <c r="A11" s="135">
        <v>738449</v>
      </c>
      <c r="B11" s="136" t="s">
        <v>568</v>
      </c>
    </row>
    <row r="12" spans="1:2" ht="14.25">
      <c r="A12" s="135">
        <v>738454</v>
      </c>
      <c r="B12" s="136" t="s">
        <v>568</v>
      </c>
    </row>
    <row r="13" spans="1:2" ht="14.25">
      <c r="A13" s="135">
        <v>739489</v>
      </c>
      <c r="B13" s="136" t="s">
        <v>569</v>
      </c>
    </row>
    <row r="14" spans="1:2" ht="14.25">
      <c r="A14" s="135">
        <v>739620</v>
      </c>
      <c r="B14" s="136" t="s">
        <v>568</v>
      </c>
    </row>
    <row r="15" spans="1:2" ht="14.25">
      <c r="A15" s="135">
        <v>739622</v>
      </c>
      <c r="B15" s="136" t="s">
        <v>568</v>
      </c>
    </row>
    <row r="16" spans="1:2" ht="14.25">
      <c r="A16" s="135">
        <v>739623</v>
      </c>
      <c r="B16" s="136" t="s">
        <v>568</v>
      </c>
    </row>
    <row r="17" spans="1:2" ht="14.25">
      <c r="A17" s="135">
        <v>739624</v>
      </c>
      <c r="B17" s="136" t="s">
        <v>568</v>
      </c>
    </row>
    <row r="18" spans="1:2" ht="14.25">
      <c r="A18" s="135">
        <v>739630</v>
      </c>
      <c r="B18" s="136" t="s">
        <v>568</v>
      </c>
    </row>
    <row r="19" spans="1:2" ht="14.25">
      <c r="A19" s="135">
        <v>739636</v>
      </c>
      <c r="B19" s="136" t="s">
        <v>568</v>
      </c>
    </row>
    <row r="20" spans="1:2" ht="14.25">
      <c r="A20" s="135">
        <v>739637</v>
      </c>
      <c r="B20" s="136" t="s">
        <v>568</v>
      </c>
    </row>
    <row r="21" spans="1:2" ht="14.25">
      <c r="A21" s="135">
        <v>739640</v>
      </c>
      <c r="B21" s="136" t="s">
        <v>568</v>
      </c>
    </row>
    <row r="22" spans="1:2" ht="14.25">
      <c r="A22" s="135">
        <v>739649</v>
      </c>
      <c r="B22" s="136" t="s">
        <v>568</v>
      </c>
    </row>
    <row r="23" spans="1:2" ht="14.25">
      <c r="A23" s="135">
        <v>739650</v>
      </c>
      <c r="B23" s="136" t="s">
        <v>568</v>
      </c>
    </row>
    <row r="24" spans="1:2" ht="14.25">
      <c r="A24" s="135">
        <v>739685</v>
      </c>
      <c r="B24" s="136" t="s">
        <v>568</v>
      </c>
    </row>
    <row r="25" spans="1:2" ht="14.25">
      <c r="A25" s="135">
        <v>739686</v>
      </c>
      <c r="B25" s="136" t="s">
        <v>568</v>
      </c>
    </row>
    <row r="26" spans="1:2" ht="14.25">
      <c r="A26" s="135">
        <v>741785</v>
      </c>
      <c r="B26" s="136" t="s">
        <v>569</v>
      </c>
    </row>
    <row r="27" spans="1:2" ht="14.25">
      <c r="A27" s="135">
        <v>741794</v>
      </c>
      <c r="B27" s="136" t="s">
        <v>568</v>
      </c>
    </row>
    <row r="28" spans="1:2" ht="14.25">
      <c r="A28" s="135">
        <v>742047</v>
      </c>
      <c r="B28" s="136" t="s">
        <v>568</v>
      </c>
    </row>
    <row r="29" spans="1:2" ht="14.25">
      <c r="A29" s="135">
        <v>742192</v>
      </c>
      <c r="B29" s="136" t="s">
        <v>569</v>
      </c>
    </row>
    <row r="30" spans="1:2" ht="14.25">
      <c r="A30" s="135">
        <v>742210</v>
      </c>
      <c r="B30" s="136" t="s">
        <v>568</v>
      </c>
    </row>
    <row r="31" spans="1:2" ht="14.25">
      <c r="A31" s="135">
        <v>742211</v>
      </c>
      <c r="B31" s="136" t="s">
        <v>568</v>
      </c>
    </row>
    <row r="32" spans="1:2" ht="14.25">
      <c r="A32" s="135">
        <v>742215</v>
      </c>
      <c r="B32" s="136" t="s">
        <v>568</v>
      </c>
    </row>
    <row r="33" spans="1:2" ht="14.25">
      <c r="A33" s="135">
        <v>742241</v>
      </c>
      <c r="B33" s="136" t="s">
        <v>568</v>
      </c>
    </row>
    <row r="34" spans="1:2" ht="14.25">
      <c r="A34" s="135">
        <v>742265</v>
      </c>
      <c r="B34" s="136" t="s">
        <v>568</v>
      </c>
    </row>
    <row r="35" spans="1:2" ht="14.25">
      <c r="A35" s="135">
        <v>742266</v>
      </c>
      <c r="B35" s="136" t="s">
        <v>568</v>
      </c>
    </row>
    <row r="36" spans="1:2" ht="14.25">
      <c r="A36" s="135">
        <v>742270</v>
      </c>
      <c r="B36" s="136" t="s">
        <v>568</v>
      </c>
    </row>
    <row r="37" spans="1:2" ht="14.25">
      <c r="A37" s="135">
        <v>742290</v>
      </c>
      <c r="B37" s="136" t="s">
        <v>568</v>
      </c>
    </row>
    <row r="38" spans="1:2" ht="14.25">
      <c r="A38" s="135">
        <v>5863903</v>
      </c>
      <c r="B38" s="136" t="s">
        <v>568</v>
      </c>
    </row>
    <row r="39" spans="1:2" ht="14.25">
      <c r="A39" s="135">
        <v>5961300</v>
      </c>
      <c r="B39" s="136" t="s">
        <v>568</v>
      </c>
    </row>
    <row r="40" spans="1:2" ht="14.25">
      <c r="A40" s="135">
        <v>80010173</v>
      </c>
      <c r="B40" s="136" t="s">
        <v>568</v>
      </c>
    </row>
    <row r="41" spans="1:2" ht="14.25">
      <c r="A41" s="135">
        <v>80010204</v>
      </c>
      <c r="B41" s="136" t="s">
        <v>568</v>
      </c>
    </row>
    <row r="42" spans="1:2" ht="14.25">
      <c r="A42" s="135">
        <v>80010248</v>
      </c>
      <c r="B42" s="136" t="s">
        <v>568</v>
      </c>
    </row>
    <row r="43" spans="1:2" ht="14.25">
      <c r="A43" s="135">
        <v>80010249</v>
      </c>
      <c r="B43" s="136" t="s">
        <v>569</v>
      </c>
    </row>
    <row r="44" spans="1:2" ht="14.25">
      <c r="A44" s="135">
        <v>80010274</v>
      </c>
      <c r="B44" s="136" t="s">
        <v>569</v>
      </c>
    </row>
    <row r="45" spans="1:2" ht="14.25">
      <c r="A45" s="135">
        <v>80010292</v>
      </c>
      <c r="B45" s="136" t="s">
        <v>568</v>
      </c>
    </row>
    <row r="46" spans="1:2" ht="14.25">
      <c r="A46" s="135">
        <v>80010302</v>
      </c>
      <c r="B46" s="136" t="s">
        <v>568</v>
      </c>
    </row>
    <row r="47" spans="1:2" ht="14.25">
      <c r="A47" s="135">
        <v>80010307</v>
      </c>
      <c r="B47" s="136" t="s">
        <v>568</v>
      </c>
    </row>
    <row r="48" spans="1:2" ht="14.25">
      <c r="A48" s="135">
        <v>80010454</v>
      </c>
      <c r="B48" s="136" t="s">
        <v>568</v>
      </c>
    </row>
    <row r="49" spans="1:2" ht="14.25">
      <c r="A49" s="135">
        <v>80010456</v>
      </c>
      <c r="B49" s="136" t="s">
        <v>568</v>
      </c>
    </row>
    <row r="50" spans="1:2" ht="14.25">
      <c r="A50" s="135">
        <v>80010465</v>
      </c>
      <c r="B50" s="136" t="s">
        <v>569</v>
      </c>
    </row>
    <row r="51" spans="1:2" ht="14.25">
      <c r="A51" s="135">
        <v>80010492</v>
      </c>
      <c r="B51" s="136" t="s">
        <v>568</v>
      </c>
    </row>
    <row r="52" spans="1:2" ht="14.25">
      <c r="A52" s="135">
        <v>80010517</v>
      </c>
      <c r="B52" s="136" t="s">
        <v>568</v>
      </c>
    </row>
    <row r="53" spans="1:2" ht="14.25">
      <c r="A53" s="135">
        <v>80010622</v>
      </c>
      <c r="B53" s="136" t="s">
        <v>569</v>
      </c>
    </row>
    <row r="54" spans="1:2" ht="14.25">
      <c r="A54" s="135">
        <v>80010656</v>
      </c>
      <c r="B54" s="136" t="s">
        <v>569</v>
      </c>
    </row>
    <row r="55" spans="1:2" ht="14.25">
      <c r="A55" s="135">
        <v>80010677</v>
      </c>
      <c r="B55" s="136" t="s">
        <v>569</v>
      </c>
    </row>
    <row r="56" spans="1:2" ht="14.25">
      <c r="A56" s="135">
        <v>80010681</v>
      </c>
      <c r="B56" s="136" t="s">
        <v>569</v>
      </c>
    </row>
    <row r="57" spans="1:2" ht="14.25">
      <c r="A57" s="135">
        <v>80010682</v>
      </c>
      <c r="B57" s="136" t="s">
        <v>569</v>
      </c>
    </row>
    <row r="58" spans="1:2" ht="14.25">
      <c r="A58" s="135">
        <v>80010692</v>
      </c>
      <c r="B58" s="136" t="s">
        <v>569</v>
      </c>
    </row>
    <row r="59" spans="1:2" ht="14.25">
      <c r="A59" s="135">
        <v>80010710</v>
      </c>
      <c r="B59" s="136" t="s">
        <v>569</v>
      </c>
    </row>
    <row r="60" spans="1:2" ht="14.25">
      <c r="A60" s="135">
        <v>80010748</v>
      </c>
      <c r="B60" s="136" t="s">
        <v>569</v>
      </c>
    </row>
    <row r="61" spans="1:2" ht="14.25">
      <c r="A61" s="135">
        <v>80010761</v>
      </c>
      <c r="B61" s="136" t="s">
        <v>569</v>
      </c>
    </row>
    <row r="62" spans="1:2" ht="14.25">
      <c r="A62" s="135">
        <v>80010776</v>
      </c>
      <c r="B62" s="136" t="s">
        <v>569</v>
      </c>
    </row>
    <row r="63" spans="1:2" ht="14.25">
      <c r="A63" s="135">
        <v>80010825</v>
      </c>
      <c r="B63" s="136" t="s">
        <v>568</v>
      </c>
    </row>
    <row r="64" spans="1:2" ht="14.25">
      <c r="A64" s="135">
        <v>80010826</v>
      </c>
      <c r="B64" s="136" t="s">
        <v>568</v>
      </c>
    </row>
    <row r="65" spans="1:2" ht="14.25">
      <c r="A65" s="135">
        <v>80010864</v>
      </c>
      <c r="B65" s="136" t="s">
        <v>569</v>
      </c>
    </row>
    <row r="66" spans="1:2" ht="14.25">
      <c r="A66" s="135">
        <v>80010865</v>
      </c>
      <c r="B66" s="136" t="s">
        <v>569</v>
      </c>
    </row>
    <row r="67" spans="1:2" ht="14.25">
      <c r="A67" s="135">
        <v>80010899</v>
      </c>
      <c r="B67" s="136" t="s">
        <v>569</v>
      </c>
    </row>
    <row r="68" spans="1:2" ht="14.25">
      <c r="A68" s="135">
        <v>80010992</v>
      </c>
      <c r="B68" s="136" t="s">
        <v>569</v>
      </c>
    </row>
    <row r="69" spans="1:2" ht="14.25">
      <c r="A69" s="135">
        <v>80020872</v>
      </c>
      <c r="B69" s="136" t="s">
        <v>569</v>
      </c>
    </row>
    <row r="70" spans="1:2" ht="14.25">
      <c r="A70" s="135">
        <v>80020892</v>
      </c>
      <c r="B70" s="136" t="s">
        <v>569</v>
      </c>
    </row>
    <row r="71" spans="1:2" ht="14.25">
      <c r="A71" s="135">
        <v>80020899</v>
      </c>
      <c r="B71" s="136" t="s">
        <v>569</v>
      </c>
    </row>
    <row r="72" spans="1:2" ht="14.25">
      <c r="A72" s="135" t="s">
        <v>570</v>
      </c>
      <c r="B72" s="136" t="s">
        <v>569</v>
      </c>
    </row>
    <row r="73" spans="1:2" ht="14.25">
      <c r="A73" s="135" t="s">
        <v>571</v>
      </c>
      <c r="B73" s="136" t="s">
        <v>569</v>
      </c>
    </row>
    <row r="74" spans="1:2" ht="14.25">
      <c r="A74" s="135" t="s">
        <v>572</v>
      </c>
      <c r="B74" s="136" t="s">
        <v>569</v>
      </c>
    </row>
    <row r="75" spans="1:2" ht="14.25">
      <c r="A75" s="135" t="s">
        <v>573</v>
      </c>
      <c r="B75" s="136" t="s">
        <v>569</v>
      </c>
    </row>
    <row r="76" spans="1:2" ht="14.25">
      <c r="A76" s="135" t="s">
        <v>574</v>
      </c>
      <c r="B76" s="136" t="s">
        <v>568</v>
      </c>
    </row>
    <row r="77" spans="1:2" ht="14.25">
      <c r="A77" s="135" t="s">
        <v>575</v>
      </c>
      <c r="B77" s="136" t="s">
        <v>568</v>
      </c>
    </row>
    <row r="78" spans="1:2" ht="14.25">
      <c r="A78" s="135" t="s">
        <v>576</v>
      </c>
      <c r="B78" s="136" t="s">
        <v>568</v>
      </c>
    </row>
    <row r="79" spans="1:2" ht="14.25">
      <c r="A79" s="135" t="s">
        <v>577</v>
      </c>
      <c r="B79" s="136" t="s">
        <v>568</v>
      </c>
    </row>
    <row r="80" spans="1:2" ht="14.25">
      <c r="A80" s="135" t="s">
        <v>578</v>
      </c>
      <c r="B80" s="136" t="s">
        <v>568</v>
      </c>
    </row>
    <row r="81" spans="1:2" ht="14.25">
      <c r="A81" s="135" t="s">
        <v>579</v>
      </c>
      <c r="B81" s="136" t="s">
        <v>568</v>
      </c>
    </row>
    <row r="82" spans="1:2" ht="14.25">
      <c r="A82" s="135" t="s">
        <v>580</v>
      </c>
      <c r="B82" s="136" t="s">
        <v>568</v>
      </c>
    </row>
    <row r="83" spans="1:2" ht="14.25">
      <c r="A83" s="135" t="s">
        <v>581</v>
      </c>
      <c r="B83" s="136" t="s">
        <v>568</v>
      </c>
    </row>
    <row r="84" spans="1:2" ht="14.25">
      <c r="A84" s="135" t="s">
        <v>582</v>
      </c>
      <c r="B84" s="136" t="s">
        <v>568</v>
      </c>
    </row>
    <row r="85" spans="1:2" ht="14.25">
      <c r="A85" s="135" t="s">
        <v>583</v>
      </c>
      <c r="B85" s="136" t="s">
        <v>568</v>
      </c>
    </row>
    <row r="86" spans="1:2" ht="14.25">
      <c r="A86" s="135" t="s">
        <v>584</v>
      </c>
      <c r="B86" s="136" t="s">
        <v>568</v>
      </c>
    </row>
    <row r="87" spans="1:2" ht="14.25">
      <c r="A87" s="135" t="s">
        <v>585</v>
      </c>
      <c r="B87" s="136" t="s">
        <v>568</v>
      </c>
    </row>
    <row r="88" spans="1:2" ht="14.25">
      <c r="A88" s="135" t="s">
        <v>586</v>
      </c>
      <c r="B88" s="136" t="s">
        <v>568</v>
      </c>
    </row>
    <row r="89" spans="1:2" ht="14.25">
      <c r="A89" s="135" t="s">
        <v>587</v>
      </c>
      <c r="B89" s="136" t="s">
        <v>568</v>
      </c>
    </row>
    <row r="90" spans="1:2" ht="14.25">
      <c r="A90" s="135" t="s">
        <v>588</v>
      </c>
      <c r="B90" s="136" t="s">
        <v>568</v>
      </c>
    </row>
    <row r="91" spans="1:2" ht="14.25">
      <c r="A91" s="135" t="s">
        <v>589</v>
      </c>
      <c r="B91" s="136" t="s">
        <v>568</v>
      </c>
    </row>
    <row r="92" spans="1:2" ht="14.25">
      <c r="A92" s="135" t="s">
        <v>590</v>
      </c>
      <c r="B92" s="136" t="s">
        <v>568</v>
      </c>
    </row>
    <row r="93" spans="1:2" ht="14.25">
      <c r="A93" s="135" t="s">
        <v>591</v>
      </c>
      <c r="B93" s="136" t="s">
        <v>568</v>
      </c>
    </row>
    <row r="94" spans="1:2" ht="14.25">
      <c r="A94" s="135" t="s">
        <v>592</v>
      </c>
      <c r="B94" s="136" t="s">
        <v>569</v>
      </c>
    </row>
    <row r="95" spans="1:2" ht="14.25">
      <c r="A95" s="135" t="s">
        <v>593</v>
      </c>
      <c r="B95" s="136" t="s">
        <v>569</v>
      </c>
    </row>
    <row r="96" spans="1:2" ht="14.25">
      <c r="A96" s="135" t="s">
        <v>594</v>
      </c>
      <c r="B96" s="136" t="s">
        <v>569</v>
      </c>
    </row>
    <row r="97" spans="1:2" ht="14.25">
      <c r="A97" s="135" t="s">
        <v>595</v>
      </c>
      <c r="B97" s="136" t="s">
        <v>569</v>
      </c>
    </row>
    <row r="98" spans="1:2" ht="14.25">
      <c r="A98" s="135" t="s">
        <v>596</v>
      </c>
      <c r="B98" s="136" t="s">
        <v>569</v>
      </c>
    </row>
    <row r="99" spans="1:2" ht="14.25">
      <c r="A99" s="135" t="s">
        <v>597</v>
      </c>
      <c r="B99" s="136" t="s">
        <v>569</v>
      </c>
    </row>
    <row r="100" spans="1:2" ht="14.25">
      <c r="A100" s="135" t="s">
        <v>598</v>
      </c>
      <c r="B100" s="136" t="s">
        <v>569</v>
      </c>
    </row>
    <row r="101" spans="1:2" ht="14.25">
      <c r="A101" s="135" t="s">
        <v>517</v>
      </c>
      <c r="B101" s="136" t="s">
        <v>569</v>
      </c>
    </row>
    <row r="102" spans="1:2" ht="14.25">
      <c r="A102" s="135" t="s">
        <v>599</v>
      </c>
      <c r="B102" s="136" t="s">
        <v>569</v>
      </c>
    </row>
    <row r="103" spans="1:2" ht="14.25">
      <c r="A103" s="135" t="s">
        <v>418</v>
      </c>
      <c r="B103" s="136" t="s">
        <v>569</v>
      </c>
    </row>
    <row r="104" spans="1:2" ht="14.25">
      <c r="A104" s="141" t="s">
        <v>444</v>
      </c>
      <c r="B104" s="142" t="s">
        <v>569</v>
      </c>
    </row>
    <row r="105" spans="1:2" ht="14.25">
      <c r="A105" s="135" t="s">
        <v>600</v>
      </c>
      <c r="B105" s="136" t="s">
        <v>568</v>
      </c>
    </row>
    <row r="106" spans="1:2" ht="14.25">
      <c r="A106" s="135" t="s">
        <v>601</v>
      </c>
      <c r="B106" s="136" t="s">
        <v>569</v>
      </c>
    </row>
    <row r="107" spans="1:2" ht="14.25">
      <c r="A107" s="135" t="s">
        <v>602</v>
      </c>
      <c r="B107" s="136" t="s">
        <v>569</v>
      </c>
    </row>
    <row r="108" spans="1:2" ht="14.25">
      <c r="A108" s="135" t="s">
        <v>603</v>
      </c>
      <c r="B108" s="136" t="s">
        <v>569</v>
      </c>
    </row>
    <row r="109" spans="1:2" ht="14.25">
      <c r="A109" s="135" t="s">
        <v>604</v>
      </c>
      <c r="B109" s="136" t="s">
        <v>569</v>
      </c>
    </row>
    <row r="110" spans="1:2" ht="14.25">
      <c r="A110" s="135" t="s">
        <v>605</v>
      </c>
      <c r="B110" s="136" t="s">
        <v>569</v>
      </c>
    </row>
    <row r="111" spans="1:2" ht="14.25">
      <c r="A111" s="135" t="s">
        <v>606</v>
      </c>
      <c r="B111" s="136" t="s">
        <v>569</v>
      </c>
    </row>
    <row r="112" spans="1:2" ht="14.25">
      <c r="A112" s="135" t="s">
        <v>607</v>
      </c>
      <c r="B112" s="136" t="s">
        <v>569</v>
      </c>
    </row>
    <row r="113" spans="1:2" ht="14.25">
      <c r="A113" s="135" t="s">
        <v>608</v>
      </c>
      <c r="B113" s="136" t="s">
        <v>569</v>
      </c>
    </row>
    <row r="114" spans="1:2" ht="14.25">
      <c r="A114" s="135" t="s">
        <v>609</v>
      </c>
      <c r="B114" s="136" t="s">
        <v>569</v>
      </c>
    </row>
    <row r="115" spans="1:2" ht="14.25">
      <c r="A115" s="135" t="s">
        <v>610</v>
      </c>
      <c r="B115" s="136" t="s">
        <v>569</v>
      </c>
    </row>
    <row r="116" spans="1:2" ht="14.25">
      <c r="A116" s="135" t="s">
        <v>611</v>
      </c>
      <c r="B116" s="136" t="s">
        <v>569</v>
      </c>
    </row>
    <row r="117" spans="1:2" ht="14.25">
      <c r="A117" s="135" t="s">
        <v>612</v>
      </c>
      <c r="B117" s="136" t="s">
        <v>569</v>
      </c>
    </row>
    <row r="118" spans="1:2" ht="14.25">
      <c r="A118" s="135" t="s">
        <v>613</v>
      </c>
      <c r="B118" s="136" t="s">
        <v>569</v>
      </c>
    </row>
    <row r="119" spans="1:2" ht="14.25">
      <c r="A119" s="135" t="s">
        <v>614</v>
      </c>
      <c r="B119" s="136" t="s">
        <v>569</v>
      </c>
    </row>
    <row r="120" spans="1:2" ht="14.25">
      <c r="A120" s="135" t="s">
        <v>615</v>
      </c>
      <c r="B120" s="136" t="s">
        <v>569</v>
      </c>
    </row>
    <row r="121" spans="1:2" ht="14.25">
      <c r="A121" s="135" t="s">
        <v>616</v>
      </c>
      <c r="B121" s="136" t="s">
        <v>569</v>
      </c>
    </row>
    <row r="122" spans="1:2" ht="14.25">
      <c r="A122" s="135" t="s">
        <v>617</v>
      </c>
      <c r="B122" s="136" t="s">
        <v>569</v>
      </c>
    </row>
    <row r="123" spans="1:2" ht="14.25">
      <c r="A123" s="135" t="s">
        <v>618</v>
      </c>
      <c r="B123" s="136" t="s">
        <v>569</v>
      </c>
    </row>
    <row r="124" spans="1:2" ht="14.25">
      <c r="A124" s="135" t="s">
        <v>619</v>
      </c>
      <c r="B124" s="136" t="s">
        <v>569</v>
      </c>
    </row>
    <row r="125" spans="1:2" ht="14.25">
      <c r="A125" s="135" t="s">
        <v>620</v>
      </c>
      <c r="B125" s="136" t="s">
        <v>569</v>
      </c>
    </row>
    <row r="126" spans="1:2" ht="14.25">
      <c r="A126" s="135" t="s">
        <v>621</v>
      </c>
      <c r="B126" s="136" t="s">
        <v>569</v>
      </c>
    </row>
    <row r="127" spans="1:2" ht="14.25">
      <c r="A127" s="135" t="s">
        <v>622</v>
      </c>
      <c r="B127" s="136" t="s">
        <v>569</v>
      </c>
    </row>
    <row r="128" spans="1:2" ht="14.25">
      <c r="A128" s="135" t="s">
        <v>623</v>
      </c>
      <c r="B128" s="136" t="s">
        <v>569</v>
      </c>
    </row>
    <row r="129" spans="1:2" ht="14.25">
      <c r="A129" s="135" t="s">
        <v>624</v>
      </c>
      <c r="B129" s="136" t="s">
        <v>568</v>
      </c>
    </row>
    <row r="130" spans="1:2" ht="14.25">
      <c r="A130" s="135" t="s">
        <v>625</v>
      </c>
      <c r="B130" s="136" t="s">
        <v>569</v>
      </c>
    </row>
    <row r="131" spans="1:2" ht="14.25">
      <c r="A131" s="135" t="s">
        <v>626</v>
      </c>
      <c r="B131" s="136" t="s">
        <v>569</v>
      </c>
    </row>
    <row r="132" spans="1:2" ht="14.25">
      <c r="A132" s="135" t="s">
        <v>627</v>
      </c>
      <c r="B132" s="136" t="s">
        <v>569</v>
      </c>
    </row>
    <row r="133" spans="1:2" ht="14.25">
      <c r="A133" s="135" t="s">
        <v>628</v>
      </c>
      <c r="B133" s="136" t="s">
        <v>569</v>
      </c>
    </row>
    <row r="134" spans="1:2" ht="14.25">
      <c r="A134" s="135" t="s">
        <v>629</v>
      </c>
      <c r="B134" s="136" t="s">
        <v>569</v>
      </c>
    </row>
    <row r="135" spans="1:2" ht="14.25">
      <c r="A135" s="135" t="s">
        <v>630</v>
      </c>
      <c r="B135" s="136" t="s">
        <v>569</v>
      </c>
    </row>
    <row r="136" spans="1:2" ht="14.25">
      <c r="A136" s="135" t="s">
        <v>631</v>
      </c>
      <c r="B136" s="136" t="s">
        <v>569</v>
      </c>
    </row>
    <row r="137" spans="1:2" ht="14.25">
      <c r="A137" s="135" t="s">
        <v>632</v>
      </c>
      <c r="B137" s="136" t="s">
        <v>568</v>
      </c>
    </row>
    <row r="138" spans="1:2" ht="14.25">
      <c r="A138" s="135" t="s">
        <v>633</v>
      </c>
      <c r="B138" s="136" t="s">
        <v>568</v>
      </c>
    </row>
    <row r="139" spans="1:2" ht="14.25">
      <c r="A139" s="135" t="s">
        <v>634</v>
      </c>
      <c r="B139" s="136" t="s">
        <v>568</v>
      </c>
    </row>
    <row r="140" spans="1:2" ht="14.25">
      <c r="A140" s="135" t="s">
        <v>635</v>
      </c>
      <c r="B140" s="136" t="s">
        <v>568</v>
      </c>
    </row>
    <row r="141" spans="1:2" ht="14.25">
      <c r="A141" s="135" t="s">
        <v>636</v>
      </c>
      <c r="B141" s="136" t="s">
        <v>569</v>
      </c>
    </row>
    <row r="142" spans="1:2" ht="14.25">
      <c r="A142" s="135" t="s">
        <v>637</v>
      </c>
      <c r="B142" s="136" t="s">
        <v>569</v>
      </c>
    </row>
    <row r="143" spans="1:2" ht="14.25">
      <c r="A143" s="135" t="s">
        <v>638</v>
      </c>
      <c r="B143" s="136" t="s">
        <v>568</v>
      </c>
    </row>
    <row r="144" spans="1:2" ht="14.25">
      <c r="A144" s="135" t="s">
        <v>639</v>
      </c>
      <c r="B144" s="136" t="s">
        <v>568</v>
      </c>
    </row>
    <row r="145" spans="1:2" ht="14.25">
      <c r="A145" s="135" t="s">
        <v>640</v>
      </c>
      <c r="B145" s="136" t="s">
        <v>568</v>
      </c>
    </row>
    <row r="146" spans="1:2" ht="14.25">
      <c r="A146" s="135" t="s">
        <v>641</v>
      </c>
      <c r="B146" s="136" t="s">
        <v>568</v>
      </c>
    </row>
    <row r="147" spans="1:2" ht="14.25">
      <c r="A147" s="135" t="s">
        <v>642</v>
      </c>
      <c r="B147" s="136" t="s">
        <v>568</v>
      </c>
    </row>
    <row r="148" spans="1:2" ht="14.25">
      <c r="A148" s="135" t="s">
        <v>643</v>
      </c>
      <c r="B148" s="136" t="s">
        <v>569</v>
      </c>
    </row>
    <row r="149" spans="1:2" ht="14.25">
      <c r="A149" s="135" t="s">
        <v>644</v>
      </c>
      <c r="B149" s="136" t="s">
        <v>569</v>
      </c>
    </row>
    <row r="150" spans="1:2" ht="14.25">
      <c r="A150" s="135" t="s">
        <v>645</v>
      </c>
      <c r="B150" s="136" t="s">
        <v>569</v>
      </c>
    </row>
    <row r="151" spans="1:2" ht="14.25">
      <c r="A151" s="135" t="s">
        <v>646</v>
      </c>
      <c r="B151" s="136" t="s">
        <v>568</v>
      </c>
    </row>
    <row r="152" spans="1:2" ht="14.25">
      <c r="A152" s="135" t="s">
        <v>647</v>
      </c>
      <c r="B152" s="136" t="s">
        <v>568</v>
      </c>
    </row>
    <row r="153" spans="1:2" ht="14.25">
      <c r="A153" s="135" t="s">
        <v>648</v>
      </c>
      <c r="B153" s="136" t="s">
        <v>569</v>
      </c>
    </row>
    <row r="154" spans="1:2" ht="14.25">
      <c r="A154" s="135" t="s">
        <v>649</v>
      </c>
      <c r="B154" s="136" t="s">
        <v>569</v>
      </c>
    </row>
    <row r="155" spans="1:2" ht="14.25">
      <c r="A155" s="135" t="s">
        <v>650</v>
      </c>
      <c r="B155" s="136" t="s">
        <v>569</v>
      </c>
    </row>
    <row r="156" spans="1:2" ht="14.25">
      <c r="A156" s="135" t="s">
        <v>651</v>
      </c>
      <c r="B156" s="136" t="s">
        <v>569</v>
      </c>
    </row>
    <row r="157" spans="1:2" ht="14.25">
      <c r="A157" s="135" t="s">
        <v>652</v>
      </c>
      <c r="B157" s="136" t="s">
        <v>568</v>
      </c>
    </row>
    <row r="158" spans="1:2" ht="14.25">
      <c r="A158" s="135" t="s">
        <v>653</v>
      </c>
      <c r="B158" s="136" t="s">
        <v>569</v>
      </c>
    </row>
    <row r="159" spans="1:2" ht="14.25">
      <c r="A159" s="135" t="s">
        <v>654</v>
      </c>
      <c r="B159" s="136" t="s">
        <v>569</v>
      </c>
    </row>
    <row r="160" spans="1:2" ht="14.25">
      <c r="A160" s="135" t="s">
        <v>655</v>
      </c>
      <c r="B160" s="136" t="s">
        <v>568</v>
      </c>
    </row>
    <row r="161" spans="1:2" ht="14.25">
      <c r="A161" s="135" t="s">
        <v>656</v>
      </c>
      <c r="B161" s="136" t="s">
        <v>568</v>
      </c>
    </row>
    <row r="162" spans="1:2" ht="14.25">
      <c r="A162" s="135" t="s">
        <v>657</v>
      </c>
      <c r="B162" s="136" t="s">
        <v>568</v>
      </c>
    </row>
    <row r="163" spans="1:2" ht="14.25">
      <c r="A163" s="135" t="s">
        <v>658</v>
      </c>
      <c r="B163" s="136" t="s">
        <v>568</v>
      </c>
    </row>
    <row r="164" spans="1:2" ht="14.25">
      <c r="A164" s="135" t="s">
        <v>659</v>
      </c>
      <c r="B164" s="136" t="s">
        <v>568</v>
      </c>
    </row>
    <row r="165" spans="1:2" ht="14.25">
      <c r="A165" s="135" t="s">
        <v>660</v>
      </c>
      <c r="B165" s="136" t="s">
        <v>568</v>
      </c>
    </row>
    <row r="166" spans="1:2" ht="14.25">
      <c r="A166" s="135" t="s">
        <v>661</v>
      </c>
      <c r="B166" s="136" t="s">
        <v>569</v>
      </c>
    </row>
    <row r="167" spans="1:2" ht="14.25">
      <c r="A167" s="135" t="s">
        <v>662</v>
      </c>
      <c r="B167" s="136" t="s">
        <v>569</v>
      </c>
    </row>
    <row r="168" spans="1:2" ht="14.25">
      <c r="A168" s="135" t="s">
        <v>663</v>
      </c>
      <c r="B168" s="136" t="s">
        <v>569</v>
      </c>
    </row>
    <row r="169" spans="1:2" ht="14.25">
      <c r="A169" s="135" t="s">
        <v>664</v>
      </c>
      <c r="B169" s="136" t="s">
        <v>568</v>
      </c>
    </row>
    <row r="170" spans="1:2" ht="14.25">
      <c r="A170" s="135" t="s">
        <v>665</v>
      </c>
      <c r="B170" s="136" t="s">
        <v>568</v>
      </c>
    </row>
    <row r="171" spans="1:2" ht="14.25">
      <c r="A171" s="135" t="s">
        <v>666</v>
      </c>
      <c r="B171" s="136" t="s">
        <v>568</v>
      </c>
    </row>
    <row r="172" spans="1:2" ht="14.25">
      <c r="A172" s="135" t="s">
        <v>667</v>
      </c>
      <c r="B172" s="136" t="s">
        <v>568</v>
      </c>
    </row>
    <row r="173" spans="1:2" ht="14.25">
      <c r="A173" s="135" t="s">
        <v>668</v>
      </c>
      <c r="B173" s="136" t="s">
        <v>569</v>
      </c>
    </row>
    <row r="174" spans="1:2" ht="14.25">
      <c r="A174" s="135" t="s">
        <v>669</v>
      </c>
      <c r="B174" s="136" t="s">
        <v>569</v>
      </c>
    </row>
    <row r="175" spans="1:2" ht="14.25">
      <c r="A175" s="135" t="s">
        <v>670</v>
      </c>
      <c r="B175" s="136" t="s">
        <v>569</v>
      </c>
    </row>
    <row r="176" spans="1:2" ht="14.25">
      <c r="A176" s="135" t="s">
        <v>671</v>
      </c>
      <c r="B176" s="136" t="s">
        <v>569</v>
      </c>
    </row>
    <row r="177" spans="1:2" ht="14.25">
      <c r="A177" s="135" t="s">
        <v>672</v>
      </c>
      <c r="B177" s="136" t="s">
        <v>569</v>
      </c>
    </row>
    <row r="178" spans="1:2" ht="14.25">
      <c r="A178" s="135" t="s">
        <v>673</v>
      </c>
      <c r="B178" s="136" t="s">
        <v>569</v>
      </c>
    </row>
    <row r="179" spans="1:2" ht="14.25">
      <c r="A179" s="135" t="s">
        <v>674</v>
      </c>
      <c r="B179" s="136" t="s">
        <v>569</v>
      </c>
    </row>
    <row r="180" spans="1:2" ht="14.25">
      <c r="A180" s="135" t="s">
        <v>675</v>
      </c>
      <c r="B180" s="136" t="s">
        <v>568</v>
      </c>
    </row>
    <row r="181" spans="1:2" ht="14.25">
      <c r="A181" s="135" t="s">
        <v>676</v>
      </c>
      <c r="B181" s="136" t="s">
        <v>568</v>
      </c>
    </row>
    <row r="182" spans="1:2" ht="14.25">
      <c r="A182" s="135" t="s">
        <v>677</v>
      </c>
      <c r="B182" s="136" t="s">
        <v>568</v>
      </c>
    </row>
    <row r="183" spans="1:2" ht="14.25">
      <c r="A183" s="135" t="s">
        <v>678</v>
      </c>
      <c r="B183" s="136" t="s">
        <v>568</v>
      </c>
    </row>
    <row r="184" spans="1:2" ht="14.25">
      <c r="A184" s="135" t="s">
        <v>679</v>
      </c>
      <c r="B184" s="136" t="s">
        <v>569</v>
      </c>
    </row>
    <row r="185" spans="1:2" ht="14.25">
      <c r="A185" s="135" t="s">
        <v>680</v>
      </c>
      <c r="B185" s="136" t="s">
        <v>568</v>
      </c>
    </row>
    <row r="186" spans="1:2" ht="14.25">
      <c r="A186" s="135" t="s">
        <v>681</v>
      </c>
      <c r="B186" s="136" t="s">
        <v>569</v>
      </c>
    </row>
    <row r="187" spans="1:2" ht="14.25">
      <c r="A187" s="135" t="s">
        <v>682</v>
      </c>
      <c r="B187" s="136" t="s">
        <v>569</v>
      </c>
    </row>
    <row r="188" spans="1:2" ht="14.25">
      <c r="A188" s="139" t="s">
        <v>683</v>
      </c>
      <c r="B188" s="140" t="s">
        <v>568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2023-11-03T08:38:28Z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